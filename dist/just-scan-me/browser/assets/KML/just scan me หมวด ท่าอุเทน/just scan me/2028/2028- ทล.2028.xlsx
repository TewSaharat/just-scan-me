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ger\Desktop\just scan me\2028\"/>
    </mc:Choice>
  </mc:AlternateContent>
  <xr:revisionPtr revIDLastSave="0" documentId="13_ncr:1_{6E3446AD-647E-453F-BB96-08E4F78FC009}" xr6:coauthVersionLast="47" xr6:coauthVersionMax="47" xr10:uidLastSave="{00000000-0000-0000-0000-000000000000}"/>
  <bookViews>
    <workbookView xWindow="435" yWindow="0" windowWidth="19980" windowHeight="15600" xr2:uid="{00000000-000D-0000-FFFF-FFFF00000000}"/>
  </bookViews>
  <sheets>
    <sheet name="2028- ทล.2028" sheetId="1" r:id="rId1"/>
  </sheets>
  <calcPr calcId="181029"/>
</workbook>
</file>

<file path=xl/calcChain.xml><?xml version="1.0" encoding="utf-8"?>
<calcChain xmlns="http://schemas.openxmlformats.org/spreadsheetml/2006/main">
  <c r="H135" i="1" l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34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53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125" i="1"/>
  <c r="H126" i="1"/>
  <c r="H127" i="1"/>
  <c r="H128" i="1"/>
  <c r="H129" i="1"/>
  <c r="H130" i="1"/>
  <c r="H131" i="1"/>
  <c r="H132" i="1"/>
  <c r="H133" i="1"/>
  <c r="H150" i="1"/>
  <c r="H151" i="1"/>
  <c r="H152" i="1"/>
  <c r="H153" i="1"/>
  <c r="H154" i="1"/>
  <c r="H155" i="1"/>
  <c r="H21" i="1"/>
  <c r="H22" i="1"/>
  <c r="H23" i="1"/>
  <c r="H24" i="1"/>
  <c r="H25" i="1"/>
  <c r="H26" i="1"/>
  <c r="H27" i="1"/>
  <c r="H28" i="1"/>
  <c r="H12" i="1"/>
  <c r="H13" i="1"/>
  <c r="H14" i="1"/>
  <c r="H15" i="1"/>
  <c r="H16" i="1"/>
  <c r="H17" i="1"/>
  <c r="H18" i="1"/>
  <c r="H19" i="1"/>
  <c r="H20" i="1"/>
  <c r="H11" i="1"/>
  <c r="K147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8" i="1"/>
  <c r="K149" i="1"/>
  <c r="K13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54" i="1"/>
  <c r="K125" i="1"/>
  <c r="K126" i="1"/>
  <c r="K127" i="1"/>
  <c r="K128" i="1"/>
  <c r="K129" i="1"/>
  <c r="K130" i="1"/>
  <c r="K131" i="1"/>
  <c r="K132" i="1"/>
  <c r="K133" i="1"/>
  <c r="K150" i="1"/>
  <c r="K151" i="1"/>
  <c r="K152" i="1"/>
  <c r="K153" i="1"/>
  <c r="K154" i="1"/>
  <c r="K155" i="1"/>
  <c r="K53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11" i="1"/>
  <c r="J45" i="1"/>
  <c r="J46" i="1"/>
  <c r="J47" i="1"/>
  <c r="J48" i="1"/>
  <c r="J49" i="1"/>
  <c r="J50" i="1"/>
  <c r="J51" i="1"/>
  <c r="J52" i="1"/>
  <c r="J4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34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1" i="1"/>
  <c r="G149" i="1"/>
  <c r="G144" i="1"/>
  <c r="G143" i="1"/>
  <c r="G129" i="1"/>
  <c r="G126" i="1"/>
  <c r="G123" i="1"/>
  <c r="G118" i="1"/>
  <c r="G112" i="1"/>
  <c r="G98" i="1"/>
  <c r="G83" i="1"/>
  <c r="G76" i="1"/>
  <c r="G62" i="1"/>
  <c r="G47" i="1"/>
  <c r="G15" i="1"/>
  <c r="F3" i="1"/>
  <c r="G3" i="1"/>
  <c r="H3" i="1"/>
  <c r="J3" i="1"/>
  <c r="K3" i="1"/>
  <c r="F4" i="1"/>
  <c r="G4" i="1"/>
  <c r="H4" i="1"/>
  <c r="J4" i="1"/>
  <c r="K4" i="1"/>
  <c r="F5" i="1"/>
  <c r="G5" i="1"/>
  <c r="H5" i="1"/>
  <c r="J5" i="1"/>
  <c r="K5" i="1"/>
  <c r="F6" i="1"/>
  <c r="G6" i="1"/>
  <c r="H6" i="1"/>
  <c r="J6" i="1"/>
  <c r="K6" i="1"/>
  <c r="F7" i="1"/>
  <c r="G7" i="1"/>
  <c r="H7" i="1"/>
  <c r="J7" i="1"/>
  <c r="K7" i="1"/>
  <c r="F8" i="1"/>
  <c r="G8" i="1"/>
  <c r="H8" i="1"/>
  <c r="J8" i="1"/>
  <c r="K8" i="1"/>
  <c r="F9" i="1"/>
  <c r="G9" i="1"/>
  <c r="H9" i="1"/>
  <c r="J9" i="1"/>
  <c r="K9" i="1"/>
  <c r="F10" i="1"/>
  <c r="G10" i="1"/>
  <c r="H10" i="1"/>
  <c r="J10" i="1"/>
  <c r="K10" i="1"/>
  <c r="F11" i="1"/>
  <c r="G11" i="1"/>
  <c r="F12" i="1"/>
  <c r="G12" i="1"/>
  <c r="F13" i="1"/>
  <c r="G13" i="1"/>
  <c r="F14" i="1"/>
  <c r="G14" i="1"/>
  <c r="F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K44" i="1"/>
  <c r="F45" i="1"/>
  <c r="G45" i="1"/>
  <c r="K45" i="1"/>
  <c r="F46" i="1"/>
  <c r="G46" i="1"/>
  <c r="K46" i="1"/>
  <c r="F47" i="1"/>
  <c r="K47" i="1"/>
  <c r="F48" i="1"/>
  <c r="G48" i="1"/>
  <c r="K48" i="1"/>
  <c r="F49" i="1"/>
  <c r="G49" i="1"/>
  <c r="K49" i="1"/>
  <c r="F50" i="1"/>
  <c r="G50" i="1"/>
  <c r="K50" i="1"/>
  <c r="F51" i="1"/>
  <c r="G51" i="1"/>
  <c r="K51" i="1"/>
  <c r="F52" i="1"/>
  <c r="G52" i="1"/>
  <c r="K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F113" i="1"/>
  <c r="G113" i="1"/>
  <c r="F114" i="1"/>
  <c r="G114" i="1"/>
  <c r="F115" i="1"/>
  <c r="G115" i="1"/>
  <c r="F116" i="1"/>
  <c r="G116" i="1"/>
  <c r="F117" i="1"/>
  <c r="G117" i="1"/>
  <c r="F118" i="1"/>
  <c r="F119" i="1"/>
  <c r="G119" i="1"/>
  <c r="F120" i="1"/>
  <c r="G120" i="1"/>
  <c r="F121" i="1"/>
  <c r="G121" i="1"/>
  <c r="F122" i="1"/>
  <c r="G122" i="1"/>
  <c r="F123" i="1"/>
  <c r="F124" i="1"/>
  <c r="G124" i="1"/>
  <c r="F125" i="1"/>
  <c r="G125" i="1"/>
  <c r="J125" i="1"/>
  <c r="F126" i="1"/>
  <c r="J126" i="1"/>
  <c r="F127" i="1"/>
  <c r="G127" i="1"/>
  <c r="J127" i="1"/>
  <c r="F128" i="1"/>
  <c r="G128" i="1"/>
  <c r="J128" i="1"/>
  <c r="F129" i="1"/>
  <c r="J129" i="1"/>
  <c r="F130" i="1"/>
  <c r="G130" i="1"/>
  <c r="J130" i="1"/>
  <c r="F131" i="1"/>
  <c r="G131" i="1"/>
  <c r="J131" i="1"/>
  <c r="F132" i="1"/>
  <c r="G132" i="1"/>
  <c r="J132" i="1"/>
  <c r="F133" i="1"/>
  <c r="G133" i="1"/>
  <c r="J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F144" i="1"/>
  <c r="F145" i="1"/>
  <c r="G145" i="1"/>
  <c r="F146" i="1"/>
  <c r="G146" i="1"/>
  <c r="F147" i="1"/>
  <c r="G147" i="1"/>
  <c r="F148" i="1"/>
  <c r="G148" i="1"/>
  <c r="F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J2" i="1"/>
  <c r="K2" i="1"/>
  <c r="H2" i="1"/>
  <c r="G2" i="1"/>
  <c r="F2" i="1"/>
</calcChain>
</file>

<file path=xl/sharedStrings.xml><?xml version="1.0" encoding="utf-8"?>
<sst xmlns="http://schemas.openxmlformats.org/spreadsheetml/2006/main" count="317" uniqueCount="312">
  <si>
    <t>WKT</t>
  </si>
  <si>
    <t>เธเธทเนเธญ</t>
  </si>
  <si>
    <t>เธเธณเธญเธเธดเธเธฒเธข</t>
  </si>
  <si>
    <t>POINT (104.451473 17.449466 155.94)</t>
  </si>
  <si>
    <t>RT1-SG-2028-0102-18+930</t>
  </si>
  <si>
    <t>POINT (104.452064 17.449591 157.84)</t>
  </si>
  <si>
    <t>RT2-SG-2028-0102-18+990</t>
  </si>
  <si>
    <t>POINT (104.452589 17.44969 159.08)</t>
  </si>
  <si>
    <t>RT3-SG-2028-0102-19+050</t>
  </si>
  <si>
    <t>POINT (104.453238 17.449841 157.49)</t>
  </si>
  <si>
    <t>RT4-SG-2028-0102-19+120</t>
  </si>
  <si>
    <t>POINT (104.453621 17.449906 157.26)</t>
  </si>
  <si>
    <t>RT5-SG-2028-0102-19+180</t>
  </si>
  <si>
    <t>POINT (104.454027 17.44998 158.11)</t>
  </si>
  <si>
    <t>RT6-SG-2028-0102-19+240</t>
  </si>
  <si>
    <t>POINT (104.454287 17.450023 0.0)</t>
  </si>
  <si>
    <t>RT7-SG-2028-0102-19+240</t>
  </si>
  <si>
    <t>POINT (104.454677 17.450118 157.53)</t>
  </si>
  <si>
    <t>RT8-SG-2028-0102-19+300</t>
  </si>
  <si>
    <t>POINT (104.462916 17.452654 159.3)</t>
  </si>
  <si>
    <t>RT9-SG-2028-0102-20+430</t>
  </si>
  <si>
    <t>POINT (104.463228 17.452793 158.49)</t>
  </si>
  <si>
    <t>RT10-SG-2028-0102-20+460</t>
  </si>
  <si>
    <t>POINT (104.463567 17.452978 158.09)</t>
  </si>
  <si>
    <t>RT11-SG-2028-0102-20+490</t>
  </si>
  <si>
    <t>POINT (104.463858 17.453125 157.89)</t>
  </si>
  <si>
    <t>RT12-SG-2028-0102-20+520</t>
  </si>
  <si>
    <t>POINT (104.467375 17.454556 160.58)</t>
  </si>
  <si>
    <t>RT13-SG-2028-0102-20+850</t>
  </si>
  <si>
    <t>POINT (104.46793 17.454772 160.21)</t>
  </si>
  <si>
    <t>RT14-SG-2028-0102-20+900</t>
  </si>
  <si>
    <t>POINT (104.468477 17.455026 159.62)</t>
  </si>
  <si>
    <t>RT15-SG-2028-0102-20+950</t>
  </si>
  <si>
    <t>POINT (104.469003 17.455217 158.45)</t>
  </si>
  <si>
    <t>RT16-SG-2028-0102-21+000</t>
  </si>
  <si>
    <t>POINT (104.469558 17.455438 160.38)</t>
  </si>
  <si>
    <t>RT17-SG-2028-0102-21+050</t>
  </si>
  <si>
    <t>POINT (104.470105 17.455665 159.86)</t>
  </si>
  <si>
    <t>RT18-SG-2028-0102-21+100</t>
  </si>
  <si>
    <t>POINT (104.470669 17.455899 158.55)</t>
  </si>
  <si>
    <t>RT19-SG-2028-0102-21+0150</t>
  </si>
  <si>
    <t>POINT (104.494846 17.478355 158.91)</t>
  </si>
  <si>
    <t>RT20-SG-2028-0102-24+750</t>
  </si>
  <si>
    <t>POINT (104.495207 17.478576 159.02)</t>
  </si>
  <si>
    <t>RT21-SG-2028-0102-24+790</t>
  </si>
  <si>
    <t>POINT (104.495572 17.478775 158.53)</t>
  </si>
  <si>
    <t>RT22-SG-2028-0102-24+830</t>
  </si>
  <si>
    <t>POINT (104.495925 17.478988 158.15)</t>
  </si>
  <si>
    <t>RT23-SG-2028-0102-24+870</t>
  </si>
  <si>
    <t>POINT (104.496307 17.479178 158.96)</t>
  </si>
  <si>
    <t>RT24-SG-2028-0102-24+810</t>
  </si>
  <si>
    <t>POINT (104.496658 17.479352 159.13)</t>
  </si>
  <si>
    <t>RT25-SG-2028-0102-24+850</t>
  </si>
  <si>
    <t>POINT (104.496993 17.47947 158.39)</t>
  </si>
  <si>
    <t>RT26-SG-2028-0102-24+890</t>
  </si>
  <si>
    <t>POINT (104.497426 17.479663 158.97)</t>
  </si>
  <si>
    <t>RT27-SG-2028-0102-24+830</t>
  </si>
  <si>
    <t>POINT (104.579642 17.530235 160.16)</t>
  </si>
  <si>
    <t>RT28-SG-2028-0102-35+860</t>
  </si>
  <si>
    <t>POINT (104.579912 17.530339 160.44)</t>
  </si>
  <si>
    <t>RT29-SG-2028-0102-35+890</t>
  </si>
  <si>
    <t>POINT (104.580195 17.530414 160.66)</t>
  </si>
  <si>
    <t>RT30-SG-2028-0102-35+920</t>
  </si>
  <si>
    <t>POINT (104.580477 17.530457 161.21)</t>
  </si>
  <si>
    <t>RT31-SG-2028-0102-35+950</t>
  </si>
  <si>
    <t>POINT (104.580767 17.530451 161.69)</t>
  </si>
  <si>
    <t>RT32-SG-2028-0102-35+980</t>
  </si>
  <si>
    <t>POINT (104.581046 17.530469 161.37)</t>
  </si>
  <si>
    <t>RT33-SG-2028-0102-36+010</t>
  </si>
  <si>
    <t>POINT (104.581657 17.530471 160.13)</t>
  </si>
  <si>
    <t>RT34-SG-2028-0102-36+070</t>
  </si>
  <si>
    <t>POINT (104.581986 17.53047 159.09)</t>
  </si>
  <si>
    <t>RT35-SG-2028-0102-36+100</t>
  </si>
  <si>
    <t>POINT (104.582248 17.530497 158.58)</t>
  </si>
  <si>
    <t>RT36-SG-2028-0102-36+130</t>
  </si>
  <si>
    <t>POINT (104.582523 17.530512 159.3)</t>
  </si>
  <si>
    <t>RT37-SG-2028-0102-36+160</t>
  </si>
  <si>
    <t>POINT (104.582714 17.530519 159.81)</t>
  </si>
  <si>
    <t>RT38-SG-2028-0102-36+190</t>
  </si>
  <si>
    <t>POINT (104.583079 17.530522 159.83)</t>
  </si>
  <si>
    <t>RT39-SG-2028-0102-36+210</t>
  </si>
  <si>
    <t>POINT (104.583338 17.530517 159.82)</t>
  </si>
  <si>
    <t>RT40-SG-2028-0102-36+240</t>
  </si>
  <si>
    <t>POINT (104.612697 17.552211 150.97)</t>
  </si>
  <si>
    <t>RT41-SG-2028-0102-40+435</t>
  </si>
  <si>
    <t>POINT (104.613021 17.5525 151.2)</t>
  </si>
  <si>
    <t>RT42-SG-2028-0102-40+485</t>
  </si>
  <si>
    <t>POINT (104.418772 17.432831 159.36)</t>
  </si>
  <si>
    <t>LT1-SG-2028-0102-14+960</t>
  </si>
  <si>
    <t>POINT (104.419077 17.43306 161.86)</t>
  </si>
  <si>
    <t>LT2-SG-2028-0102-15+000</t>
  </si>
  <si>
    <t>POINT (104.419226 17.433181 162.54)</t>
  </si>
  <si>
    <t>LT3-SG-2028-0102-15+040</t>
  </si>
  <si>
    <t>POINT (104.41946 17.433351 162.9)</t>
  </si>
  <si>
    <t>LT4-SG-2028-0102-15+080</t>
  </si>
  <si>
    <t>POINT (104.419734 17.433554 163.06)</t>
  </si>
  <si>
    <t>LT5-SG-2028-0102-15+120</t>
  </si>
  <si>
    <t>POINT (104.420029 17.433799 164.5)</t>
  </si>
  <si>
    <t>LT6-SG-2028-0102-15+160</t>
  </si>
  <si>
    <t>POINT (104.420381 17.434061 164.81)</t>
  </si>
  <si>
    <t>LT7-SG-2028-0102-15+200</t>
  </si>
  <si>
    <t>POINT (104.420766 17.434336 164.8)</t>
  </si>
  <si>
    <t>LT8-SG-2028-0102-15+240</t>
  </si>
  <si>
    <t>POINT (104.421069 17.434555 166.01)</t>
  </si>
  <si>
    <t>LT9-SG-2028-0102-15+280</t>
  </si>
  <si>
    <t>POINT (104.421381 17.434775 165.65)</t>
  </si>
  <si>
    <t>LT10-SG-2028-0102-15+320</t>
  </si>
  <si>
    <t>POINT (104.421847 17.435035 165.11)</t>
  </si>
  <si>
    <t>LT11-SG-2028-0102-15+360</t>
  </si>
  <si>
    <t>POINT (104.422097 17.43519 164.34)</t>
  </si>
  <si>
    <t>LT12-SG-2028-0102-15+400</t>
  </si>
  <si>
    <t>POINT (104.422495 17.435406 165.04)</t>
  </si>
  <si>
    <t>LT13-SG-2028-0102-15+440</t>
  </si>
  <si>
    <t>POINT (104.422793 17.435577 165.39)</t>
  </si>
  <si>
    <t>LT14-SG-2028-0102-15+480</t>
  </si>
  <si>
    <t>POINT (104.423165 17.435788 164.85)</t>
  </si>
  <si>
    <t>LT15-SG-2028-0102-15+520</t>
  </si>
  <si>
    <t>POINT (104.423595 17.436025 163.36)</t>
  </si>
  <si>
    <t>LT16-SG-2028-0102-15+560</t>
  </si>
  <si>
    <t>POINT (104.424048 17.436292 164.01)</t>
  </si>
  <si>
    <t>LT17-SG-2028-0102-15+600</t>
  </si>
  <si>
    <t>POINT (104.428936 17.43897 169.33)</t>
  </si>
  <si>
    <t>LT18-SG-2028-0102-16+250</t>
  </si>
  <si>
    <t>POINT (104.42932 17.439166 168.57)</t>
  </si>
  <si>
    <t>LT19-SG-2028-0102-16+290</t>
  </si>
  <si>
    <t>POINT (104.429684 17.439371 168.03)</t>
  </si>
  <si>
    <t>LT20-SG-2028-0102-16+330</t>
  </si>
  <si>
    <t>POINT (104.430094 17.439621 164.95)</t>
  </si>
  <si>
    <t>LT21-SG-2028-0102-16+370</t>
  </si>
  <si>
    <t>POINT (104.430486 17.439827 163.39)</t>
  </si>
  <si>
    <t>LT22-SG-2028-0102-16+410</t>
  </si>
  <si>
    <t>POINT (104.451159 17.44953 155.64)</t>
  </si>
  <si>
    <t>LT23-SG-2028-0102-18+900</t>
  </si>
  <si>
    <t>POINT (104.451709 17.449643 156.25)</t>
  </si>
  <si>
    <t>LT24-SG-2028-0102-18+960</t>
  </si>
  <si>
    <t>POINT (104.452329 17.449772 158.61)</t>
  </si>
  <si>
    <t>LT25-SG-2028-0102-19+020</t>
  </si>
  <si>
    <t>POINT (104.452917 17.449903 158.78)</t>
  </si>
  <si>
    <t>LT26-SG-2028-0102-19+090</t>
  </si>
  <si>
    <t>POINT (104.453495 17.450058 157.22)</t>
  </si>
  <si>
    <t>LT27-SG-2028-0102-19+150</t>
  </si>
  <si>
    <t>POINT (104.453804 17.450136 157.44)</t>
  </si>
  <si>
    <t>LT28-SG-2028-0102-19+210</t>
  </si>
  <si>
    <t>POINT (104.454175 17.45022 157.47)</t>
  </si>
  <si>
    <t>LT29-SG-2028-0102-19+270</t>
  </si>
  <si>
    <t>POINT (104.454588 17.450271 0.0)</t>
  </si>
  <si>
    <t>LT30-SG-2028-0102-19+300</t>
  </si>
  <si>
    <t>POINT (104.462802 17.452778 158.37)</t>
  </si>
  <si>
    <t>POINT (104.463137 17.452929 157.84)</t>
  </si>
  <si>
    <t>LT32-SG-2028-0102-20+460</t>
  </si>
  <si>
    <t>POINT (104.46351 17.453089 157.7)</t>
  </si>
  <si>
    <t>LT33-SG-2028-0102-20+490</t>
  </si>
  <si>
    <t>POINT (104.463826 17.453226 157.54)</t>
  </si>
  <si>
    <t>LT34-SG-2028-0102-20+520</t>
  </si>
  <si>
    <t>POINT (104.464184 17.453344 158.15)</t>
  </si>
  <si>
    <t>LT35-SG-2028-0102-20+550</t>
  </si>
  <si>
    <t>POINT (104.464503 17.45348 158.73)</t>
  </si>
  <si>
    <t>LT36-SG-2028-0102-20+580</t>
  </si>
  <si>
    <t>POINT (104.464813 17.453594 159.22)</t>
  </si>
  <si>
    <t>LT37-SG-2028-0102-20+610</t>
  </si>
  <si>
    <t>POINT (104.465103 17.453731 159.34)</t>
  </si>
  <si>
    <t>LT38-SG-2028-0102-20+640</t>
  </si>
  <si>
    <t>POINT (104.465517 17.453904 159.96)</t>
  </si>
  <si>
    <t>LT39-SG-2028-0102-20+670</t>
  </si>
  <si>
    <t>POINT (104.465777 17.454 159.91)</t>
  </si>
  <si>
    <t>LT40-SG-2028-0102-20+700</t>
  </si>
  <si>
    <t>POINT (104.466069 17.454127 159.97)</t>
  </si>
  <si>
    <t>LT41-SG-2028-0102-20+730</t>
  </si>
  <si>
    <t>POINT (104.466297 17.45423 160.46)</t>
  </si>
  <si>
    <t>LT42-SG-2028-0102-20+760</t>
  </si>
  <si>
    <t>POINT (104.466728 17.454394 159.74)</t>
  </si>
  <si>
    <t>LT43-SG-2028-0102-20+790</t>
  </si>
  <si>
    <t>POINT (104.467054 17.454551 159.64)</t>
  </si>
  <si>
    <t>LT44-SG-2028-0102-20+820</t>
  </si>
  <si>
    <t>POINT (104.467552 17.454726 161.07)</t>
  </si>
  <si>
    <t>LT45-SG-2028-0102-20+875</t>
  </si>
  <si>
    <t>POINT (104.468172 17.454997 159.6)</t>
  </si>
  <si>
    <t>LT46-SG-2028-0102-20+925</t>
  </si>
  <si>
    <t>POINT (104.468738 17.455233 158.85)</t>
  </si>
  <si>
    <t>LT47-SG-2028-0102-20+975</t>
  </si>
  <si>
    <t>POINT (104.469235 17.455442 159.14)</t>
  </si>
  <si>
    <t>LT48-SG-2028-0102-21+025</t>
  </si>
  <si>
    <t>POINT (104.469797 17.455669 159.94)</t>
  </si>
  <si>
    <t>LT49-SG-2028-0102-21+075</t>
  </si>
  <si>
    <t>POINT (104.470324 17.455889 159.38)</t>
  </si>
  <si>
    <t>LT50-SG-2028-0102-21+125</t>
  </si>
  <si>
    <t>POINT (104.539319 17.50279 160.32)</t>
  </si>
  <si>
    <t>LT51-SG-2028-0102-30+400</t>
  </si>
  <si>
    <t>POINT (104.539618 17.50306 159.64)</t>
  </si>
  <si>
    <t>LT52-SG-2028-0102-30+445</t>
  </si>
  <si>
    <t>POINT (104.539793 17.503293 159.73)</t>
  </si>
  <si>
    <t>LT53-SG-2028-0102-30+490</t>
  </si>
  <si>
    <t>POINT (104.540064 17.50356 158.7)</t>
  </si>
  <si>
    <t>LT54-SG-2028-0102-30+535</t>
  </si>
  <si>
    <t>POINT (104.54032 17.503828 159.45)</t>
  </si>
  <si>
    <t>LT55-SG-2028-0102-30+580</t>
  </si>
  <si>
    <t>POINT (104.540545 17.504043 161.84)</t>
  </si>
  <si>
    <t>LT56-SG-2028-0102-30+625</t>
  </si>
  <si>
    <t>POINT (104.540768 17.504261 162.56)</t>
  </si>
  <si>
    <t>LT57-SG-2028-0102-30+470</t>
  </si>
  <si>
    <t>POINT (104.541034 17.504461 161.11)</t>
  </si>
  <si>
    <t>LT58-SG-2028-0102-30+715</t>
  </si>
  <si>
    <t>POINT (104.541407 17.504686 155.96)</t>
  </si>
  <si>
    <t>LT59-SG-2028-0102-30+760</t>
  </si>
  <si>
    <t>POINT (104.541762 17.504843 155.31)</t>
  </si>
  <si>
    <t>LT60-SG-2028-0102-30+815</t>
  </si>
  <si>
    <t>POINT (104.542184 17.505008 154.96)</t>
  </si>
  <si>
    <t>LT61-SG-2028-0102-30+860</t>
  </si>
  <si>
    <t>POINT (104.542782 17.505266 154.61)</t>
  </si>
  <si>
    <t>LT62-SG-2028-0102-30+915</t>
  </si>
  <si>
    <t>POINT (104.610024 17.54733 160.69)</t>
  </si>
  <si>
    <t>LT63-SG-2028-0102-39+900</t>
  </si>
  <si>
    <t>POINT (104.610178 17.547645 0.0)</t>
  </si>
  <si>
    <t>LT64-SG-2028-0102-39+945</t>
  </si>
  <si>
    <t>POINT (104.610323 17.547953 0.0)</t>
  </si>
  <si>
    <t>LT65-SG-2028-0102-39+990</t>
  </si>
  <si>
    <t>POINT (104.610458 17.548334 158.33)</t>
  </si>
  <si>
    <t>LT66-SG-2028-0102-40+035</t>
  </si>
  <si>
    <t>POINT (104.610625 17.548672 157.46)</t>
  </si>
  <si>
    <t>LT67-SG-2028-0102-40+080</t>
  </si>
  <si>
    <t>POINT (104.610796 17.548993 155.88)</t>
  </si>
  <si>
    <t>LT68-SG-2028-0102-40+125</t>
  </si>
  <si>
    <t>POINT (104.61091 17.549267 155.15)</t>
  </si>
  <si>
    <t>LT69-SG-2028-0102-40+170</t>
  </si>
  <si>
    <t>POINT (104.611031 17.549591 155.25)</t>
  </si>
  <si>
    <t>LT70-SG-2028-0102-40+215</t>
  </si>
  <si>
    <t>POINT (104.611178 17.549881 155.4)</t>
  </si>
  <si>
    <t>LT71-SG-2028-0102-40+170</t>
  </si>
  <si>
    <t>POINT (104.611303 17.550172 156.03)</t>
  </si>
  <si>
    <t>LT72-SG-2028-0102-40+210</t>
  </si>
  <si>
    <t>POINT (104.611436 17.550461 156.23)</t>
  </si>
  <si>
    <t>LT73-SG-2028-0102-40+250</t>
  </si>
  <si>
    <t>POINT (104.611571 17.550751 155.48)</t>
  </si>
  <si>
    <t>LT74-SG-2028-0102-40+290</t>
  </si>
  <si>
    <t>POINT (104.61174 17.551056 154.72)</t>
  </si>
  <si>
    <t>LT75-SG-2028-0102-40+330</t>
  </si>
  <si>
    <t>POINT (104.611895 17.551342 153.19)</t>
  </si>
  <si>
    <t>LT76-SG-2028-0102-40+380</t>
  </si>
  <si>
    <t>POINT (104.612075 17.551612 152.11)</t>
  </si>
  <si>
    <t>LT77-SG-2028-0102-40+330</t>
  </si>
  <si>
    <t>POINT (104.612265 17.551881 151.53)</t>
  </si>
  <si>
    <t>LT78-SG-2028-0102-40+370</t>
  </si>
  <si>
    <t>POINT (104.612411 17.552092 151.36)</t>
  </si>
  <si>
    <t>LT79-SG-2028-0102-40+410</t>
  </si>
  <si>
    <t>POINT (104.61278 17.552487 151.46)</t>
  </si>
  <si>
    <t>LT80-SG-2028-0102-40+460</t>
  </si>
  <si>
    <t>POINT (104.613029 17.552789 151.24)</t>
  </si>
  <si>
    <t>LT81-SG-2028-0102-40+500</t>
  </si>
  <si>
    <t>POINT (104.454865 17.450222 157.6)</t>
  </si>
  <si>
    <t>MD1-DB-2028-0102-19+330</t>
  </si>
  <si>
    <t>POINT (104.45526 17.450314 157.22)</t>
  </si>
  <si>
    <t>MD2-DB-2028-0102-19+370</t>
  </si>
  <si>
    <t>POINT (104.455508 17.450412 158.32)</t>
  </si>
  <si>
    <t>MD3-DB-2028-0102-19+410</t>
  </si>
  <si>
    <t>POINT (104.455822 17.450471 159.74)</t>
  </si>
  <si>
    <t>MD4-DB-2028-0102-19+450</t>
  </si>
  <si>
    <t>POINT (104.45614 17.450544 160.1)</t>
  </si>
  <si>
    <t>MD5-DB-2028-0102-19+490</t>
  </si>
  <si>
    <t>POINT (104.456478 17.450593 158.92)</t>
  </si>
  <si>
    <t>MD6-DB-2028-0102-19+530</t>
  </si>
  <si>
    <t>POINT (104.456798 17.45064 158.35)</t>
  </si>
  <si>
    <t>MD7-DB-2028-0102-19+570</t>
  </si>
  <si>
    <t>POINT (104.457034 17.450711 158.59)</t>
  </si>
  <si>
    <t>MD8-DB-2028-0102-19+610</t>
  </si>
  <si>
    <t>POINT (104.457341 17.450756 159.4)</t>
  </si>
  <si>
    <t>MD9-DB-2028-0102-19+650</t>
  </si>
  <si>
    <t>POINT (104.457601 17.450808 159.65)</t>
  </si>
  <si>
    <t>MD10-DB-2028-0102-19+690</t>
  </si>
  <si>
    <t>POINT (104.457868 17.450871 160.48)</t>
  </si>
  <si>
    <t>MD11-DB-2028-0102-19+730</t>
  </si>
  <si>
    <t>POINT (104.458066 17.450921 160.53)</t>
  </si>
  <si>
    <t>MD12-DB-2028-0102-19+810</t>
  </si>
  <si>
    <t>POINT (104.458248 17.450994 160.75)</t>
  </si>
  <si>
    <t>MD13-DB-2028-0102-19+850</t>
  </si>
  <si>
    <t>POINT (104.458426 17.45105 160.43)</t>
  </si>
  <si>
    <t>MD14-DB-2028-0102-19+890</t>
  </si>
  <si>
    <t>POINT (104.458636 17.451105 159.21)</t>
  </si>
  <si>
    <t>MD15-DB-2028-0102-19+930</t>
  </si>
  <si>
    <t>POINT (104.458914 17.451165 157.83)</t>
  </si>
  <si>
    <t>MD16-DB-2028-0102-20+040</t>
  </si>
  <si>
    <t>POINT (104.459212 17.45126 156.97)</t>
  </si>
  <si>
    <t>MD17-DB-2028-0102-20+070</t>
  </si>
  <si>
    <t>POINT (104.459535 17.451381 156.15)</t>
  </si>
  <si>
    <t>MD18-DB-2028-0102-20+100</t>
  </si>
  <si>
    <t>POINT (104.45981 17.451475 155.95)</t>
  </si>
  <si>
    <t>MD19-DB-2028-0102-20+130</t>
  </si>
  <si>
    <t>POINT (104.46004 17.45159 155.17)</t>
  </si>
  <si>
    <t>MD20-DB-2028-0102-20+160</t>
  </si>
  <si>
    <t>POINT (104.460316 17.45171 154.87)</t>
  </si>
  <si>
    <t>MD21-DB-2028-0102-20+190</t>
  </si>
  <si>
    <t>POINT (104.460645 17.451858 156.18)</t>
  </si>
  <si>
    <t>MD22-DB-2028-0102-20+220</t>
  </si>
  <si>
    <t>POINT (104.462036 17.452405 159.18)</t>
  </si>
  <si>
    <t>MD23-DB-2028-1-0102-20+340</t>
  </si>
  <si>
    <t>POINT (104.462316 17.452524 159.01)</t>
  </si>
  <si>
    <t>MD24-DB-2028-0102-20+370</t>
  </si>
  <si>
    <t>POINT (104.46259 17.452634 158.48)</t>
  </si>
  <si>
    <t>MD25-DB-2028-0102-20+400</t>
  </si>
  <si>
    <t>POINT (104.460997 17.452039 157.67)</t>
  </si>
  <si>
    <t>MD/LT1-2028-0102-20+250</t>
  </si>
  <si>
    <t>POINT (104.461003 17.452029 157.7)</t>
  </si>
  <si>
    <t>MD/RT1-2028-0102-20+250</t>
  </si>
  <si>
    <t>POINT (104.461331 17.452145 158.32)</t>
  </si>
  <si>
    <t>MD/LT2-2028-0102-20+280</t>
  </si>
  <si>
    <t>POINT (104.461345 17.452132 158.6)</t>
  </si>
  <si>
    <t>MD/RT2-2028-0102-20+280</t>
  </si>
  <si>
    <t>POINT (104.461665 17.452287 159.1)</t>
  </si>
  <si>
    <t>MD/LT3-2028-0102-20+310</t>
  </si>
  <si>
    <t>POINT (104.461673 17.452264 159.14)</t>
  </si>
  <si>
    <t>MD/RT3-2028-0102-20+310</t>
  </si>
  <si>
    <t>SG</t>
  </si>
  <si>
    <t>LT31-SG-2028-0102-20+430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</si>
</sst>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เซลล์ตรวจสอบ" xfId="13" builtinId="23" customBuiltin="1"/>
    <cellStyle name="เซลล์ที่มีลิงก์" xfId="12" builtinId="24" customBuiltin="1"/>
    <cellStyle name="แย่" xfId="7" builtinId="27" customBuiltin="1"/>
    <cellStyle name="แสดงผล" xfId="10" builtinId="21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5"/>
  <sheetViews>
    <sheetView tabSelected="1" topLeftCell="A10" zoomScale="115" zoomScaleNormal="115" workbookViewId="0">
      <selection activeCell="B20" sqref="B20"/>
    </sheetView>
  </sheetViews>
  <sheetFormatPr defaultRowHeight="14.25" x14ac:dyDescent="0.2"/>
  <cols>
    <col min="1" max="1" width="34.5" bestFit="1" customWidth="1"/>
  </cols>
  <sheetData>
    <row r="1" spans="1:11" x14ac:dyDescent="0.2">
      <c r="A1" t="s">
        <v>0</v>
      </c>
      <c r="B1" t="s">
        <v>1</v>
      </c>
      <c r="C1" t="s">
        <v>2</v>
      </c>
    </row>
    <row r="2" spans="1:11" x14ac:dyDescent="0.2">
      <c r="A2" t="s">
        <v>3</v>
      </c>
      <c r="B2" t="s">
        <v>4</v>
      </c>
      <c r="F2" t="str">
        <f>MID(A2,8,8)</f>
        <v>104.4514</v>
      </c>
      <c r="G2" t="str">
        <f>MID(A2,18,8)</f>
        <v xml:space="preserve"> 17.4494</v>
      </c>
      <c r="H2" s="1" t="str">
        <f>MID(B2,1,3)</f>
        <v>RT1</v>
      </c>
      <c r="I2" s="1">
        <v>2028</v>
      </c>
      <c r="J2" s="1" t="str">
        <f>MID(B2,5,2)</f>
        <v>SG</v>
      </c>
      <c r="K2" s="1" t="str">
        <f>MID(B2,13,4)</f>
        <v>0102</v>
      </c>
    </row>
    <row r="3" spans="1:11" x14ac:dyDescent="0.2">
      <c r="A3" t="s">
        <v>5</v>
      </c>
      <c r="B3" t="s">
        <v>6</v>
      </c>
      <c r="F3" t="str">
        <f t="shared" ref="F3:F66" si="0">MID(A3,8,8)</f>
        <v>104.4520</v>
      </c>
      <c r="G3" t="str">
        <f t="shared" ref="G3:G66" si="1">MID(A3,18,8)</f>
        <v xml:space="preserve"> 17.4495</v>
      </c>
      <c r="H3" s="1" t="str">
        <f t="shared" ref="H3:H66" si="2">MID(B3,1,3)</f>
        <v>RT2</v>
      </c>
      <c r="I3" s="1">
        <v>2028</v>
      </c>
      <c r="J3" s="1" t="str">
        <f t="shared" ref="J3:J66" si="3">MID(B3,5,2)</f>
        <v>SG</v>
      </c>
      <c r="K3" s="1" t="str">
        <f t="shared" ref="K3:K66" si="4">MID(B3,13,4)</f>
        <v>0102</v>
      </c>
    </row>
    <row r="4" spans="1:11" x14ac:dyDescent="0.2">
      <c r="A4" t="s">
        <v>7</v>
      </c>
      <c r="B4" t="s">
        <v>8</v>
      </c>
      <c r="F4" t="str">
        <f t="shared" si="0"/>
        <v>104.4525</v>
      </c>
      <c r="G4" t="str">
        <f t="shared" si="1"/>
        <v xml:space="preserve"> 17.4496</v>
      </c>
      <c r="H4" s="1" t="str">
        <f t="shared" si="2"/>
        <v>RT3</v>
      </c>
      <c r="I4" s="1">
        <v>2028</v>
      </c>
      <c r="J4" s="1" t="str">
        <f t="shared" si="3"/>
        <v>SG</v>
      </c>
      <c r="K4" s="1" t="str">
        <f t="shared" si="4"/>
        <v>0102</v>
      </c>
    </row>
    <row r="5" spans="1:11" x14ac:dyDescent="0.2">
      <c r="A5" t="s">
        <v>9</v>
      </c>
      <c r="B5" t="s">
        <v>10</v>
      </c>
      <c r="F5" t="str">
        <f t="shared" si="0"/>
        <v>104.4532</v>
      </c>
      <c r="G5" t="str">
        <f t="shared" si="1"/>
        <v xml:space="preserve"> 17.4498</v>
      </c>
      <c r="H5" s="1" t="str">
        <f t="shared" si="2"/>
        <v>RT4</v>
      </c>
      <c r="I5" s="1">
        <v>2028</v>
      </c>
      <c r="J5" s="1" t="str">
        <f t="shared" si="3"/>
        <v>SG</v>
      </c>
      <c r="K5" s="1" t="str">
        <f t="shared" si="4"/>
        <v>0102</v>
      </c>
    </row>
    <row r="6" spans="1:11" x14ac:dyDescent="0.2">
      <c r="A6" t="s">
        <v>11</v>
      </c>
      <c r="B6" t="s">
        <v>12</v>
      </c>
      <c r="F6" t="str">
        <f t="shared" si="0"/>
        <v>104.4536</v>
      </c>
      <c r="G6" t="str">
        <f t="shared" si="1"/>
        <v xml:space="preserve"> 17.4499</v>
      </c>
      <c r="H6" s="1" t="str">
        <f t="shared" si="2"/>
        <v>RT5</v>
      </c>
      <c r="I6" s="1">
        <v>2028</v>
      </c>
      <c r="J6" s="1" t="str">
        <f t="shared" si="3"/>
        <v>SG</v>
      </c>
      <c r="K6" s="1" t="str">
        <f t="shared" si="4"/>
        <v>0102</v>
      </c>
    </row>
    <row r="7" spans="1:11" x14ac:dyDescent="0.2">
      <c r="A7" t="s">
        <v>13</v>
      </c>
      <c r="B7" t="s">
        <v>14</v>
      </c>
      <c r="F7" t="str">
        <f t="shared" si="0"/>
        <v>104.4540</v>
      </c>
      <c r="G7" t="str">
        <f t="shared" si="1"/>
        <v xml:space="preserve"> 17.4499</v>
      </c>
      <c r="H7" s="1" t="str">
        <f t="shared" si="2"/>
        <v>RT6</v>
      </c>
      <c r="I7" s="1">
        <v>2028</v>
      </c>
      <c r="J7" s="1" t="str">
        <f t="shared" si="3"/>
        <v>SG</v>
      </c>
      <c r="K7" s="1" t="str">
        <f t="shared" si="4"/>
        <v>0102</v>
      </c>
    </row>
    <row r="8" spans="1:11" x14ac:dyDescent="0.2">
      <c r="A8" t="s">
        <v>15</v>
      </c>
      <c r="B8" t="s">
        <v>16</v>
      </c>
      <c r="F8" t="str">
        <f t="shared" si="0"/>
        <v>104.4542</v>
      </c>
      <c r="G8" t="str">
        <f t="shared" si="1"/>
        <v xml:space="preserve"> 17.4500</v>
      </c>
      <c r="H8" s="1" t="str">
        <f t="shared" si="2"/>
        <v>RT7</v>
      </c>
      <c r="I8" s="1">
        <v>2028</v>
      </c>
      <c r="J8" s="1" t="str">
        <f t="shared" si="3"/>
        <v>SG</v>
      </c>
      <c r="K8" s="1" t="str">
        <f t="shared" si="4"/>
        <v>0102</v>
      </c>
    </row>
    <row r="9" spans="1:11" x14ac:dyDescent="0.2">
      <c r="A9" t="s">
        <v>17</v>
      </c>
      <c r="B9" t="s">
        <v>18</v>
      </c>
      <c r="F9" t="str">
        <f t="shared" si="0"/>
        <v>104.4546</v>
      </c>
      <c r="G9" t="str">
        <f t="shared" si="1"/>
        <v xml:space="preserve"> 17.4501</v>
      </c>
      <c r="H9" s="1" t="str">
        <f t="shared" si="2"/>
        <v>RT8</v>
      </c>
      <c r="I9" s="1">
        <v>2028</v>
      </c>
      <c r="J9" s="1" t="str">
        <f t="shared" si="3"/>
        <v>SG</v>
      </c>
      <c r="K9" s="1" t="str">
        <f t="shared" si="4"/>
        <v>0102</v>
      </c>
    </row>
    <row r="10" spans="1:11" x14ac:dyDescent="0.2">
      <c r="A10" t="s">
        <v>19</v>
      </c>
      <c r="B10" t="s">
        <v>20</v>
      </c>
      <c r="F10" t="str">
        <f t="shared" si="0"/>
        <v>104.4629</v>
      </c>
      <c r="G10" t="str">
        <f t="shared" si="1"/>
        <v xml:space="preserve"> 17.4526</v>
      </c>
      <c r="H10" s="1" t="str">
        <f t="shared" si="2"/>
        <v>RT9</v>
      </c>
      <c r="I10" s="1">
        <v>2028</v>
      </c>
      <c r="J10" s="1" t="str">
        <f t="shared" si="3"/>
        <v>SG</v>
      </c>
      <c r="K10" s="1" t="str">
        <f t="shared" si="4"/>
        <v>0102</v>
      </c>
    </row>
    <row r="11" spans="1:11" x14ac:dyDescent="0.2">
      <c r="A11" t="s">
        <v>21</v>
      </c>
      <c r="B11" t="s">
        <v>22</v>
      </c>
      <c r="F11" t="str">
        <f t="shared" si="0"/>
        <v>104.4632</v>
      </c>
      <c r="G11" t="str">
        <f t="shared" si="1"/>
        <v xml:space="preserve"> 17.4527</v>
      </c>
      <c r="H11" s="1" t="str">
        <f>MID(B11,1,4)</f>
        <v>RT10</v>
      </c>
      <c r="I11" s="1">
        <v>2028</v>
      </c>
      <c r="J11" s="1" t="str">
        <f>MID(B11,6,2)</f>
        <v>SG</v>
      </c>
      <c r="K11" s="1" t="str">
        <f>MID(B11,14,4)</f>
        <v>0102</v>
      </c>
    </row>
    <row r="12" spans="1:11" x14ac:dyDescent="0.2">
      <c r="A12" t="s">
        <v>23</v>
      </c>
      <c r="B12" t="s">
        <v>24</v>
      </c>
      <c r="F12" t="str">
        <f t="shared" si="0"/>
        <v>104.4635</v>
      </c>
      <c r="G12" t="str">
        <f t="shared" si="1"/>
        <v xml:space="preserve"> 17.4529</v>
      </c>
      <c r="H12" s="1" t="str">
        <f t="shared" ref="H12:H75" si="5">MID(B12,1,4)</f>
        <v>RT11</v>
      </c>
      <c r="I12" s="1">
        <v>2028</v>
      </c>
      <c r="J12" s="1" t="str">
        <f t="shared" ref="J12:J75" si="6">MID(B12,6,2)</f>
        <v>SG</v>
      </c>
      <c r="K12" s="1" t="str">
        <f t="shared" ref="K12:K43" si="7">MID(B12,14,4)</f>
        <v>0102</v>
      </c>
    </row>
    <row r="13" spans="1:11" x14ac:dyDescent="0.2">
      <c r="A13" t="s">
        <v>25</v>
      </c>
      <c r="B13" t="s">
        <v>26</v>
      </c>
      <c r="F13" t="str">
        <f t="shared" si="0"/>
        <v>104.4638</v>
      </c>
      <c r="G13" t="str">
        <f t="shared" si="1"/>
        <v xml:space="preserve"> 17.4531</v>
      </c>
      <c r="H13" s="1" t="str">
        <f t="shared" si="5"/>
        <v>RT12</v>
      </c>
      <c r="I13" s="1">
        <v>2028</v>
      </c>
      <c r="J13" s="1" t="str">
        <f t="shared" si="6"/>
        <v>SG</v>
      </c>
      <c r="K13" s="1" t="str">
        <f t="shared" si="7"/>
        <v>0102</v>
      </c>
    </row>
    <row r="14" spans="1:11" x14ac:dyDescent="0.2">
      <c r="A14" t="s">
        <v>27</v>
      </c>
      <c r="B14" t="s">
        <v>28</v>
      </c>
      <c r="F14" t="str">
        <f t="shared" si="0"/>
        <v>104.4673</v>
      </c>
      <c r="G14" t="str">
        <f t="shared" si="1"/>
        <v xml:space="preserve"> 17.4545</v>
      </c>
      <c r="H14" s="1" t="str">
        <f t="shared" si="5"/>
        <v>RT13</v>
      </c>
      <c r="I14" s="1">
        <v>2028</v>
      </c>
      <c r="J14" s="1" t="str">
        <f t="shared" si="6"/>
        <v>SG</v>
      </c>
      <c r="K14" s="1" t="str">
        <f t="shared" si="7"/>
        <v>0102</v>
      </c>
    </row>
    <row r="15" spans="1:11" x14ac:dyDescent="0.2">
      <c r="A15" t="s">
        <v>29</v>
      </c>
      <c r="B15" t="s">
        <v>30</v>
      </c>
      <c r="F15" t="str">
        <f t="shared" si="0"/>
        <v>104.4679</v>
      </c>
      <c r="G15" t="str">
        <f>MID(A15,17,8)</f>
        <v xml:space="preserve"> 17.4547</v>
      </c>
      <c r="H15" s="1" t="str">
        <f t="shared" si="5"/>
        <v>RT14</v>
      </c>
      <c r="I15" s="1">
        <v>2028</v>
      </c>
      <c r="J15" s="1" t="str">
        <f t="shared" si="6"/>
        <v>SG</v>
      </c>
      <c r="K15" s="1" t="str">
        <f t="shared" si="7"/>
        <v>0102</v>
      </c>
    </row>
    <row r="16" spans="1:11" x14ac:dyDescent="0.2">
      <c r="A16" t="s">
        <v>31</v>
      </c>
      <c r="B16" t="s">
        <v>32</v>
      </c>
      <c r="F16" t="str">
        <f t="shared" si="0"/>
        <v>104.4684</v>
      </c>
      <c r="G16" t="str">
        <f t="shared" si="1"/>
        <v xml:space="preserve"> 17.4550</v>
      </c>
      <c r="H16" s="1" t="str">
        <f t="shared" si="5"/>
        <v>RT15</v>
      </c>
      <c r="I16" s="1">
        <v>2028</v>
      </c>
      <c r="J16" s="1" t="str">
        <f t="shared" si="6"/>
        <v>SG</v>
      </c>
      <c r="K16" s="1" t="str">
        <f t="shared" si="7"/>
        <v>0102</v>
      </c>
    </row>
    <row r="17" spans="1:11" x14ac:dyDescent="0.2">
      <c r="A17" t="s">
        <v>33</v>
      </c>
      <c r="B17" t="s">
        <v>34</v>
      </c>
      <c r="F17" t="str">
        <f t="shared" si="0"/>
        <v>104.4690</v>
      </c>
      <c r="G17" t="str">
        <f t="shared" si="1"/>
        <v xml:space="preserve"> 17.4552</v>
      </c>
      <c r="H17" s="1" t="str">
        <f t="shared" si="5"/>
        <v>RT16</v>
      </c>
      <c r="I17" s="1">
        <v>2028</v>
      </c>
      <c r="J17" s="1" t="str">
        <f t="shared" si="6"/>
        <v>SG</v>
      </c>
      <c r="K17" s="1" t="str">
        <f t="shared" si="7"/>
        <v>0102</v>
      </c>
    </row>
    <row r="18" spans="1:11" x14ac:dyDescent="0.2">
      <c r="A18" t="s">
        <v>35</v>
      </c>
      <c r="B18" t="s">
        <v>36</v>
      </c>
      <c r="F18" t="str">
        <f t="shared" si="0"/>
        <v>104.4695</v>
      </c>
      <c r="G18" t="str">
        <f t="shared" si="1"/>
        <v xml:space="preserve"> 17.4554</v>
      </c>
      <c r="H18" s="1" t="str">
        <f t="shared" si="5"/>
        <v>RT17</v>
      </c>
      <c r="I18" s="1">
        <v>2028</v>
      </c>
      <c r="J18" s="1" t="str">
        <f t="shared" si="6"/>
        <v>SG</v>
      </c>
      <c r="K18" s="1" t="str">
        <f t="shared" si="7"/>
        <v>0102</v>
      </c>
    </row>
    <row r="19" spans="1:11" x14ac:dyDescent="0.2">
      <c r="A19" t="s">
        <v>37</v>
      </c>
      <c r="B19" t="s">
        <v>38</v>
      </c>
      <c r="F19" t="str">
        <f t="shared" si="0"/>
        <v>104.4701</v>
      </c>
      <c r="G19" t="str">
        <f t="shared" si="1"/>
        <v xml:space="preserve"> 17.4556</v>
      </c>
      <c r="H19" s="1" t="str">
        <f t="shared" si="5"/>
        <v>RT18</v>
      </c>
      <c r="I19" s="1">
        <v>2028</v>
      </c>
      <c r="J19" s="1" t="str">
        <f t="shared" si="6"/>
        <v>SG</v>
      </c>
      <c r="K19" s="1" t="str">
        <f t="shared" si="7"/>
        <v>0102</v>
      </c>
    </row>
    <row r="20" spans="1:11" x14ac:dyDescent="0.2">
      <c r="A20" t="s">
        <v>39</v>
      </c>
      <c r="B20" t="s">
        <v>40</v>
      </c>
      <c r="F20" t="str">
        <f t="shared" si="0"/>
        <v>104.4706</v>
      </c>
      <c r="G20" t="str">
        <f t="shared" si="1"/>
        <v xml:space="preserve"> 17.4558</v>
      </c>
      <c r="H20" s="1" t="str">
        <f t="shared" si="5"/>
        <v>RT19</v>
      </c>
      <c r="I20" s="1">
        <v>2028</v>
      </c>
      <c r="J20" s="1" t="str">
        <f t="shared" si="6"/>
        <v>SG</v>
      </c>
      <c r="K20" s="1" t="str">
        <f t="shared" si="7"/>
        <v>0102</v>
      </c>
    </row>
    <row r="21" spans="1:11" x14ac:dyDescent="0.2">
      <c r="A21" t="s">
        <v>41</v>
      </c>
      <c r="B21" t="s">
        <v>42</v>
      </c>
      <c r="F21" t="str">
        <f t="shared" si="0"/>
        <v>104.4948</v>
      </c>
      <c r="G21" t="str">
        <f t="shared" si="1"/>
        <v xml:space="preserve"> 17.4783</v>
      </c>
      <c r="H21" s="1" t="str">
        <f>MID(B21,1,4)</f>
        <v>RT20</v>
      </c>
      <c r="I21" s="1">
        <v>2028</v>
      </c>
      <c r="J21" s="1" t="str">
        <f t="shared" si="6"/>
        <v>SG</v>
      </c>
      <c r="K21" s="1" t="str">
        <f t="shared" si="7"/>
        <v>0102</v>
      </c>
    </row>
    <row r="22" spans="1:11" x14ac:dyDescent="0.2">
      <c r="A22" t="s">
        <v>43</v>
      </c>
      <c r="B22" t="s">
        <v>44</v>
      </c>
      <c r="F22" t="str">
        <f t="shared" si="0"/>
        <v>104.4952</v>
      </c>
      <c r="G22" t="str">
        <f t="shared" si="1"/>
        <v xml:space="preserve"> 17.4785</v>
      </c>
      <c r="H22" s="1" t="str">
        <f t="shared" si="5"/>
        <v>RT21</v>
      </c>
      <c r="I22" s="1">
        <v>2028</v>
      </c>
      <c r="J22" s="1" t="str">
        <f t="shared" si="6"/>
        <v>SG</v>
      </c>
      <c r="K22" s="1" t="str">
        <f t="shared" si="7"/>
        <v>0102</v>
      </c>
    </row>
    <row r="23" spans="1:11" x14ac:dyDescent="0.2">
      <c r="A23" t="s">
        <v>45</v>
      </c>
      <c r="B23" t="s">
        <v>46</v>
      </c>
      <c r="F23" t="str">
        <f t="shared" si="0"/>
        <v>104.4955</v>
      </c>
      <c r="G23" t="str">
        <f t="shared" si="1"/>
        <v xml:space="preserve"> 17.4787</v>
      </c>
      <c r="H23" s="1" t="str">
        <f t="shared" si="5"/>
        <v>RT22</v>
      </c>
      <c r="I23" s="1">
        <v>2028</v>
      </c>
      <c r="J23" s="1" t="str">
        <f t="shared" si="6"/>
        <v>SG</v>
      </c>
      <c r="K23" s="1" t="str">
        <f t="shared" si="7"/>
        <v>0102</v>
      </c>
    </row>
    <row r="24" spans="1:11" x14ac:dyDescent="0.2">
      <c r="A24" t="s">
        <v>47</v>
      </c>
      <c r="B24" t="s">
        <v>48</v>
      </c>
      <c r="F24" t="str">
        <f t="shared" si="0"/>
        <v>104.4959</v>
      </c>
      <c r="G24" t="str">
        <f t="shared" si="1"/>
        <v xml:space="preserve"> 17.4789</v>
      </c>
      <c r="H24" s="1" t="str">
        <f t="shared" si="5"/>
        <v>RT23</v>
      </c>
      <c r="I24" s="1">
        <v>2028</v>
      </c>
      <c r="J24" s="1" t="str">
        <f t="shared" si="6"/>
        <v>SG</v>
      </c>
      <c r="K24" s="1" t="str">
        <f t="shared" si="7"/>
        <v>0102</v>
      </c>
    </row>
    <row r="25" spans="1:11" x14ac:dyDescent="0.2">
      <c r="A25" t="s">
        <v>49</v>
      </c>
      <c r="B25" t="s">
        <v>50</v>
      </c>
      <c r="F25" t="str">
        <f t="shared" si="0"/>
        <v>104.4963</v>
      </c>
      <c r="G25" t="str">
        <f t="shared" si="1"/>
        <v xml:space="preserve"> 17.4791</v>
      </c>
      <c r="H25" s="1" t="str">
        <f t="shared" si="5"/>
        <v>RT24</v>
      </c>
      <c r="I25" s="1">
        <v>2028</v>
      </c>
      <c r="J25" s="1" t="str">
        <f t="shared" si="6"/>
        <v>SG</v>
      </c>
      <c r="K25" s="1" t="str">
        <f t="shared" si="7"/>
        <v>0102</v>
      </c>
    </row>
    <row r="26" spans="1:11" x14ac:dyDescent="0.2">
      <c r="A26" t="s">
        <v>51</v>
      </c>
      <c r="B26" t="s">
        <v>52</v>
      </c>
      <c r="F26" t="str">
        <f t="shared" si="0"/>
        <v>104.4966</v>
      </c>
      <c r="G26" t="str">
        <f t="shared" si="1"/>
        <v xml:space="preserve"> 17.4793</v>
      </c>
      <c r="H26" s="1" t="str">
        <f t="shared" si="5"/>
        <v>RT25</v>
      </c>
      <c r="I26" s="1">
        <v>2028</v>
      </c>
      <c r="J26" s="1" t="str">
        <f t="shared" si="6"/>
        <v>SG</v>
      </c>
      <c r="K26" s="1" t="str">
        <f t="shared" si="7"/>
        <v>0102</v>
      </c>
    </row>
    <row r="27" spans="1:11" x14ac:dyDescent="0.2">
      <c r="A27" t="s">
        <v>53</v>
      </c>
      <c r="B27" t="s">
        <v>54</v>
      </c>
      <c r="F27" t="str">
        <f t="shared" si="0"/>
        <v>104.4969</v>
      </c>
      <c r="G27" t="str">
        <f t="shared" si="1"/>
        <v xml:space="preserve"> 17.4794</v>
      </c>
      <c r="H27" s="1" t="str">
        <f t="shared" si="5"/>
        <v>RT26</v>
      </c>
      <c r="I27" s="1">
        <v>2028</v>
      </c>
      <c r="J27" s="1" t="str">
        <f t="shared" si="6"/>
        <v>SG</v>
      </c>
      <c r="K27" s="1" t="str">
        <f t="shared" si="7"/>
        <v>0102</v>
      </c>
    </row>
    <row r="28" spans="1:11" x14ac:dyDescent="0.2">
      <c r="A28" t="s">
        <v>55</v>
      </c>
      <c r="B28" t="s">
        <v>56</v>
      </c>
      <c r="F28" t="str">
        <f t="shared" si="0"/>
        <v>104.4974</v>
      </c>
      <c r="G28" t="str">
        <f t="shared" si="1"/>
        <v xml:space="preserve"> 17.4796</v>
      </c>
      <c r="H28" s="1" t="str">
        <f t="shared" si="5"/>
        <v>RT27</v>
      </c>
      <c r="I28" s="1">
        <v>2028</v>
      </c>
      <c r="J28" s="1" t="str">
        <f t="shared" si="6"/>
        <v>SG</v>
      </c>
      <c r="K28" s="1" t="str">
        <f t="shared" si="7"/>
        <v>0102</v>
      </c>
    </row>
    <row r="29" spans="1:11" x14ac:dyDescent="0.2">
      <c r="A29" t="s">
        <v>57</v>
      </c>
      <c r="B29" t="s">
        <v>58</v>
      </c>
      <c r="F29" t="str">
        <f t="shared" si="0"/>
        <v>104.5796</v>
      </c>
      <c r="G29" t="str">
        <f t="shared" si="1"/>
        <v xml:space="preserve"> 17.5302</v>
      </c>
      <c r="H29" s="1" t="str">
        <f>MID(B29,1,4)</f>
        <v>RT28</v>
      </c>
      <c r="I29" s="1">
        <v>2028</v>
      </c>
      <c r="J29" s="1" t="str">
        <f t="shared" si="6"/>
        <v>SG</v>
      </c>
      <c r="K29" s="1" t="str">
        <f t="shared" si="7"/>
        <v>0102</v>
      </c>
    </row>
    <row r="30" spans="1:11" x14ac:dyDescent="0.2">
      <c r="A30" t="s">
        <v>59</v>
      </c>
      <c r="B30" t="s">
        <v>60</v>
      </c>
      <c r="F30" t="str">
        <f t="shared" si="0"/>
        <v>104.5799</v>
      </c>
      <c r="G30" t="str">
        <f t="shared" si="1"/>
        <v xml:space="preserve"> 17.5303</v>
      </c>
      <c r="H30" s="1" t="str">
        <f t="shared" si="5"/>
        <v>RT29</v>
      </c>
      <c r="I30" s="1">
        <v>2028</v>
      </c>
      <c r="J30" s="1" t="str">
        <f t="shared" si="6"/>
        <v>SG</v>
      </c>
      <c r="K30" s="1" t="str">
        <f t="shared" si="7"/>
        <v>0102</v>
      </c>
    </row>
    <row r="31" spans="1:11" x14ac:dyDescent="0.2">
      <c r="A31" t="s">
        <v>61</v>
      </c>
      <c r="B31" t="s">
        <v>62</v>
      </c>
      <c r="F31" t="str">
        <f t="shared" si="0"/>
        <v>104.5801</v>
      </c>
      <c r="G31" t="str">
        <f t="shared" si="1"/>
        <v xml:space="preserve"> 17.5304</v>
      </c>
      <c r="H31" s="1" t="str">
        <f t="shared" si="5"/>
        <v>RT30</v>
      </c>
      <c r="I31" s="1">
        <v>2028</v>
      </c>
      <c r="J31" s="1" t="str">
        <f t="shared" si="6"/>
        <v>SG</v>
      </c>
      <c r="K31" s="1" t="str">
        <f t="shared" si="7"/>
        <v>0102</v>
      </c>
    </row>
    <row r="32" spans="1:11" x14ac:dyDescent="0.2">
      <c r="A32" t="s">
        <v>63</v>
      </c>
      <c r="B32" t="s">
        <v>64</v>
      </c>
      <c r="F32" t="str">
        <f t="shared" si="0"/>
        <v>104.5804</v>
      </c>
      <c r="G32" t="str">
        <f t="shared" si="1"/>
        <v xml:space="preserve"> 17.5304</v>
      </c>
      <c r="H32" s="1" t="str">
        <f t="shared" si="5"/>
        <v>RT31</v>
      </c>
      <c r="I32" s="1">
        <v>2028</v>
      </c>
      <c r="J32" s="1" t="str">
        <f t="shared" si="6"/>
        <v>SG</v>
      </c>
      <c r="K32" s="1" t="str">
        <f t="shared" si="7"/>
        <v>0102</v>
      </c>
    </row>
    <row r="33" spans="1:11" x14ac:dyDescent="0.2">
      <c r="A33" t="s">
        <v>65</v>
      </c>
      <c r="B33" t="s">
        <v>66</v>
      </c>
      <c r="F33" t="str">
        <f t="shared" si="0"/>
        <v>104.5807</v>
      </c>
      <c r="G33" t="str">
        <f t="shared" si="1"/>
        <v xml:space="preserve"> 17.5304</v>
      </c>
      <c r="H33" s="1" t="str">
        <f t="shared" si="5"/>
        <v>RT32</v>
      </c>
      <c r="I33" s="1">
        <v>2028</v>
      </c>
      <c r="J33" s="1" t="str">
        <f t="shared" si="6"/>
        <v>SG</v>
      </c>
      <c r="K33" s="1" t="str">
        <f t="shared" si="7"/>
        <v>0102</v>
      </c>
    </row>
    <row r="34" spans="1:11" x14ac:dyDescent="0.2">
      <c r="A34" t="s">
        <v>67</v>
      </c>
      <c r="B34" t="s">
        <v>68</v>
      </c>
      <c r="F34" t="str">
        <f t="shared" si="0"/>
        <v>104.5810</v>
      </c>
      <c r="G34" t="str">
        <f t="shared" si="1"/>
        <v xml:space="preserve"> 17.5304</v>
      </c>
      <c r="H34" s="1" t="str">
        <f t="shared" si="5"/>
        <v>RT33</v>
      </c>
      <c r="I34" s="1">
        <v>2028</v>
      </c>
      <c r="J34" s="1" t="str">
        <f t="shared" si="6"/>
        <v>SG</v>
      </c>
      <c r="K34" s="1" t="str">
        <f t="shared" si="7"/>
        <v>0102</v>
      </c>
    </row>
    <row r="35" spans="1:11" x14ac:dyDescent="0.2">
      <c r="A35" t="s">
        <v>69</v>
      </c>
      <c r="B35" t="s">
        <v>70</v>
      </c>
      <c r="F35" t="str">
        <f t="shared" si="0"/>
        <v>104.5816</v>
      </c>
      <c r="G35" t="str">
        <f t="shared" si="1"/>
        <v xml:space="preserve"> 17.5304</v>
      </c>
      <c r="H35" s="1" t="str">
        <f t="shared" si="5"/>
        <v>RT34</v>
      </c>
      <c r="I35" s="1">
        <v>2028</v>
      </c>
      <c r="J35" s="1" t="str">
        <f t="shared" si="6"/>
        <v>SG</v>
      </c>
      <c r="K35" s="1" t="str">
        <f t="shared" si="7"/>
        <v>0102</v>
      </c>
    </row>
    <row r="36" spans="1:11" x14ac:dyDescent="0.2">
      <c r="A36" t="s">
        <v>71</v>
      </c>
      <c r="B36" t="s">
        <v>72</v>
      </c>
      <c r="F36" t="str">
        <f t="shared" si="0"/>
        <v>104.5819</v>
      </c>
      <c r="G36" t="str">
        <f t="shared" si="1"/>
        <v xml:space="preserve"> 17.5304</v>
      </c>
      <c r="H36" s="1" t="str">
        <f t="shared" si="5"/>
        <v>RT35</v>
      </c>
      <c r="I36" s="1">
        <v>2028</v>
      </c>
      <c r="J36" s="1" t="str">
        <f t="shared" si="6"/>
        <v>SG</v>
      </c>
      <c r="K36" s="1" t="str">
        <f t="shared" si="7"/>
        <v>0102</v>
      </c>
    </row>
    <row r="37" spans="1:11" x14ac:dyDescent="0.2">
      <c r="A37" t="s">
        <v>73</v>
      </c>
      <c r="B37" t="s">
        <v>74</v>
      </c>
      <c r="F37" t="str">
        <f t="shared" si="0"/>
        <v>104.5822</v>
      </c>
      <c r="G37" t="str">
        <f t="shared" si="1"/>
        <v xml:space="preserve"> 17.5304</v>
      </c>
      <c r="H37" s="1" t="str">
        <f t="shared" si="5"/>
        <v>RT36</v>
      </c>
      <c r="I37" s="1">
        <v>2028</v>
      </c>
      <c r="J37" s="1" t="str">
        <f t="shared" si="6"/>
        <v>SG</v>
      </c>
      <c r="K37" s="1" t="str">
        <f t="shared" si="7"/>
        <v>0102</v>
      </c>
    </row>
    <row r="38" spans="1:11" x14ac:dyDescent="0.2">
      <c r="A38" t="s">
        <v>75</v>
      </c>
      <c r="B38" t="s">
        <v>76</v>
      </c>
      <c r="F38" t="str">
        <f t="shared" si="0"/>
        <v>104.5825</v>
      </c>
      <c r="G38" t="str">
        <f t="shared" si="1"/>
        <v xml:space="preserve"> 17.5305</v>
      </c>
      <c r="H38" s="1" t="str">
        <f t="shared" si="5"/>
        <v>RT37</v>
      </c>
      <c r="I38" s="1">
        <v>2028</v>
      </c>
      <c r="J38" s="1" t="str">
        <f t="shared" si="6"/>
        <v>SG</v>
      </c>
      <c r="K38" s="1" t="str">
        <f t="shared" si="7"/>
        <v>0102</v>
      </c>
    </row>
    <row r="39" spans="1:11" x14ac:dyDescent="0.2">
      <c r="A39" t="s">
        <v>77</v>
      </c>
      <c r="B39" t="s">
        <v>78</v>
      </c>
      <c r="F39" t="str">
        <f t="shared" si="0"/>
        <v>104.5827</v>
      </c>
      <c r="G39" t="str">
        <f t="shared" si="1"/>
        <v xml:space="preserve"> 17.5305</v>
      </c>
      <c r="H39" s="1" t="str">
        <f>MID(B39,1,4)</f>
        <v>RT38</v>
      </c>
      <c r="I39" s="1">
        <v>2028</v>
      </c>
      <c r="J39" s="1" t="str">
        <f t="shared" si="6"/>
        <v>SG</v>
      </c>
      <c r="K39" s="1" t="str">
        <f t="shared" si="7"/>
        <v>0102</v>
      </c>
    </row>
    <row r="40" spans="1:11" x14ac:dyDescent="0.2">
      <c r="A40" t="s">
        <v>79</v>
      </c>
      <c r="B40" t="s">
        <v>80</v>
      </c>
      <c r="F40" t="str">
        <f t="shared" si="0"/>
        <v>104.5830</v>
      </c>
      <c r="G40" t="str">
        <f t="shared" si="1"/>
        <v xml:space="preserve"> 17.5305</v>
      </c>
      <c r="H40" s="1" t="str">
        <f t="shared" si="5"/>
        <v>RT39</v>
      </c>
      <c r="I40" s="1">
        <v>2028</v>
      </c>
      <c r="J40" s="1" t="str">
        <f t="shared" si="6"/>
        <v>SG</v>
      </c>
      <c r="K40" s="1" t="str">
        <f t="shared" si="7"/>
        <v>0102</v>
      </c>
    </row>
    <row r="41" spans="1:11" x14ac:dyDescent="0.2">
      <c r="A41" t="s">
        <v>81</v>
      </c>
      <c r="B41" t="s">
        <v>82</v>
      </c>
      <c r="F41" t="str">
        <f t="shared" si="0"/>
        <v>104.5833</v>
      </c>
      <c r="G41" t="str">
        <f t="shared" si="1"/>
        <v xml:space="preserve"> 17.5305</v>
      </c>
      <c r="H41" s="1" t="str">
        <f t="shared" si="5"/>
        <v>RT40</v>
      </c>
      <c r="I41" s="1">
        <v>2028</v>
      </c>
      <c r="J41" s="1" t="str">
        <f t="shared" si="6"/>
        <v>SG</v>
      </c>
      <c r="K41" s="1" t="str">
        <f t="shared" si="7"/>
        <v>0102</v>
      </c>
    </row>
    <row r="42" spans="1:11" x14ac:dyDescent="0.2">
      <c r="A42" t="s">
        <v>83</v>
      </c>
      <c r="B42" t="s">
        <v>84</v>
      </c>
      <c r="F42" t="str">
        <f t="shared" si="0"/>
        <v>104.6126</v>
      </c>
      <c r="G42" t="str">
        <f t="shared" si="1"/>
        <v xml:space="preserve"> 17.5522</v>
      </c>
      <c r="H42" s="1" t="str">
        <f t="shared" si="5"/>
        <v>RT41</v>
      </c>
      <c r="I42" s="1">
        <v>2028</v>
      </c>
      <c r="J42" s="1" t="str">
        <f t="shared" si="6"/>
        <v>SG</v>
      </c>
      <c r="K42" s="1" t="str">
        <f t="shared" si="7"/>
        <v>0102</v>
      </c>
    </row>
    <row r="43" spans="1:11" x14ac:dyDescent="0.2">
      <c r="A43" t="s">
        <v>85</v>
      </c>
      <c r="B43" t="s">
        <v>86</v>
      </c>
      <c r="F43" t="str">
        <f t="shared" si="0"/>
        <v>104.6130</v>
      </c>
      <c r="G43" t="str">
        <f t="shared" si="1"/>
        <v xml:space="preserve"> 17.5525</v>
      </c>
      <c r="H43" s="1" t="str">
        <f t="shared" si="5"/>
        <v>RT42</v>
      </c>
      <c r="I43" s="1">
        <v>2028</v>
      </c>
      <c r="J43" s="1" t="str">
        <f t="shared" si="6"/>
        <v>SG</v>
      </c>
      <c r="K43" s="1" t="str">
        <f t="shared" si="7"/>
        <v>0102</v>
      </c>
    </row>
    <row r="44" spans="1:11" x14ac:dyDescent="0.2">
      <c r="A44" t="s">
        <v>87</v>
      </c>
      <c r="B44" t="s">
        <v>88</v>
      </c>
      <c r="F44" t="str">
        <f t="shared" si="0"/>
        <v>104.4187</v>
      </c>
      <c r="G44" t="str">
        <f t="shared" si="1"/>
        <v xml:space="preserve"> 17.4328</v>
      </c>
      <c r="H44" s="1" t="str">
        <f t="shared" si="2"/>
        <v>LT1</v>
      </c>
      <c r="I44" s="1">
        <v>2028</v>
      </c>
      <c r="J44" s="1" t="str">
        <f>MID(B44,5,2)</f>
        <v>SG</v>
      </c>
      <c r="K44" s="1" t="str">
        <f t="shared" si="4"/>
        <v>0102</v>
      </c>
    </row>
    <row r="45" spans="1:11" x14ac:dyDescent="0.2">
      <c r="A45" t="s">
        <v>89</v>
      </c>
      <c r="B45" t="s">
        <v>90</v>
      </c>
      <c r="F45" t="str">
        <f t="shared" si="0"/>
        <v>104.4190</v>
      </c>
      <c r="G45" t="str">
        <f t="shared" si="1"/>
        <v xml:space="preserve"> 17.4330</v>
      </c>
      <c r="H45" s="1" t="str">
        <f t="shared" si="2"/>
        <v>LT2</v>
      </c>
      <c r="I45" s="1">
        <v>2028</v>
      </c>
      <c r="J45" s="1" t="str">
        <f t="shared" ref="J45:J52" si="8">MID(B45,5,2)</f>
        <v>SG</v>
      </c>
      <c r="K45" s="1" t="str">
        <f t="shared" si="4"/>
        <v>0102</v>
      </c>
    </row>
    <row r="46" spans="1:11" x14ac:dyDescent="0.2">
      <c r="A46" t="s">
        <v>91</v>
      </c>
      <c r="B46" t="s">
        <v>92</v>
      </c>
      <c r="F46" t="str">
        <f t="shared" si="0"/>
        <v>104.4192</v>
      </c>
      <c r="G46" t="str">
        <f t="shared" si="1"/>
        <v xml:space="preserve"> 17.4331</v>
      </c>
      <c r="H46" s="1" t="str">
        <f t="shared" si="2"/>
        <v>LT3</v>
      </c>
      <c r="I46" s="1">
        <v>2028</v>
      </c>
      <c r="J46" s="1" t="str">
        <f t="shared" si="8"/>
        <v>SG</v>
      </c>
      <c r="K46" s="1" t="str">
        <f t="shared" si="4"/>
        <v>0102</v>
      </c>
    </row>
    <row r="47" spans="1:11" x14ac:dyDescent="0.2">
      <c r="A47" t="s">
        <v>93</v>
      </c>
      <c r="B47" t="s">
        <v>94</v>
      </c>
      <c r="F47" t="str">
        <f t="shared" si="0"/>
        <v>104.4194</v>
      </c>
      <c r="G47" t="str">
        <f>MID(A47,17,8)</f>
        <v xml:space="preserve"> 17.4333</v>
      </c>
      <c r="H47" s="1" t="str">
        <f t="shared" si="2"/>
        <v>LT4</v>
      </c>
      <c r="I47" s="1">
        <v>2028</v>
      </c>
      <c r="J47" s="1" t="str">
        <f t="shared" si="8"/>
        <v>SG</v>
      </c>
      <c r="K47" s="1" t="str">
        <f t="shared" si="4"/>
        <v>0102</v>
      </c>
    </row>
    <row r="48" spans="1:11" x14ac:dyDescent="0.2">
      <c r="A48" t="s">
        <v>95</v>
      </c>
      <c r="B48" t="s">
        <v>96</v>
      </c>
      <c r="F48" t="str">
        <f t="shared" si="0"/>
        <v>104.4197</v>
      </c>
      <c r="G48" t="str">
        <f t="shared" si="1"/>
        <v xml:space="preserve"> 17.4335</v>
      </c>
      <c r="H48" s="1" t="str">
        <f t="shared" si="2"/>
        <v>LT5</v>
      </c>
      <c r="I48" s="1">
        <v>2028</v>
      </c>
      <c r="J48" s="1" t="str">
        <f t="shared" si="8"/>
        <v>SG</v>
      </c>
      <c r="K48" s="1" t="str">
        <f t="shared" si="4"/>
        <v>0102</v>
      </c>
    </row>
    <row r="49" spans="1:11" x14ac:dyDescent="0.2">
      <c r="A49" t="s">
        <v>97</v>
      </c>
      <c r="B49" t="s">
        <v>98</v>
      </c>
      <c r="F49" t="str">
        <f t="shared" si="0"/>
        <v>104.4200</v>
      </c>
      <c r="G49" t="str">
        <f t="shared" si="1"/>
        <v xml:space="preserve"> 17.4337</v>
      </c>
      <c r="H49" s="1" t="str">
        <f t="shared" si="2"/>
        <v>LT6</v>
      </c>
      <c r="I49" s="1">
        <v>2028</v>
      </c>
      <c r="J49" s="1" t="str">
        <f t="shared" si="8"/>
        <v>SG</v>
      </c>
      <c r="K49" s="1" t="str">
        <f t="shared" si="4"/>
        <v>0102</v>
      </c>
    </row>
    <row r="50" spans="1:11" x14ac:dyDescent="0.2">
      <c r="A50" t="s">
        <v>99</v>
      </c>
      <c r="B50" t="s">
        <v>100</v>
      </c>
      <c r="F50" t="str">
        <f t="shared" si="0"/>
        <v>104.4203</v>
      </c>
      <c r="G50" t="str">
        <f t="shared" si="1"/>
        <v xml:space="preserve"> 17.4340</v>
      </c>
      <c r="H50" s="1" t="str">
        <f t="shared" si="2"/>
        <v>LT7</v>
      </c>
      <c r="I50" s="1">
        <v>2028</v>
      </c>
      <c r="J50" s="1" t="str">
        <f t="shared" si="8"/>
        <v>SG</v>
      </c>
      <c r="K50" s="1" t="str">
        <f t="shared" si="4"/>
        <v>0102</v>
      </c>
    </row>
    <row r="51" spans="1:11" x14ac:dyDescent="0.2">
      <c r="A51" t="s">
        <v>101</v>
      </c>
      <c r="B51" t="s">
        <v>102</v>
      </c>
      <c r="F51" t="str">
        <f t="shared" si="0"/>
        <v>104.4207</v>
      </c>
      <c r="G51" t="str">
        <f t="shared" si="1"/>
        <v xml:space="preserve"> 17.4343</v>
      </c>
      <c r="H51" s="1" t="str">
        <f t="shared" si="2"/>
        <v>LT8</v>
      </c>
      <c r="I51" s="1">
        <v>2028</v>
      </c>
      <c r="J51" s="1" t="str">
        <f t="shared" si="8"/>
        <v>SG</v>
      </c>
      <c r="K51" s="1" t="str">
        <f t="shared" si="4"/>
        <v>0102</v>
      </c>
    </row>
    <row r="52" spans="1:11" x14ac:dyDescent="0.2">
      <c r="A52" t="s">
        <v>103</v>
      </c>
      <c r="B52" t="s">
        <v>104</v>
      </c>
      <c r="F52" t="str">
        <f t="shared" si="0"/>
        <v>104.4210</v>
      </c>
      <c r="G52" t="str">
        <f t="shared" si="1"/>
        <v xml:space="preserve"> 17.4345</v>
      </c>
      <c r="H52" s="1" t="str">
        <f t="shared" si="2"/>
        <v>LT9</v>
      </c>
      <c r="I52" s="1">
        <v>2028</v>
      </c>
      <c r="J52" s="1" t="str">
        <f t="shared" si="8"/>
        <v>SG</v>
      </c>
      <c r="K52" s="1" t="str">
        <f t="shared" si="4"/>
        <v>0102</v>
      </c>
    </row>
    <row r="53" spans="1:11" x14ac:dyDescent="0.2">
      <c r="A53" t="s">
        <v>105</v>
      </c>
      <c r="B53" t="s">
        <v>106</v>
      </c>
      <c r="F53" t="str">
        <f t="shared" si="0"/>
        <v>104.4213</v>
      </c>
      <c r="G53" t="str">
        <f t="shared" si="1"/>
        <v xml:space="preserve"> 17.4347</v>
      </c>
      <c r="H53" s="1" t="str">
        <f t="shared" si="5"/>
        <v>LT10</v>
      </c>
      <c r="I53" s="1">
        <v>2028</v>
      </c>
      <c r="J53" s="1" t="str">
        <f t="shared" si="6"/>
        <v>SG</v>
      </c>
      <c r="K53" s="1" t="str">
        <f t="shared" ref="K53:K116" si="9">MID(B53,14,4)</f>
        <v>0102</v>
      </c>
    </row>
    <row r="54" spans="1:11" x14ac:dyDescent="0.2">
      <c r="A54" t="s">
        <v>107</v>
      </c>
      <c r="B54" t="s">
        <v>108</v>
      </c>
      <c r="F54" t="str">
        <f t="shared" si="0"/>
        <v>104.4218</v>
      </c>
      <c r="G54" t="str">
        <f t="shared" si="1"/>
        <v xml:space="preserve"> 17.4350</v>
      </c>
      <c r="H54" s="1" t="str">
        <f t="shared" si="5"/>
        <v>LT11</v>
      </c>
      <c r="I54" s="1">
        <v>2028</v>
      </c>
      <c r="J54" s="1" t="str">
        <f t="shared" si="6"/>
        <v>SG</v>
      </c>
      <c r="K54" s="1" t="str">
        <f t="shared" si="9"/>
        <v>0102</v>
      </c>
    </row>
    <row r="55" spans="1:11" x14ac:dyDescent="0.2">
      <c r="A55" t="s">
        <v>109</v>
      </c>
      <c r="B55" t="s">
        <v>110</v>
      </c>
      <c r="F55" t="str">
        <f t="shared" si="0"/>
        <v>104.4220</v>
      </c>
      <c r="G55" t="str">
        <f t="shared" si="1"/>
        <v xml:space="preserve"> 17.4351</v>
      </c>
      <c r="H55" s="1" t="str">
        <f t="shared" si="5"/>
        <v>LT12</v>
      </c>
      <c r="I55" s="1">
        <v>2028</v>
      </c>
      <c r="J55" s="1" t="str">
        <f t="shared" si="6"/>
        <v>SG</v>
      </c>
      <c r="K55" s="1" t="str">
        <f t="shared" si="9"/>
        <v>0102</v>
      </c>
    </row>
    <row r="56" spans="1:11" x14ac:dyDescent="0.2">
      <c r="A56" t="s">
        <v>111</v>
      </c>
      <c r="B56" t="s">
        <v>112</v>
      </c>
      <c r="F56" t="str">
        <f t="shared" si="0"/>
        <v>104.4224</v>
      </c>
      <c r="G56" t="str">
        <f t="shared" si="1"/>
        <v xml:space="preserve"> 17.4354</v>
      </c>
      <c r="H56" s="1" t="str">
        <f t="shared" si="5"/>
        <v>LT13</v>
      </c>
      <c r="I56" s="1">
        <v>2028</v>
      </c>
      <c r="J56" s="1" t="str">
        <f t="shared" si="6"/>
        <v>SG</v>
      </c>
      <c r="K56" s="1" t="str">
        <f t="shared" si="9"/>
        <v>0102</v>
      </c>
    </row>
    <row r="57" spans="1:11" x14ac:dyDescent="0.2">
      <c r="A57" t="s">
        <v>113</v>
      </c>
      <c r="B57" t="s">
        <v>114</v>
      </c>
      <c r="F57" t="str">
        <f t="shared" si="0"/>
        <v>104.4227</v>
      </c>
      <c r="G57" t="str">
        <f t="shared" si="1"/>
        <v xml:space="preserve"> 17.4355</v>
      </c>
      <c r="H57" s="1" t="str">
        <f t="shared" si="5"/>
        <v>LT14</v>
      </c>
      <c r="I57" s="1">
        <v>2028</v>
      </c>
      <c r="J57" s="1" t="str">
        <f t="shared" si="6"/>
        <v>SG</v>
      </c>
      <c r="K57" s="1" t="str">
        <f t="shared" si="9"/>
        <v>0102</v>
      </c>
    </row>
    <row r="58" spans="1:11" x14ac:dyDescent="0.2">
      <c r="A58" t="s">
        <v>115</v>
      </c>
      <c r="B58" t="s">
        <v>116</v>
      </c>
      <c r="F58" t="str">
        <f t="shared" si="0"/>
        <v>104.4231</v>
      </c>
      <c r="G58" t="str">
        <f t="shared" si="1"/>
        <v xml:space="preserve"> 17.4357</v>
      </c>
      <c r="H58" s="1" t="str">
        <f t="shared" si="5"/>
        <v>LT15</v>
      </c>
      <c r="I58" s="1">
        <v>2028</v>
      </c>
      <c r="J58" s="1" t="str">
        <f t="shared" si="6"/>
        <v>SG</v>
      </c>
      <c r="K58" s="1" t="str">
        <f t="shared" si="9"/>
        <v>0102</v>
      </c>
    </row>
    <row r="59" spans="1:11" x14ac:dyDescent="0.2">
      <c r="A59" t="s">
        <v>117</v>
      </c>
      <c r="B59" t="s">
        <v>118</v>
      </c>
      <c r="F59" t="str">
        <f t="shared" si="0"/>
        <v>104.4235</v>
      </c>
      <c r="G59" t="str">
        <f t="shared" si="1"/>
        <v xml:space="preserve"> 17.4360</v>
      </c>
      <c r="H59" s="1" t="str">
        <f t="shared" si="5"/>
        <v>LT16</v>
      </c>
      <c r="I59" s="1">
        <v>2028</v>
      </c>
      <c r="J59" s="1" t="str">
        <f t="shared" si="6"/>
        <v>SG</v>
      </c>
      <c r="K59" s="1" t="str">
        <f t="shared" si="9"/>
        <v>0102</v>
      </c>
    </row>
    <row r="60" spans="1:11" x14ac:dyDescent="0.2">
      <c r="A60" t="s">
        <v>119</v>
      </c>
      <c r="B60" t="s">
        <v>120</v>
      </c>
      <c r="F60" t="str">
        <f t="shared" si="0"/>
        <v>104.4240</v>
      </c>
      <c r="G60" t="str">
        <f t="shared" si="1"/>
        <v xml:space="preserve"> 17.4362</v>
      </c>
      <c r="H60" s="1" t="str">
        <f t="shared" si="5"/>
        <v>LT17</v>
      </c>
      <c r="I60" s="1">
        <v>2028</v>
      </c>
      <c r="J60" s="1" t="str">
        <f t="shared" si="6"/>
        <v>SG</v>
      </c>
      <c r="K60" s="1" t="str">
        <f t="shared" si="9"/>
        <v>0102</v>
      </c>
    </row>
    <row r="61" spans="1:11" x14ac:dyDescent="0.2">
      <c r="A61" t="s">
        <v>121</v>
      </c>
      <c r="B61" t="s">
        <v>122</v>
      </c>
      <c r="F61" t="str">
        <f t="shared" si="0"/>
        <v>104.4289</v>
      </c>
      <c r="G61" t="str">
        <f t="shared" si="1"/>
        <v xml:space="preserve"> 17.4389</v>
      </c>
      <c r="H61" s="1" t="str">
        <f t="shared" si="5"/>
        <v>LT18</v>
      </c>
      <c r="I61" s="1">
        <v>2028</v>
      </c>
      <c r="J61" s="1" t="str">
        <f t="shared" si="6"/>
        <v>SG</v>
      </c>
      <c r="K61" s="1" t="str">
        <f t="shared" si="9"/>
        <v>0102</v>
      </c>
    </row>
    <row r="62" spans="1:11" x14ac:dyDescent="0.2">
      <c r="A62" t="s">
        <v>123</v>
      </c>
      <c r="B62" t="s">
        <v>124</v>
      </c>
      <c r="F62" t="str">
        <f t="shared" si="0"/>
        <v>104.4293</v>
      </c>
      <c r="G62" t="str">
        <f>MID(A62,17,8)</f>
        <v xml:space="preserve"> 17.4391</v>
      </c>
      <c r="H62" s="1" t="str">
        <f t="shared" si="5"/>
        <v>LT19</v>
      </c>
      <c r="I62" s="1">
        <v>2028</v>
      </c>
      <c r="J62" s="1" t="str">
        <f t="shared" si="6"/>
        <v>SG</v>
      </c>
      <c r="K62" s="1" t="str">
        <f t="shared" si="9"/>
        <v>0102</v>
      </c>
    </row>
    <row r="63" spans="1:11" x14ac:dyDescent="0.2">
      <c r="A63" t="s">
        <v>125</v>
      </c>
      <c r="B63" t="s">
        <v>126</v>
      </c>
      <c r="F63" t="str">
        <f t="shared" si="0"/>
        <v>104.4296</v>
      </c>
      <c r="G63" t="str">
        <f t="shared" si="1"/>
        <v xml:space="preserve"> 17.4393</v>
      </c>
      <c r="H63" s="1" t="str">
        <f t="shared" si="5"/>
        <v>LT20</v>
      </c>
      <c r="I63" s="1">
        <v>2028</v>
      </c>
      <c r="J63" s="1" t="str">
        <f t="shared" si="6"/>
        <v>SG</v>
      </c>
      <c r="K63" s="1" t="str">
        <f t="shared" si="9"/>
        <v>0102</v>
      </c>
    </row>
    <row r="64" spans="1:11" x14ac:dyDescent="0.2">
      <c r="A64" t="s">
        <v>127</v>
      </c>
      <c r="B64" t="s">
        <v>128</v>
      </c>
      <c r="F64" t="str">
        <f t="shared" si="0"/>
        <v>104.4300</v>
      </c>
      <c r="G64" t="str">
        <f t="shared" si="1"/>
        <v xml:space="preserve"> 17.4396</v>
      </c>
      <c r="H64" s="1" t="str">
        <f t="shared" si="5"/>
        <v>LT21</v>
      </c>
      <c r="I64" s="1">
        <v>2028</v>
      </c>
      <c r="J64" s="1" t="str">
        <f t="shared" si="6"/>
        <v>SG</v>
      </c>
      <c r="K64" s="1" t="str">
        <f t="shared" si="9"/>
        <v>0102</v>
      </c>
    </row>
    <row r="65" spans="1:11" x14ac:dyDescent="0.2">
      <c r="A65" t="s">
        <v>129</v>
      </c>
      <c r="B65" t="s">
        <v>130</v>
      </c>
      <c r="F65" t="str">
        <f t="shared" si="0"/>
        <v>104.4304</v>
      </c>
      <c r="G65" t="str">
        <f t="shared" si="1"/>
        <v xml:space="preserve"> 17.4398</v>
      </c>
      <c r="H65" s="1" t="str">
        <f t="shared" si="5"/>
        <v>LT22</v>
      </c>
      <c r="I65" s="1">
        <v>2028</v>
      </c>
      <c r="J65" s="1" t="str">
        <f t="shared" si="6"/>
        <v>SG</v>
      </c>
      <c r="K65" s="1" t="str">
        <f t="shared" si="9"/>
        <v>0102</v>
      </c>
    </row>
    <row r="66" spans="1:11" x14ac:dyDescent="0.2">
      <c r="A66" t="s">
        <v>131</v>
      </c>
      <c r="B66" t="s">
        <v>132</v>
      </c>
      <c r="F66" t="str">
        <f t="shared" si="0"/>
        <v>104.4511</v>
      </c>
      <c r="G66" t="str">
        <f t="shared" si="1"/>
        <v xml:space="preserve"> 17.4495</v>
      </c>
      <c r="H66" s="1" t="str">
        <f t="shared" si="5"/>
        <v>LT23</v>
      </c>
      <c r="I66" s="1">
        <v>2028</v>
      </c>
      <c r="J66" s="1" t="str">
        <f t="shared" si="6"/>
        <v>SG</v>
      </c>
      <c r="K66" s="1" t="str">
        <f t="shared" si="9"/>
        <v>0102</v>
      </c>
    </row>
    <row r="67" spans="1:11" x14ac:dyDescent="0.2">
      <c r="A67" t="s">
        <v>133</v>
      </c>
      <c r="B67" t="s">
        <v>134</v>
      </c>
      <c r="F67" t="str">
        <f t="shared" ref="F67:F130" si="10">MID(A67,8,8)</f>
        <v>104.4517</v>
      </c>
      <c r="G67" t="str">
        <f t="shared" ref="G67:G130" si="11">MID(A67,18,8)</f>
        <v xml:space="preserve"> 17.4496</v>
      </c>
      <c r="H67" s="1" t="str">
        <f t="shared" si="5"/>
        <v>LT24</v>
      </c>
      <c r="I67" s="1">
        <v>2028</v>
      </c>
      <c r="J67" s="1" t="str">
        <f t="shared" si="6"/>
        <v>SG</v>
      </c>
      <c r="K67" s="1" t="str">
        <f t="shared" si="9"/>
        <v>0102</v>
      </c>
    </row>
    <row r="68" spans="1:11" x14ac:dyDescent="0.2">
      <c r="A68" t="s">
        <v>135</v>
      </c>
      <c r="B68" t="s">
        <v>136</v>
      </c>
      <c r="F68" t="str">
        <f t="shared" si="10"/>
        <v>104.4523</v>
      </c>
      <c r="G68" t="str">
        <f t="shared" si="11"/>
        <v xml:space="preserve"> 17.4497</v>
      </c>
      <c r="H68" s="1" t="str">
        <f t="shared" si="5"/>
        <v>LT25</v>
      </c>
      <c r="I68" s="1">
        <v>2028</v>
      </c>
      <c r="J68" s="1" t="str">
        <f t="shared" si="6"/>
        <v>SG</v>
      </c>
      <c r="K68" s="1" t="str">
        <f t="shared" si="9"/>
        <v>0102</v>
      </c>
    </row>
    <row r="69" spans="1:11" x14ac:dyDescent="0.2">
      <c r="A69" t="s">
        <v>137</v>
      </c>
      <c r="B69" t="s">
        <v>138</v>
      </c>
      <c r="F69" t="str">
        <f t="shared" si="10"/>
        <v>104.4529</v>
      </c>
      <c r="G69" t="str">
        <f t="shared" si="11"/>
        <v xml:space="preserve"> 17.4499</v>
      </c>
      <c r="H69" s="1" t="str">
        <f t="shared" si="5"/>
        <v>LT26</v>
      </c>
      <c r="I69" s="1">
        <v>2028</v>
      </c>
      <c r="J69" s="1" t="str">
        <f t="shared" si="6"/>
        <v>SG</v>
      </c>
      <c r="K69" s="1" t="str">
        <f t="shared" si="9"/>
        <v>0102</v>
      </c>
    </row>
    <row r="70" spans="1:11" x14ac:dyDescent="0.2">
      <c r="A70" t="s">
        <v>139</v>
      </c>
      <c r="B70" t="s">
        <v>140</v>
      </c>
      <c r="F70" t="str">
        <f t="shared" si="10"/>
        <v>104.4534</v>
      </c>
      <c r="G70" t="str">
        <f t="shared" si="11"/>
        <v xml:space="preserve"> 17.4500</v>
      </c>
      <c r="H70" s="1" t="str">
        <f t="shared" si="5"/>
        <v>LT27</v>
      </c>
      <c r="I70" s="1">
        <v>2028</v>
      </c>
      <c r="J70" s="1" t="str">
        <f t="shared" si="6"/>
        <v>SG</v>
      </c>
      <c r="K70" s="1" t="str">
        <f t="shared" si="9"/>
        <v>0102</v>
      </c>
    </row>
    <row r="71" spans="1:11" x14ac:dyDescent="0.2">
      <c r="A71" t="s">
        <v>141</v>
      </c>
      <c r="B71" t="s">
        <v>142</v>
      </c>
      <c r="F71" t="str">
        <f t="shared" si="10"/>
        <v>104.4538</v>
      </c>
      <c r="G71" t="str">
        <f t="shared" si="11"/>
        <v xml:space="preserve"> 17.4501</v>
      </c>
      <c r="H71" s="1" t="str">
        <f t="shared" si="5"/>
        <v>LT28</v>
      </c>
      <c r="I71" s="1">
        <v>2028</v>
      </c>
      <c r="J71" s="1" t="str">
        <f t="shared" si="6"/>
        <v>SG</v>
      </c>
      <c r="K71" s="1" t="str">
        <f t="shared" si="9"/>
        <v>0102</v>
      </c>
    </row>
    <row r="72" spans="1:11" x14ac:dyDescent="0.2">
      <c r="A72" t="s">
        <v>143</v>
      </c>
      <c r="B72" t="s">
        <v>144</v>
      </c>
      <c r="F72" t="str">
        <f t="shared" si="10"/>
        <v>104.4541</v>
      </c>
      <c r="G72" t="str">
        <f t="shared" si="11"/>
        <v xml:space="preserve"> 17.4502</v>
      </c>
      <c r="H72" s="1" t="str">
        <f t="shared" si="5"/>
        <v>LT29</v>
      </c>
      <c r="I72" s="1">
        <v>2028</v>
      </c>
      <c r="J72" s="1" t="str">
        <f t="shared" si="6"/>
        <v>SG</v>
      </c>
      <c r="K72" s="1" t="str">
        <f t="shared" si="9"/>
        <v>0102</v>
      </c>
    </row>
    <row r="73" spans="1:11" x14ac:dyDescent="0.2">
      <c r="A73" t="s">
        <v>145</v>
      </c>
      <c r="B73" t="s">
        <v>146</v>
      </c>
      <c r="F73" t="str">
        <f t="shared" si="10"/>
        <v>104.4545</v>
      </c>
      <c r="G73" t="str">
        <f t="shared" si="11"/>
        <v xml:space="preserve"> 17.4502</v>
      </c>
      <c r="H73" s="1" t="str">
        <f t="shared" si="5"/>
        <v>LT30</v>
      </c>
      <c r="I73" s="1">
        <v>2028</v>
      </c>
      <c r="J73" s="1" t="str">
        <f t="shared" si="6"/>
        <v>SG</v>
      </c>
      <c r="K73" s="1" t="str">
        <f t="shared" si="9"/>
        <v>0102</v>
      </c>
    </row>
    <row r="74" spans="1:11" x14ac:dyDescent="0.2">
      <c r="A74" t="s">
        <v>147</v>
      </c>
      <c r="B74" t="s">
        <v>311</v>
      </c>
      <c r="F74" t="str">
        <f t="shared" si="10"/>
        <v>104.4628</v>
      </c>
      <c r="G74" t="str">
        <f t="shared" si="11"/>
        <v xml:space="preserve"> 17.4527</v>
      </c>
      <c r="H74" s="1" t="str">
        <f t="shared" si="5"/>
        <v>LT31</v>
      </c>
      <c r="I74" s="1">
        <v>2028</v>
      </c>
      <c r="J74" s="1" t="str">
        <f t="shared" si="6"/>
        <v>SG</v>
      </c>
      <c r="K74" s="1" t="str">
        <f t="shared" si="9"/>
        <v>0102</v>
      </c>
    </row>
    <row r="75" spans="1:11" x14ac:dyDescent="0.2">
      <c r="A75" t="s">
        <v>148</v>
      </c>
      <c r="B75" t="s">
        <v>149</v>
      </c>
      <c r="F75" t="str">
        <f t="shared" si="10"/>
        <v>104.4631</v>
      </c>
      <c r="G75" t="str">
        <f t="shared" si="11"/>
        <v xml:space="preserve"> 17.4529</v>
      </c>
      <c r="H75" s="1" t="str">
        <f t="shared" si="5"/>
        <v>LT32</v>
      </c>
      <c r="I75" s="1">
        <v>2028</v>
      </c>
      <c r="J75" s="1" t="str">
        <f t="shared" si="6"/>
        <v>SG</v>
      </c>
      <c r="K75" s="1" t="str">
        <f t="shared" si="9"/>
        <v>0102</v>
      </c>
    </row>
    <row r="76" spans="1:11" x14ac:dyDescent="0.2">
      <c r="A76" t="s">
        <v>150</v>
      </c>
      <c r="B76" t="s">
        <v>151</v>
      </c>
      <c r="F76" t="str">
        <f t="shared" si="10"/>
        <v>104.4635</v>
      </c>
      <c r="G76" t="str">
        <f>MID(A76,17,8)</f>
        <v xml:space="preserve"> 17.4530</v>
      </c>
      <c r="H76" s="1" t="str">
        <f t="shared" ref="H76:H124" si="12">MID(B76,1,4)</f>
        <v>LT33</v>
      </c>
      <c r="I76" s="1">
        <v>2028</v>
      </c>
      <c r="J76" s="1" t="str">
        <f t="shared" ref="J76:J124" si="13">MID(B76,6,2)</f>
        <v>SG</v>
      </c>
      <c r="K76" s="1" t="str">
        <f t="shared" si="9"/>
        <v>0102</v>
      </c>
    </row>
    <row r="77" spans="1:11" x14ac:dyDescent="0.2">
      <c r="A77" t="s">
        <v>152</v>
      </c>
      <c r="B77" t="s">
        <v>153</v>
      </c>
      <c r="F77" t="str">
        <f t="shared" si="10"/>
        <v>104.4638</v>
      </c>
      <c r="G77" t="str">
        <f t="shared" si="11"/>
        <v xml:space="preserve"> 17.4532</v>
      </c>
      <c r="H77" s="1" t="str">
        <f t="shared" si="12"/>
        <v>LT34</v>
      </c>
      <c r="I77" s="1">
        <v>2028</v>
      </c>
      <c r="J77" s="1" t="str">
        <f t="shared" si="13"/>
        <v>SG</v>
      </c>
      <c r="K77" s="1" t="str">
        <f t="shared" si="9"/>
        <v>0102</v>
      </c>
    </row>
    <row r="78" spans="1:11" x14ac:dyDescent="0.2">
      <c r="A78" t="s">
        <v>154</v>
      </c>
      <c r="B78" t="s">
        <v>155</v>
      </c>
      <c r="F78" t="str">
        <f t="shared" si="10"/>
        <v>104.4641</v>
      </c>
      <c r="G78" t="str">
        <f t="shared" si="11"/>
        <v xml:space="preserve"> 17.4533</v>
      </c>
      <c r="H78" s="1" t="str">
        <f t="shared" si="12"/>
        <v>LT35</v>
      </c>
      <c r="I78" s="1">
        <v>2028</v>
      </c>
      <c r="J78" s="1" t="str">
        <f t="shared" si="13"/>
        <v>SG</v>
      </c>
      <c r="K78" s="1" t="str">
        <f t="shared" si="9"/>
        <v>0102</v>
      </c>
    </row>
    <row r="79" spans="1:11" x14ac:dyDescent="0.2">
      <c r="A79" t="s">
        <v>156</v>
      </c>
      <c r="B79" t="s">
        <v>157</v>
      </c>
      <c r="F79" t="str">
        <f t="shared" si="10"/>
        <v>104.4645</v>
      </c>
      <c r="G79" t="str">
        <f t="shared" si="11"/>
        <v xml:space="preserve"> 17.4534</v>
      </c>
      <c r="H79" s="1" t="str">
        <f t="shared" si="12"/>
        <v>LT36</v>
      </c>
      <c r="I79" s="1">
        <v>2028</v>
      </c>
      <c r="J79" s="1" t="str">
        <f t="shared" si="13"/>
        <v>SG</v>
      </c>
      <c r="K79" s="1" t="str">
        <f t="shared" si="9"/>
        <v>0102</v>
      </c>
    </row>
    <row r="80" spans="1:11" x14ac:dyDescent="0.2">
      <c r="A80" t="s">
        <v>158</v>
      </c>
      <c r="B80" t="s">
        <v>159</v>
      </c>
      <c r="F80" t="str">
        <f t="shared" si="10"/>
        <v>104.4648</v>
      </c>
      <c r="G80" t="str">
        <f t="shared" si="11"/>
        <v xml:space="preserve"> 17.4535</v>
      </c>
      <c r="H80" s="1" t="str">
        <f t="shared" si="12"/>
        <v>LT37</v>
      </c>
      <c r="I80" s="1">
        <v>2028</v>
      </c>
      <c r="J80" s="1" t="str">
        <f t="shared" si="13"/>
        <v>SG</v>
      </c>
      <c r="K80" s="1" t="str">
        <f t="shared" si="9"/>
        <v>0102</v>
      </c>
    </row>
    <row r="81" spans="1:11" x14ac:dyDescent="0.2">
      <c r="A81" t="s">
        <v>160</v>
      </c>
      <c r="B81" t="s">
        <v>161</v>
      </c>
      <c r="F81" t="str">
        <f t="shared" si="10"/>
        <v>104.4651</v>
      </c>
      <c r="G81" t="str">
        <f t="shared" si="11"/>
        <v xml:space="preserve"> 17.4537</v>
      </c>
      <c r="H81" s="1" t="str">
        <f t="shared" si="12"/>
        <v>LT38</v>
      </c>
      <c r="I81" s="1">
        <v>2028</v>
      </c>
      <c r="J81" s="1" t="str">
        <f t="shared" si="13"/>
        <v>SG</v>
      </c>
      <c r="K81" s="1" t="str">
        <f t="shared" si="9"/>
        <v>0102</v>
      </c>
    </row>
    <row r="82" spans="1:11" x14ac:dyDescent="0.2">
      <c r="A82" t="s">
        <v>162</v>
      </c>
      <c r="B82" t="s">
        <v>163</v>
      </c>
      <c r="F82" t="str">
        <f t="shared" si="10"/>
        <v>104.4655</v>
      </c>
      <c r="G82" t="str">
        <f t="shared" si="11"/>
        <v xml:space="preserve"> 17.4539</v>
      </c>
      <c r="H82" s="1" t="str">
        <f t="shared" si="12"/>
        <v>LT39</v>
      </c>
      <c r="I82" s="1">
        <v>2028</v>
      </c>
      <c r="J82" s="1" t="str">
        <f t="shared" si="13"/>
        <v>SG</v>
      </c>
      <c r="K82" s="1" t="str">
        <f t="shared" si="9"/>
        <v>0102</v>
      </c>
    </row>
    <row r="83" spans="1:11" x14ac:dyDescent="0.2">
      <c r="A83" t="s">
        <v>164</v>
      </c>
      <c r="B83" t="s">
        <v>165</v>
      </c>
      <c r="F83" t="str">
        <f t="shared" si="10"/>
        <v>104.4657</v>
      </c>
      <c r="G83" t="str">
        <f t="shared" si="11"/>
        <v xml:space="preserve"> 17.454 </v>
      </c>
      <c r="H83" s="1" t="str">
        <f t="shared" si="12"/>
        <v>LT40</v>
      </c>
      <c r="I83" s="1">
        <v>2028</v>
      </c>
      <c r="J83" s="1" t="str">
        <f t="shared" si="13"/>
        <v>SG</v>
      </c>
      <c r="K83" s="1" t="str">
        <f t="shared" si="9"/>
        <v>0102</v>
      </c>
    </row>
    <row r="84" spans="1:11" x14ac:dyDescent="0.2">
      <c r="A84" t="s">
        <v>166</v>
      </c>
      <c r="B84" t="s">
        <v>167</v>
      </c>
      <c r="F84" t="str">
        <f t="shared" si="10"/>
        <v>104.4660</v>
      </c>
      <c r="G84" t="str">
        <f t="shared" si="11"/>
        <v xml:space="preserve"> 17.4541</v>
      </c>
      <c r="H84" s="1" t="str">
        <f t="shared" si="12"/>
        <v>LT41</v>
      </c>
      <c r="I84" s="1">
        <v>2028</v>
      </c>
      <c r="J84" s="1" t="str">
        <f t="shared" si="13"/>
        <v>SG</v>
      </c>
      <c r="K84" s="1" t="str">
        <f t="shared" si="9"/>
        <v>0102</v>
      </c>
    </row>
    <row r="85" spans="1:11" x14ac:dyDescent="0.2">
      <c r="A85" t="s">
        <v>168</v>
      </c>
      <c r="B85" t="s">
        <v>169</v>
      </c>
      <c r="F85" t="str">
        <f t="shared" si="10"/>
        <v>104.4662</v>
      </c>
      <c r="G85" t="str">
        <f t="shared" si="11"/>
        <v xml:space="preserve"> 17.4542</v>
      </c>
      <c r="H85" s="1" t="str">
        <f t="shared" si="12"/>
        <v>LT42</v>
      </c>
      <c r="I85" s="1">
        <v>2028</v>
      </c>
      <c r="J85" s="1" t="str">
        <f t="shared" si="13"/>
        <v>SG</v>
      </c>
      <c r="K85" s="1" t="str">
        <f t="shared" si="9"/>
        <v>0102</v>
      </c>
    </row>
    <row r="86" spans="1:11" x14ac:dyDescent="0.2">
      <c r="A86" t="s">
        <v>170</v>
      </c>
      <c r="B86" t="s">
        <v>171</v>
      </c>
      <c r="F86" t="str">
        <f t="shared" si="10"/>
        <v>104.4667</v>
      </c>
      <c r="G86" t="str">
        <f t="shared" si="11"/>
        <v xml:space="preserve"> 17.4543</v>
      </c>
      <c r="H86" s="1" t="str">
        <f t="shared" si="12"/>
        <v>LT43</v>
      </c>
      <c r="I86" s="1">
        <v>2028</v>
      </c>
      <c r="J86" s="1" t="str">
        <f t="shared" si="13"/>
        <v>SG</v>
      </c>
      <c r="K86" s="1" t="str">
        <f t="shared" si="9"/>
        <v>0102</v>
      </c>
    </row>
    <row r="87" spans="1:11" x14ac:dyDescent="0.2">
      <c r="A87" t="s">
        <v>172</v>
      </c>
      <c r="B87" t="s">
        <v>173</v>
      </c>
      <c r="F87" t="str">
        <f t="shared" si="10"/>
        <v>104.4670</v>
      </c>
      <c r="G87" t="str">
        <f t="shared" si="11"/>
        <v xml:space="preserve"> 17.4545</v>
      </c>
      <c r="H87" s="1" t="str">
        <f t="shared" si="12"/>
        <v>LT44</v>
      </c>
      <c r="I87" s="1">
        <v>2028</v>
      </c>
      <c r="J87" s="1" t="str">
        <f t="shared" si="13"/>
        <v>SG</v>
      </c>
      <c r="K87" s="1" t="str">
        <f t="shared" si="9"/>
        <v>0102</v>
      </c>
    </row>
    <row r="88" spans="1:11" x14ac:dyDescent="0.2">
      <c r="A88" t="s">
        <v>174</v>
      </c>
      <c r="B88" t="s">
        <v>175</v>
      </c>
      <c r="F88" t="str">
        <f t="shared" si="10"/>
        <v>104.4675</v>
      </c>
      <c r="G88" t="str">
        <f t="shared" si="11"/>
        <v xml:space="preserve"> 17.4547</v>
      </c>
      <c r="H88" s="1" t="str">
        <f t="shared" si="12"/>
        <v>LT45</v>
      </c>
      <c r="I88" s="1">
        <v>2028</v>
      </c>
      <c r="J88" s="1" t="str">
        <f t="shared" si="13"/>
        <v>SG</v>
      </c>
      <c r="K88" s="1" t="str">
        <f t="shared" si="9"/>
        <v>0102</v>
      </c>
    </row>
    <row r="89" spans="1:11" x14ac:dyDescent="0.2">
      <c r="A89" t="s">
        <v>176</v>
      </c>
      <c r="B89" t="s">
        <v>177</v>
      </c>
      <c r="F89" t="str">
        <f t="shared" si="10"/>
        <v>104.4681</v>
      </c>
      <c r="G89" t="str">
        <f t="shared" si="11"/>
        <v xml:space="preserve"> 17.4549</v>
      </c>
      <c r="H89" s="1" t="str">
        <f t="shared" si="12"/>
        <v>LT46</v>
      </c>
      <c r="I89" s="1">
        <v>2028</v>
      </c>
      <c r="J89" s="1" t="str">
        <f t="shared" si="13"/>
        <v>SG</v>
      </c>
      <c r="K89" s="1" t="str">
        <f t="shared" si="9"/>
        <v>0102</v>
      </c>
    </row>
    <row r="90" spans="1:11" x14ac:dyDescent="0.2">
      <c r="A90" t="s">
        <v>178</v>
      </c>
      <c r="B90" t="s">
        <v>179</v>
      </c>
      <c r="F90" t="str">
        <f t="shared" si="10"/>
        <v>104.4687</v>
      </c>
      <c r="G90" t="str">
        <f t="shared" si="11"/>
        <v xml:space="preserve"> 17.4552</v>
      </c>
      <c r="H90" s="1" t="str">
        <f t="shared" si="12"/>
        <v>LT47</v>
      </c>
      <c r="I90" s="1">
        <v>2028</v>
      </c>
      <c r="J90" s="1" t="str">
        <f t="shared" si="13"/>
        <v>SG</v>
      </c>
      <c r="K90" s="1" t="str">
        <f t="shared" si="9"/>
        <v>0102</v>
      </c>
    </row>
    <row r="91" spans="1:11" x14ac:dyDescent="0.2">
      <c r="A91" t="s">
        <v>180</v>
      </c>
      <c r="B91" t="s">
        <v>181</v>
      </c>
      <c r="F91" t="str">
        <f t="shared" si="10"/>
        <v>104.4692</v>
      </c>
      <c r="G91" t="str">
        <f t="shared" si="11"/>
        <v xml:space="preserve"> 17.4554</v>
      </c>
      <c r="H91" s="1" t="str">
        <f t="shared" si="12"/>
        <v>LT48</v>
      </c>
      <c r="I91" s="1">
        <v>2028</v>
      </c>
      <c r="J91" s="1" t="str">
        <f t="shared" si="13"/>
        <v>SG</v>
      </c>
      <c r="K91" s="1" t="str">
        <f t="shared" si="9"/>
        <v>0102</v>
      </c>
    </row>
    <row r="92" spans="1:11" x14ac:dyDescent="0.2">
      <c r="A92" t="s">
        <v>182</v>
      </c>
      <c r="B92" t="s">
        <v>183</v>
      </c>
      <c r="F92" t="str">
        <f t="shared" si="10"/>
        <v>104.4697</v>
      </c>
      <c r="G92" t="str">
        <f t="shared" si="11"/>
        <v xml:space="preserve"> 17.4556</v>
      </c>
      <c r="H92" s="1" t="str">
        <f t="shared" si="12"/>
        <v>LT49</v>
      </c>
      <c r="I92" s="1">
        <v>2028</v>
      </c>
      <c r="J92" s="1" t="str">
        <f t="shared" si="13"/>
        <v>SG</v>
      </c>
      <c r="K92" s="1" t="str">
        <f t="shared" si="9"/>
        <v>0102</v>
      </c>
    </row>
    <row r="93" spans="1:11" x14ac:dyDescent="0.2">
      <c r="A93" t="s">
        <v>184</v>
      </c>
      <c r="B93" t="s">
        <v>185</v>
      </c>
      <c r="F93" t="str">
        <f t="shared" si="10"/>
        <v>104.4703</v>
      </c>
      <c r="G93" t="str">
        <f t="shared" si="11"/>
        <v xml:space="preserve"> 17.4558</v>
      </c>
      <c r="H93" s="1" t="str">
        <f t="shared" si="12"/>
        <v>LT50</v>
      </c>
      <c r="I93" s="1">
        <v>2028</v>
      </c>
      <c r="J93" s="1" t="str">
        <f t="shared" si="13"/>
        <v>SG</v>
      </c>
      <c r="K93" s="1" t="str">
        <f t="shared" si="9"/>
        <v>0102</v>
      </c>
    </row>
    <row r="94" spans="1:11" x14ac:dyDescent="0.2">
      <c r="A94" t="s">
        <v>186</v>
      </c>
      <c r="B94" t="s">
        <v>187</v>
      </c>
      <c r="F94" t="str">
        <f t="shared" si="10"/>
        <v>104.5393</v>
      </c>
      <c r="G94" t="str">
        <f t="shared" si="11"/>
        <v xml:space="preserve"> 17.5027</v>
      </c>
      <c r="H94" s="1" t="str">
        <f t="shared" si="12"/>
        <v>LT51</v>
      </c>
      <c r="I94" s="1">
        <v>2028</v>
      </c>
      <c r="J94" s="1" t="str">
        <f t="shared" si="13"/>
        <v>SG</v>
      </c>
      <c r="K94" s="1" t="str">
        <f t="shared" si="9"/>
        <v>0102</v>
      </c>
    </row>
    <row r="95" spans="1:11" x14ac:dyDescent="0.2">
      <c r="A95" t="s">
        <v>188</v>
      </c>
      <c r="B95" t="s">
        <v>189</v>
      </c>
      <c r="F95" t="str">
        <f t="shared" si="10"/>
        <v>104.5396</v>
      </c>
      <c r="G95" t="str">
        <f t="shared" si="11"/>
        <v xml:space="preserve"> 17.5030</v>
      </c>
      <c r="H95" s="1" t="str">
        <f t="shared" si="12"/>
        <v>LT52</v>
      </c>
      <c r="I95" s="1">
        <v>2028</v>
      </c>
      <c r="J95" s="1" t="str">
        <f t="shared" si="13"/>
        <v>SG</v>
      </c>
      <c r="K95" s="1" t="str">
        <f t="shared" si="9"/>
        <v>0102</v>
      </c>
    </row>
    <row r="96" spans="1:11" x14ac:dyDescent="0.2">
      <c r="A96" t="s">
        <v>190</v>
      </c>
      <c r="B96" t="s">
        <v>191</v>
      </c>
      <c r="F96" t="str">
        <f t="shared" si="10"/>
        <v>104.5397</v>
      </c>
      <c r="G96" t="str">
        <f t="shared" si="11"/>
        <v xml:space="preserve"> 17.5032</v>
      </c>
      <c r="H96" s="1" t="str">
        <f t="shared" si="12"/>
        <v>LT53</v>
      </c>
      <c r="I96" s="1">
        <v>2028</v>
      </c>
      <c r="J96" s="1" t="str">
        <f t="shared" si="13"/>
        <v>SG</v>
      </c>
      <c r="K96" s="1" t="str">
        <f t="shared" si="9"/>
        <v>0102</v>
      </c>
    </row>
    <row r="97" spans="1:11" x14ac:dyDescent="0.2">
      <c r="A97" t="s">
        <v>192</v>
      </c>
      <c r="B97" t="s">
        <v>193</v>
      </c>
      <c r="F97" t="str">
        <f t="shared" si="10"/>
        <v>104.5400</v>
      </c>
      <c r="G97" t="str">
        <f t="shared" si="11"/>
        <v xml:space="preserve"> 17.5035</v>
      </c>
      <c r="H97" s="1" t="str">
        <f t="shared" si="12"/>
        <v>LT54</v>
      </c>
      <c r="I97" s="1">
        <v>2028</v>
      </c>
      <c r="J97" s="1" t="str">
        <f t="shared" si="13"/>
        <v>SG</v>
      </c>
      <c r="K97" s="1" t="str">
        <f t="shared" si="9"/>
        <v>0102</v>
      </c>
    </row>
    <row r="98" spans="1:11" x14ac:dyDescent="0.2">
      <c r="A98" t="s">
        <v>194</v>
      </c>
      <c r="B98" t="s">
        <v>195</v>
      </c>
      <c r="F98" t="str">
        <f t="shared" si="10"/>
        <v>104.5403</v>
      </c>
      <c r="G98" t="str">
        <f>MID(A98,17,8)</f>
        <v xml:space="preserve"> 17.5038</v>
      </c>
      <c r="H98" s="1" t="str">
        <f t="shared" si="12"/>
        <v>LT55</v>
      </c>
      <c r="I98" s="1">
        <v>2028</v>
      </c>
      <c r="J98" s="1" t="str">
        <f t="shared" si="13"/>
        <v>SG</v>
      </c>
      <c r="K98" s="1" t="str">
        <f t="shared" si="9"/>
        <v>0102</v>
      </c>
    </row>
    <row r="99" spans="1:11" x14ac:dyDescent="0.2">
      <c r="A99" t="s">
        <v>196</v>
      </c>
      <c r="B99" t="s">
        <v>197</v>
      </c>
      <c r="F99" t="str">
        <f t="shared" si="10"/>
        <v>104.5405</v>
      </c>
      <c r="G99" t="str">
        <f t="shared" si="11"/>
        <v xml:space="preserve"> 17.5040</v>
      </c>
      <c r="H99" s="1" t="str">
        <f t="shared" si="12"/>
        <v>LT56</v>
      </c>
      <c r="I99" s="1">
        <v>2028</v>
      </c>
      <c r="J99" s="1" t="str">
        <f t="shared" si="13"/>
        <v>SG</v>
      </c>
      <c r="K99" s="1" t="str">
        <f t="shared" si="9"/>
        <v>0102</v>
      </c>
    </row>
    <row r="100" spans="1:11" x14ac:dyDescent="0.2">
      <c r="A100" t="s">
        <v>198</v>
      </c>
      <c r="B100" t="s">
        <v>199</v>
      </c>
      <c r="F100" t="str">
        <f t="shared" si="10"/>
        <v>104.5407</v>
      </c>
      <c r="G100" t="str">
        <f t="shared" si="11"/>
        <v xml:space="preserve"> 17.5042</v>
      </c>
      <c r="H100" s="1" t="str">
        <f t="shared" si="12"/>
        <v>LT57</v>
      </c>
      <c r="I100" s="1">
        <v>2028</v>
      </c>
      <c r="J100" s="1" t="str">
        <f t="shared" si="13"/>
        <v>SG</v>
      </c>
      <c r="K100" s="1" t="str">
        <f t="shared" si="9"/>
        <v>0102</v>
      </c>
    </row>
    <row r="101" spans="1:11" x14ac:dyDescent="0.2">
      <c r="A101" t="s">
        <v>200</v>
      </c>
      <c r="B101" t="s">
        <v>201</v>
      </c>
      <c r="F101" t="str">
        <f t="shared" si="10"/>
        <v>104.5410</v>
      </c>
      <c r="G101" t="str">
        <f t="shared" si="11"/>
        <v xml:space="preserve"> 17.5044</v>
      </c>
      <c r="H101" s="1" t="str">
        <f t="shared" si="12"/>
        <v>LT58</v>
      </c>
      <c r="I101" s="1">
        <v>2028</v>
      </c>
      <c r="J101" s="1" t="str">
        <f t="shared" si="13"/>
        <v>SG</v>
      </c>
      <c r="K101" s="1" t="str">
        <f t="shared" si="9"/>
        <v>0102</v>
      </c>
    </row>
    <row r="102" spans="1:11" x14ac:dyDescent="0.2">
      <c r="A102" t="s">
        <v>202</v>
      </c>
      <c r="B102" t="s">
        <v>203</v>
      </c>
      <c r="F102" t="str">
        <f t="shared" si="10"/>
        <v>104.5414</v>
      </c>
      <c r="G102" t="str">
        <f t="shared" si="11"/>
        <v xml:space="preserve"> 17.5046</v>
      </c>
      <c r="H102" s="1" t="str">
        <f t="shared" si="12"/>
        <v>LT59</v>
      </c>
      <c r="I102" s="1">
        <v>2028</v>
      </c>
      <c r="J102" s="1" t="str">
        <f t="shared" si="13"/>
        <v>SG</v>
      </c>
      <c r="K102" s="1" t="str">
        <f t="shared" si="9"/>
        <v>0102</v>
      </c>
    </row>
    <row r="103" spans="1:11" x14ac:dyDescent="0.2">
      <c r="A103" t="s">
        <v>204</v>
      </c>
      <c r="B103" t="s">
        <v>205</v>
      </c>
      <c r="F103" t="str">
        <f t="shared" si="10"/>
        <v>104.5417</v>
      </c>
      <c r="G103" t="str">
        <f t="shared" si="11"/>
        <v xml:space="preserve"> 17.5048</v>
      </c>
      <c r="H103" s="1" t="str">
        <f t="shared" si="12"/>
        <v>LT60</v>
      </c>
      <c r="I103" s="1">
        <v>2028</v>
      </c>
      <c r="J103" s="1" t="str">
        <f t="shared" si="13"/>
        <v>SG</v>
      </c>
      <c r="K103" s="1" t="str">
        <f t="shared" si="9"/>
        <v>0102</v>
      </c>
    </row>
    <row r="104" spans="1:11" x14ac:dyDescent="0.2">
      <c r="A104" t="s">
        <v>206</v>
      </c>
      <c r="B104" t="s">
        <v>207</v>
      </c>
      <c r="F104" t="str">
        <f t="shared" si="10"/>
        <v>104.5421</v>
      </c>
      <c r="G104" t="str">
        <f t="shared" si="11"/>
        <v xml:space="preserve"> 17.5050</v>
      </c>
      <c r="H104" s="1" t="str">
        <f t="shared" si="12"/>
        <v>LT61</v>
      </c>
      <c r="I104" s="1">
        <v>2028</v>
      </c>
      <c r="J104" s="1" t="str">
        <f t="shared" si="13"/>
        <v>SG</v>
      </c>
      <c r="K104" s="1" t="str">
        <f t="shared" si="9"/>
        <v>0102</v>
      </c>
    </row>
    <row r="105" spans="1:11" x14ac:dyDescent="0.2">
      <c r="A105" t="s">
        <v>208</v>
      </c>
      <c r="B105" t="s">
        <v>209</v>
      </c>
      <c r="F105" t="str">
        <f t="shared" si="10"/>
        <v>104.5427</v>
      </c>
      <c r="G105" t="str">
        <f t="shared" si="11"/>
        <v xml:space="preserve"> 17.5052</v>
      </c>
      <c r="H105" s="1" t="str">
        <f t="shared" si="12"/>
        <v>LT62</v>
      </c>
      <c r="I105" s="1">
        <v>2028</v>
      </c>
      <c r="J105" s="1" t="str">
        <f t="shared" si="13"/>
        <v>SG</v>
      </c>
      <c r="K105" s="1" t="str">
        <f t="shared" si="9"/>
        <v>0102</v>
      </c>
    </row>
    <row r="106" spans="1:11" x14ac:dyDescent="0.2">
      <c r="A106" t="s">
        <v>210</v>
      </c>
      <c r="B106" t="s">
        <v>211</v>
      </c>
      <c r="F106" t="str">
        <f t="shared" si="10"/>
        <v>104.6100</v>
      </c>
      <c r="G106" t="str">
        <f t="shared" si="11"/>
        <v xml:space="preserve"> 17.5473</v>
      </c>
      <c r="H106" s="1" t="str">
        <f t="shared" si="12"/>
        <v>LT63</v>
      </c>
      <c r="I106" s="1">
        <v>2028</v>
      </c>
      <c r="J106" s="1" t="str">
        <f t="shared" si="13"/>
        <v>SG</v>
      </c>
      <c r="K106" s="1" t="str">
        <f t="shared" si="9"/>
        <v>0102</v>
      </c>
    </row>
    <row r="107" spans="1:11" x14ac:dyDescent="0.2">
      <c r="A107" t="s">
        <v>212</v>
      </c>
      <c r="B107" t="s">
        <v>213</v>
      </c>
      <c r="F107" t="str">
        <f t="shared" si="10"/>
        <v>104.6101</v>
      </c>
      <c r="G107" t="str">
        <f t="shared" si="11"/>
        <v xml:space="preserve"> 17.5476</v>
      </c>
      <c r="H107" s="1" t="str">
        <f t="shared" si="12"/>
        <v>LT64</v>
      </c>
      <c r="I107" s="1">
        <v>2028</v>
      </c>
      <c r="J107" s="1" t="str">
        <f t="shared" si="13"/>
        <v>SG</v>
      </c>
      <c r="K107" s="1" t="str">
        <f t="shared" si="9"/>
        <v>0102</v>
      </c>
    </row>
    <row r="108" spans="1:11" x14ac:dyDescent="0.2">
      <c r="A108" t="s">
        <v>214</v>
      </c>
      <c r="B108" t="s">
        <v>215</v>
      </c>
      <c r="F108" t="str">
        <f t="shared" si="10"/>
        <v>104.6103</v>
      </c>
      <c r="G108" t="str">
        <f t="shared" si="11"/>
        <v xml:space="preserve"> 17.5479</v>
      </c>
      <c r="H108" s="1" t="str">
        <f t="shared" si="12"/>
        <v>LT65</v>
      </c>
      <c r="I108" s="1">
        <v>2028</v>
      </c>
      <c r="J108" s="1" t="str">
        <f t="shared" si="13"/>
        <v>SG</v>
      </c>
      <c r="K108" s="1" t="str">
        <f t="shared" si="9"/>
        <v>0102</v>
      </c>
    </row>
    <row r="109" spans="1:11" x14ac:dyDescent="0.2">
      <c r="A109" t="s">
        <v>216</v>
      </c>
      <c r="B109" t="s">
        <v>217</v>
      </c>
      <c r="F109" t="str">
        <f t="shared" si="10"/>
        <v>104.6104</v>
      </c>
      <c r="G109" t="str">
        <f t="shared" si="11"/>
        <v xml:space="preserve"> 17.5483</v>
      </c>
      <c r="H109" s="1" t="str">
        <f t="shared" si="12"/>
        <v>LT66</v>
      </c>
      <c r="I109" s="1">
        <v>2028</v>
      </c>
      <c r="J109" s="1" t="str">
        <f t="shared" si="13"/>
        <v>SG</v>
      </c>
      <c r="K109" s="1" t="str">
        <f t="shared" si="9"/>
        <v>0102</v>
      </c>
    </row>
    <row r="110" spans="1:11" x14ac:dyDescent="0.2">
      <c r="A110" t="s">
        <v>218</v>
      </c>
      <c r="B110" t="s">
        <v>219</v>
      </c>
      <c r="F110" t="str">
        <f t="shared" si="10"/>
        <v>104.6106</v>
      </c>
      <c r="G110" t="str">
        <f t="shared" si="11"/>
        <v xml:space="preserve"> 17.5486</v>
      </c>
      <c r="H110" s="1" t="str">
        <f t="shared" si="12"/>
        <v>LT67</v>
      </c>
      <c r="I110" s="1">
        <v>2028</v>
      </c>
      <c r="J110" s="1" t="str">
        <f t="shared" si="13"/>
        <v>SG</v>
      </c>
      <c r="K110" s="1" t="str">
        <f t="shared" si="9"/>
        <v>0102</v>
      </c>
    </row>
    <row r="111" spans="1:11" x14ac:dyDescent="0.2">
      <c r="A111" t="s">
        <v>220</v>
      </c>
      <c r="B111" t="s">
        <v>221</v>
      </c>
      <c r="F111" t="str">
        <f t="shared" si="10"/>
        <v>104.6107</v>
      </c>
      <c r="G111" t="str">
        <f t="shared" si="11"/>
        <v xml:space="preserve"> 17.5489</v>
      </c>
      <c r="H111" s="1" t="str">
        <f t="shared" si="12"/>
        <v>LT68</v>
      </c>
      <c r="I111" s="1">
        <v>2028</v>
      </c>
      <c r="J111" s="1" t="str">
        <f t="shared" si="13"/>
        <v>SG</v>
      </c>
      <c r="K111" s="1" t="str">
        <f t="shared" si="9"/>
        <v>0102</v>
      </c>
    </row>
    <row r="112" spans="1:11" x14ac:dyDescent="0.2">
      <c r="A112" t="s">
        <v>222</v>
      </c>
      <c r="B112" t="s">
        <v>223</v>
      </c>
      <c r="F112" t="str">
        <f t="shared" si="10"/>
        <v>104.6109</v>
      </c>
      <c r="G112" t="str">
        <f>MID(A112,17,8)</f>
        <v xml:space="preserve"> 17.5492</v>
      </c>
      <c r="H112" s="1" t="str">
        <f t="shared" si="12"/>
        <v>LT69</v>
      </c>
      <c r="I112" s="1">
        <v>2028</v>
      </c>
      <c r="J112" s="1" t="str">
        <f t="shared" si="13"/>
        <v>SG</v>
      </c>
      <c r="K112" s="1" t="str">
        <f t="shared" si="9"/>
        <v>0102</v>
      </c>
    </row>
    <row r="113" spans="1:11" x14ac:dyDescent="0.2">
      <c r="A113" t="s">
        <v>224</v>
      </c>
      <c r="B113" t="s">
        <v>225</v>
      </c>
      <c r="F113" t="str">
        <f t="shared" si="10"/>
        <v>104.6110</v>
      </c>
      <c r="G113" t="str">
        <f t="shared" si="11"/>
        <v xml:space="preserve"> 17.5495</v>
      </c>
      <c r="H113" s="1" t="str">
        <f t="shared" si="12"/>
        <v>LT70</v>
      </c>
      <c r="I113" s="1">
        <v>2028</v>
      </c>
      <c r="J113" s="1" t="str">
        <f t="shared" si="13"/>
        <v>SG</v>
      </c>
      <c r="K113" s="1" t="str">
        <f t="shared" si="9"/>
        <v>0102</v>
      </c>
    </row>
    <row r="114" spans="1:11" x14ac:dyDescent="0.2">
      <c r="A114" t="s">
        <v>226</v>
      </c>
      <c r="B114" t="s">
        <v>227</v>
      </c>
      <c r="F114" t="str">
        <f t="shared" si="10"/>
        <v>104.6111</v>
      </c>
      <c r="G114" t="str">
        <f t="shared" si="11"/>
        <v xml:space="preserve"> 17.5498</v>
      </c>
      <c r="H114" s="1" t="str">
        <f t="shared" si="12"/>
        <v>LT71</v>
      </c>
      <c r="I114" s="1">
        <v>2028</v>
      </c>
      <c r="J114" s="1" t="str">
        <f t="shared" si="13"/>
        <v>SG</v>
      </c>
      <c r="K114" s="1" t="str">
        <f t="shared" si="9"/>
        <v>0102</v>
      </c>
    </row>
    <row r="115" spans="1:11" x14ac:dyDescent="0.2">
      <c r="A115" t="s">
        <v>228</v>
      </c>
      <c r="B115" t="s">
        <v>229</v>
      </c>
      <c r="F115" t="str">
        <f t="shared" si="10"/>
        <v>104.6113</v>
      </c>
      <c r="G115" t="str">
        <f t="shared" si="11"/>
        <v xml:space="preserve"> 17.5501</v>
      </c>
      <c r="H115" s="1" t="str">
        <f t="shared" si="12"/>
        <v>LT72</v>
      </c>
      <c r="I115" s="1">
        <v>2028</v>
      </c>
      <c r="J115" s="1" t="str">
        <f t="shared" si="13"/>
        <v>SG</v>
      </c>
      <c r="K115" s="1" t="str">
        <f t="shared" si="9"/>
        <v>0102</v>
      </c>
    </row>
    <row r="116" spans="1:11" x14ac:dyDescent="0.2">
      <c r="A116" t="s">
        <v>230</v>
      </c>
      <c r="B116" t="s">
        <v>231</v>
      </c>
      <c r="F116" t="str">
        <f t="shared" si="10"/>
        <v>104.6114</v>
      </c>
      <c r="G116" t="str">
        <f t="shared" si="11"/>
        <v xml:space="preserve"> 17.5504</v>
      </c>
      <c r="H116" s="1" t="str">
        <f t="shared" si="12"/>
        <v>LT73</v>
      </c>
      <c r="I116" s="1">
        <v>2028</v>
      </c>
      <c r="J116" s="1" t="str">
        <f t="shared" si="13"/>
        <v>SG</v>
      </c>
      <c r="K116" s="1" t="str">
        <f t="shared" si="9"/>
        <v>0102</v>
      </c>
    </row>
    <row r="117" spans="1:11" x14ac:dyDescent="0.2">
      <c r="A117" t="s">
        <v>232</v>
      </c>
      <c r="B117" t="s">
        <v>233</v>
      </c>
      <c r="F117" t="str">
        <f t="shared" si="10"/>
        <v>104.6115</v>
      </c>
      <c r="G117" t="str">
        <f t="shared" si="11"/>
        <v xml:space="preserve"> 17.5507</v>
      </c>
      <c r="H117" s="1" t="str">
        <f t="shared" si="12"/>
        <v>LT74</v>
      </c>
      <c r="I117" s="1">
        <v>2028</v>
      </c>
      <c r="J117" s="1" t="str">
        <f t="shared" si="13"/>
        <v>SG</v>
      </c>
      <c r="K117" s="1" t="str">
        <f t="shared" ref="K117:K124" si="14">MID(B117,14,4)</f>
        <v>0102</v>
      </c>
    </row>
    <row r="118" spans="1:11" x14ac:dyDescent="0.2">
      <c r="A118" t="s">
        <v>234</v>
      </c>
      <c r="B118" t="s">
        <v>235</v>
      </c>
      <c r="F118" t="str">
        <f t="shared" si="10"/>
        <v>104.6117</v>
      </c>
      <c r="G118" t="str">
        <f>MID(A118,17,8)</f>
        <v xml:space="preserve"> 17.5510</v>
      </c>
      <c r="H118" s="1" t="str">
        <f t="shared" si="12"/>
        <v>LT75</v>
      </c>
      <c r="I118" s="1">
        <v>2028</v>
      </c>
      <c r="J118" s="1" t="str">
        <f t="shared" si="13"/>
        <v>SG</v>
      </c>
      <c r="K118" s="1" t="str">
        <f t="shared" si="14"/>
        <v>0102</v>
      </c>
    </row>
    <row r="119" spans="1:11" x14ac:dyDescent="0.2">
      <c r="A119" t="s">
        <v>236</v>
      </c>
      <c r="B119" t="s">
        <v>237</v>
      </c>
      <c r="F119" t="str">
        <f t="shared" si="10"/>
        <v>104.6118</v>
      </c>
      <c r="G119" t="str">
        <f t="shared" si="11"/>
        <v xml:space="preserve"> 17.5513</v>
      </c>
      <c r="H119" s="1" t="str">
        <f t="shared" si="12"/>
        <v>LT76</v>
      </c>
      <c r="I119" s="1">
        <v>2028</v>
      </c>
      <c r="J119" s="1" t="str">
        <f t="shared" si="13"/>
        <v>SG</v>
      </c>
      <c r="K119" s="1" t="str">
        <f t="shared" si="14"/>
        <v>0102</v>
      </c>
    </row>
    <row r="120" spans="1:11" x14ac:dyDescent="0.2">
      <c r="A120" t="s">
        <v>238</v>
      </c>
      <c r="B120" t="s">
        <v>239</v>
      </c>
      <c r="F120" t="str">
        <f t="shared" si="10"/>
        <v>104.6120</v>
      </c>
      <c r="G120" t="str">
        <f t="shared" si="11"/>
        <v xml:space="preserve"> 17.5516</v>
      </c>
      <c r="H120" s="1" t="str">
        <f t="shared" si="12"/>
        <v>LT77</v>
      </c>
      <c r="I120" s="1">
        <v>2028</v>
      </c>
      <c r="J120" s="1" t="str">
        <f t="shared" si="13"/>
        <v>SG</v>
      </c>
      <c r="K120" s="1" t="str">
        <f t="shared" si="14"/>
        <v>0102</v>
      </c>
    </row>
    <row r="121" spans="1:11" x14ac:dyDescent="0.2">
      <c r="A121" t="s">
        <v>240</v>
      </c>
      <c r="B121" t="s">
        <v>241</v>
      </c>
      <c r="F121" t="str">
        <f t="shared" si="10"/>
        <v>104.6122</v>
      </c>
      <c r="G121" t="str">
        <f t="shared" si="11"/>
        <v xml:space="preserve"> 17.5518</v>
      </c>
      <c r="H121" s="1" t="str">
        <f t="shared" si="12"/>
        <v>LT78</v>
      </c>
      <c r="I121" s="1">
        <v>2028</v>
      </c>
      <c r="J121" s="1" t="str">
        <f t="shared" si="13"/>
        <v>SG</v>
      </c>
      <c r="K121" s="1" t="str">
        <f t="shared" si="14"/>
        <v>0102</v>
      </c>
    </row>
    <row r="122" spans="1:11" x14ac:dyDescent="0.2">
      <c r="A122" t="s">
        <v>242</v>
      </c>
      <c r="B122" t="s">
        <v>243</v>
      </c>
      <c r="F122" t="str">
        <f t="shared" si="10"/>
        <v>104.6124</v>
      </c>
      <c r="G122" t="str">
        <f t="shared" si="11"/>
        <v xml:space="preserve"> 17.5520</v>
      </c>
      <c r="H122" s="1" t="str">
        <f t="shared" si="12"/>
        <v>LT79</v>
      </c>
      <c r="I122" s="1">
        <v>2028</v>
      </c>
      <c r="J122" s="1" t="str">
        <f t="shared" si="13"/>
        <v>SG</v>
      </c>
      <c r="K122" s="1" t="str">
        <f t="shared" si="14"/>
        <v>0102</v>
      </c>
    </row>
    <row r="123" spans="1:11" x14ac:dyDescent="0.2">
      <c r="A123" t="s">
        <v>244</v>
      </c>
      <c r="B123" t="s">
        <v>245</v>
      </c>
      <c r="F123" t="str">
        <f t="shared" si="10"/>
        <v>104.6127</v>
      </c>
      <c r="G123" t="str">
        <f>MID(A123,17,8)</f>
        <v xml:space="preserve"> 17.5524</v>
      </c>
      <c r="H123" s="1" t="str">
        <f t="shared" si="12"/>
        <v>LT80</v>
      </c>
      <c r="I123" s="1">
        <v>2028</v>
      </c>
      <c r="J123" s="1" t="str">
        <f t="shared" si="13"/>
        <v>SG</v>
      </c>
      <c r="K123" s="1" t="str">
        <f t="shared" si="14"/>
        <v>0102</v>
      </c>
    </row>
    <row r="124" spans="1:11" x14ac:dyDescent="0.2">
      <c r="A124" t="s">
        <v>246</v>
      </c>
      <c r="B124" t="s">
        <v>247</v>
      </c>
      <c r="F124" t="str">
        <f t="shared" si="10"/>
        <v>104.6130</v>
      </c>
      <c r="G124" t="str">
        <f t="shared" si="11"/>
        <v xml:space="preserve"> 17.5527</v>
      </c>
      <c r="H124" s="1" t="str">
        <f t="shared" si="12"/>
        <v>LT81</v>
      </c>
      <c r="I124" s="1">
        <v>2028</v>
      </c>
      <c r="J124" s="1" t="str">
        <f t="shared" si="13"/>
        <v>SG</v>
      </c>
      <c r="K124" s="1" t="str">
        <f t="shared" si="14"/>
        <v>0102</v>
      </c>
    </row>
    <row r="125" spans="1:11" x14ac:dyDescent="0.2">
      <c r="A125" t="s">
        <v>248</v>
      </c>
      <c r="B125" t="s">
        <v>249</v>
      </c>
      <c r="F125" t="str">
        <f t="shared" si="10"/>
        <v>104.4548</v>
      </c>
      <c r="G125" t="str">
        <f t="shared" si="11"/>
        <v xml:space="preserve"> 17.4502</v>
      </c>
      <c r="H125" s="1" t="str">
        <f t="shared" ref="H67:H130" si="15">MID(B125,1,3)</f>
        <v>MD1</v>
      </c>
      <c r="I125" s="1">
        <v>2028</v>
      </c>
      <c r="J125" s="1" t="str">
        <f t="shared" ref="J67:J130" si="16">MID(B125,5,2)</f>
        <v>DB</v>
      </c>
      <c r="K125" s="1" t="str">
        <f t="shared" ref="K67:K130" si="17">MID(B125,13,4)</f>
        <v>0102</v>
      </c>
    </row>
    <row r="126" spans="1:11" x14ac:dyDescent="0.2">
      <c r="A126" t="s">
        <v>250</v>
      </c>
      <c r="B126" t="s">
        <v>251</v>
      </c>
      <c r="F126" t="str">
        <f t="shared" si="10"/>
        <v>104.4552</v>
      </c>
      <c r="G126" t="str">
        <f>MID(A126,17,8)</f>
        <v xml:space="preserve"> 17.4503</v>
      </c>
      <c r="H126" s="1" t="str">
        <f t="shared" si="15"/>
        <v>MD2</v>
      </c>
      <c r="I126" s="1">
        <v>2028</v>
      </c>
      <c r="J126" s="1" t="str">
        <f t="shared" si="16"/>
        <v>DB</v>
      </c>
      <c r="K126" s="1" t="str">
        <f t="shared" si="17"/>
        <v>0102</v>
      </c>
    </row>
    <row r="127" spans="1:11" x14ac:dyDescent="0.2">
      <c r="A127" t="s">
        <v>252</v>
      </c>
      <c r="B127" t="s">
        <v>253</v>
      </c>
      <c r="F127" t="str">
        <f t="shared" si="10"/>
        <v>104.4555</v>
      </c>
      <c r="G127" t="str">
        <f t="shared" si="11"/>
        <v xml:space="preserve"> 17.4504</v>
      </c>
      <c r="H127" s="1" t="str">
        <f t="shared" si="15"/>
        <v>MD3</v>
      </c>
      <c r="I127" s="1">
        <v>2028</v>
      </c>
      <c r="J127" s="1" t="str">
        <f t="shared" si="16"/>
        <v>DB</v>
      </c>
      <c r="K127" s="1" t="str">
        <f t="shared" si="17"/>
        <v>0102</v>
      </c>
    </row>
    <row r="128" spans="1:11" x14ac:dyDescent="0.2">
      <c r="A128" t="s">
        <v>254</v>
      </c>
      <c r="B128" t="s">
        <v>255</v>
      </c>
      <c r="F128" t="str">
        <f t="shared" si="10"/>
        <v>104.4558</v>
      </c>
      <c r="G128" t="str">
        <f t="shared" si="11"/>
        <v xml:space="preserve"> 17.4504</v>
      </c>
      <c r="H128" s="1" t="str">
        <f t="shared" si="15"/>
        <v>MD4</v>
      </c>
      <c r="I128" s="1">
        <v>2028</v>
      </c>
      <c r="J128" s="1" t="str">
        <f t="shared" si="16"/>
        <v>DB</v>
      </c>
      <c r="K128" s="1" t="str">
        <f t="shared" si="17"/>
        <v>0102</v>
      </c>
    </row>
    <row r="129" spans="1:11" x14ac:dyDescent="0.2">
      <c r="A129" t="s">
        <v>256</v>
      </c>
      <c r="B129" t="s">
        <v>257</v>
      </c>
      <c r="F129" t="str">
        <f t="shared" si="10"/>
        <v>104.4561</v>
      </c>
      <c r="G129" t="str">
        <f>MID(A129,17,8)</f>
        <v xml:space="preserve"> 17.4505</v>
      </c>
      <c r="H129" s="1" t="str">
        <f t="shared" si="15"/>
        <v>MD5</v>
      </c>
      <c r="I129" s="1">
        <v>2028</v>
      </c>
      <c r="J129" s="1" t="str">
        <f t="shared" si="16"/>
        <v>DB</v>
      </c>
      <c r="K129" s="1" t="str">
        <f t="shared" si="17"/>
        <v>0102</v>
      </c>
    </row>
    <row r="130" spans="1:11" x14ac:dyDescent="0.2">
      <c r="A130" t="s">
        <v>258</v>
      </c>
      <c r="B130" t="s">
        <v>259</v>
      </c>
      <c r="F130" t="str">
        <f t="shared" si="10"/>
        <v>104.4564</v>
      </c>
      <c r="G130" t="str">
        <f t="shared" si="11"/>
        <v xml:space="preserve"> 17.4505</v>
      </c>
      <c r="H130" s="1" t="str">
        <f t="shared" si="15"/>
        <v>MD6</v>
      </c>
      <c r="I130" s="1">
        <v>2028</v>
      </c>
      <c r="J130" s="1" t="str">
        <f t="shared" si="16"/>
        <v>DB</v>
      </c>
      <c r="K130" s="1" t="str">
        <f t="shared" si="17"/>
        <v>0102</v>
      </c>
    </row>
    <row r="131" spans="1:11" x14ac:dyDescent="0.2">
      <c r="A131" t="s">
        <v>260</v>
      </c>
      <c r="B131" t="s">
        <v>261</v>
      </c>
      <c r="F131" t="str">
        <f t="shared" ref="F131:F155" si="18">MID(A131,8,8)</f>
        <v>104.4567</v>
      </c>
      <c r="G131" t="str">
        <f t="shared" ref="G131:G155" si="19">MID(A131,18,8)</f>
        <v xml:space="preserve"> 17.4506</v>
      </c>
      <c r="H131" s="1" t="str">
        <f t="shared" ref="H131:H149" si="20">MID(B131,1,3)</f>
        <v>MD7</v>
      </c>
      <c r="I131" s="1">
        <v>2028</v>
      </c>
      <c r="J131" s="1" t="str">
        <f t="shared" ref="J131:J155" si="21">MID(B131,5,2)</f>
        <v>DB</v>
      </c>
      <c r="K131" s="1" t="str">
        <f t="shared" ref="K131:K155" si="22">MID(B131,13,4)</f>
        <v>0102</v>
      </c>
    </row>
    <row r="132" spans="1:11" x14ac:dyDescent="0.2">
      <c r="A132" t="s">
        <v>262</v>
      </c>
      <c r="B132" t="s">
        <v>263</v>
      </c>
      <c r="F132" t="str">
        <f t="shared" si="18"/>
        <v>104.4570</v>
      </c>
      <c r="G132" t="str">
        <f t="shared" si="19"/>
        <v xml:space="preserve"> 17.4507</v>
      </c>
      <c r="H132" s="1" t="str">
        <f t="shared" si="20"/>
        <v>MD8</v>
      </c>
      <c r="I132" s="1">
        <v>2028</v>
      </c>
      <c r="J132" s="1" t="str">
        <f t="shared" si="21"/>
        <v>DB</v>
      </c>
      <c r="K132" s="1" t="str">
        <f t="shared" si="22"/>
        <v>0102</v>
      </c>
    </row>
    <row r="133" spans="1:11" x14ac:dyDescent="0.2">
      <c r="A133" t="s">
        <v>264</v>
      </c>
      <c r="B133" t="s">
        <v>265</v>
      </c>
      <c r="F133" t="str">
        <f t="shared" si="18"/>
        <v>104.4573</v>
      </c>
      <c r="G133" t="str">
        <f t="shared" si="19"/>
        <v xml:space="preserve"> 17.4507</v>
      </c>
      <c r="H133" s="1" t="str">
        <f t="shared" si="20"/>
        <v>MD9</v>
      </c>
      <c r="I133" s="1">
        <v>2028</v>
      </c>
      <c r="J133" s="1" t="str">
        <f t="shared" si="21"/>
        <v>DB</v>
      </c>
      <c r="K133" s="1" t="str">
        <f t="shared" si="22"/>
        <v>0102</v>
      </c>
    </row>
    <row r="134" spans="1:11" x14ac:dyDescent="0.2">
      <c r="A134" t="s">
        <v>266</v>
      </c>
      <c r="B134" t="s">
        <v>267</v>
      </c>
      <c r="F134" t="str">
        <f t="shared" si="18"/>
        <v>104.4576</v>
      </c>
      <c r="G134" t="str">
        <f t="shared" si="19"/>
        <v xml:space="preserve"> 17.4508</v>
      </c>
      <c r="H134" s="1" t="str">
        <f>MID(B134,1,4)</f>
        <v>MD10</v>
      </c>
      <c r="I134" s="1">
        <v>2028</v>
      </c>
      <c r="J134" s="1" t="str">
        <f t="shared" ref="J134:J155" si="23">MID(B134,6,2)</f>
        <v>DB</v>
      </c>
      <c r="K134" s="1" t="str">
        <f t="shared" ref="K134:K149" si="24">MID(B134,14,4)</f>
        <v>0102</v>
      </c>
    </row>
    <row r="135" spans="1:11" x14ac:dyDescent="0.2">
      <c r="A135" t="s">
        <v>268</v>
      </c>
      <c r="B135" t="s">
        <v>269</v>
      </c>
      <c r="F135" t="str">
        <f t="shared" si="18"/>
        <v>104.4578</v>
      </c>
      <c r="G135" t="str">
        <f t="shared" si="19"/>
        <v xml:space="preserve"> 17.4508</v>
      </c>
      <c r="H135" s="1" t="str">
        <f t="shared" ref="H135:H149" si="25">MID(B135,1,4)</f>
        <v>MD11</v>
      </c>
      <c r="I135" s="1">
        <v>2028</v>
      </c>
      <c r="J135" s="1" t="str">
        <f t="shared" si="23"/>
        <v>DB</v>
      </c>
      <c r="K135" s="1" t="str">
        <f t="shared" si="24"/>
        <v>0102</v>
      </c>
    </row>
    <row r="136" spans="1:11" x14ac:dyDescent="0.2">
      <c r="A136" t="s">
        <v>270</v>
      </c>
      <c r="B136" t="s">
        <v>271</v>
      </c>
      <c r="F136" t="str">
        <f t="shared" si="18"/>
        <v>104.4580</v>
      </c>
      <c r="G136" t="str">
        <f t="shared" si="19"/>
        <v xml:space="preserve"> 17.4509</v>
      </c>
      <c r="H136" s="1" t="str">
        <f t="shared" si="25"/>
        <v>MD12</v>
      </c>
      <c r="I136" s="1">
        <v>2028</v>
      </c>
      <c r="J136" s="1" t="str">
        <f t="shared" si="23"/>
        <v>DB</v>
      </c>
      <c r="K136" s="1" t="str">
        <f t="shared" si="24"/>
        <v>0102</v>
      </c>
    </row>
    <row r="137" spans="1:11" x14ac:dyDescent="0.2">
      <c r="A137" t="s">
        <v>272</v>
      </c>
      <c r="B137" t="s">
        <v>273</v>
      </c>
      <c r="F137" t="str">
        <f t="shared" si="18"/>
        <v>104.4582</v>
      </c>
      <c r="G137" t="str">
        <f t="shared" si="19"/>
        <v xml:space="preserve"> 17.4509</v>
      </c>
      <c r="H137" s="1" t="str">
        <f t="shared" si="25"/>
        <v>MD13</v>
      </c>
      <c r="I137" s="1">
        <v>2028</v>
      </c>
      <c r="J137" s="1" t="str">
        <f t="shared" si="23"/>
        <v>DB</v>
      </c>
      <c r="K137" s="1" t="str">
        <f t="shared" si="24"/>
        <v>0102</v>
      </c>
    </row>
    <row r="138" spans="1:11" x14ac:dyDescent="0.2">
      <c r="A138" t="s">
        <v>274</v>
      </c>
      <c r="B138" t="s">
        <v>275</v>
      </c>
      <c r="F138" t="str">
        <f t="shared" si="18"/>
        <v>104.4584</v>
      </c>
      <c r="G138" t="str">
        <f t="shared" si="19"/>
        <v xml:space="preserve"> 17.4510</v>
      </c>
      <c r="H138" s="1" t="str">
        <f t="shared" si="25"/>
        <v>MD14</v>
      </c>
      <c r="I138" s="1">
        <v>2028</v>
      </c>
      <c r="J138" s="1" t="str">
        <f t="shared" si="23"/>
        <v>DB</v>
      </c>
      <c r="K138" s="1" t="str">
        <f t="shared" si="24"/>
        <v>0102</v>
      </c>
    </row>
    <row r="139" spans="1:11" x14ac:dyDescent="0.2">
      <c r="A139" t="s">
        <v>276</v>
      </c>
      <c r="B139" t="s">
        <v>277</v>
      </c>
      <c r="F139" t="str">
        <f t="shared" si="18"/>
        <v>104.4586</v>
      </c>
      <c r="G139" t="str">
        <f t="shared" si="19"/>
        <v xml:space="preserve"> 17.4511</v>
      </c>
      <c r="H139" s="1" t="str">
        <f t="shared" si="25"/>
        <v>MD15</v>
      </c>
      <c r="I139" s="1">
        <v>2028</v>
      </c>
      <c r="J139" s="1" t="str">
        <f t="shared" si="23"/>
        <v>DB</v>
      </c>
      <c r="K139" s="1" t="str">
        <f t="shared" si="24"/>
        <v>0102</v>
      </c>
    </row>
    <row r="140" spans="1:11" x14ac:dyDescent="0.2">
      <c r="A140" t="s">
        <v>278</v>
      </c>
      <c r="B140" t="s">
        <v>279</v>
      </c>
      <c r="F140" t="str">
        <f t="shared" si="18"/>
        <v>104.4589</v>
      </c>
      <c r="G140" t="str">
        <f t="shared" si="19"/>
        <v xml:space="preserve"> 17.4511</v>
      </c>
      <c r="H140" s="1" t="str">
        <f t="shared" si="25"/>
        <v>MD16</v>
      </c>
      <c r="I140" s="1">
        <v>2028</v>
      </c>
      <c r="J140" s="1" t="str">
        <f t="shared" si="23"/>
        <v>DB</v>
      </c>
      <c r="K140" s="1" t="str">
        <f t="shared" si="24"/>
        <v>0102</v>
      </c>
    </row>
    <row r="141" spans="1:11" x14ac:dyDescent="0.2">
      <c r="A141" t="s">
        <v>280</v>
      </c>
      <c r="B141" t="s">
        <v>281</v>
      </c>
      <c r="F141" t="str">
        <f t="shared" si="18"/>
        <v>104.4592</v>
      </c>
      <c r="G141" t="str">
        <f t="shared" si="19"/>
        <v xml:space="preserve"> 17.4512</v>
      </c>
      <c r="H141" s="1" t="str">
        <f t="shared" si="25"/>
        <v>MD17</v>
      </c>
      <c r="I141" s="1">
        <v>2028</v>
      </c>
      <c r="J141" s="1" t="str">
        <f t="shared" si="23"/>
        <v>DB</v>
      </c>
      <c r="K141" s="1" t="str">
        <f t="shared" si="24"/>
        <v>0102</v>
      </c>
    </row>
    <row r="142" spans="1:11" x14ac:dyDescent="0.2">
      <c r="A142" t="s">
        <v>282</v>
      </c>
      <c r="B142" t="s">
        <v>283</v>
      </c>
      <c r="F142" t="str">
        <f t="shared" si="18"/>
        <v>104.4595</v>
      </c>
      <c r="G142" t="str">
        <f t="shared" si="19"/>
        <v xml:space="preserve"> 17.4513</v>
      </c>
      <c r="H142" s="1" t="str">
        <f t="shared" si="25"/>
        <v>MD18</v>
      </c>
      <c r="I142" s="1">
        <v>2028</v>
      </c>
      <c r="J142" s="1" t="str">
        <f t="shared" si="23"/>
        <v>DB</v>
      </c>
      <c r="K142" s="1" t="str">
        <f t="shared" si="24"/>
        <v>0102</v>
      </c>
    </row>
    <row r="143" spans="1:11" x14ac:dyDescent="0.2">
      <c r="A143" t="s">
        <v>284</v>
      </c>
      <c r="B143" t="s">
        <v>285</v>
      </c>
      <c r="F143" t="str">
        <f t="shared" si="18"/>
        <v>104.4598</v>
      </c>
      <c r="G143" t="str">
        <f>MID(A143,17,8)</f>
        <v xml:space="preserve"> 17.4514</v>
      </c>
      <c r="H143" s="1" t="str">
        <f t="shared" si="25"/>
        <v>MD19</v>
      </c>
      <c r="I143" s="1">
        <v>2028</v>
      </c>
      <c r="J143" s="1" t="str">
        <f t="shared" si="23"/>
        <v>DB</v>
      </c>
      <c r="K143" s="1" t="str">
        <f t="shared" si="24"/>
        <v>0102</v>
      </c>
    </row>
    <row r="144" spans="1:11" x14ac:dyDescent="0.2">
      <c r="A144" t="s">
        <v>286</v>
      </c>
      <c r="B144" t="s">
        <v>287</v>
      </c>
      <c r="F144" t="str">
        <f t="shared" si="18"/>
        <v>104.4600</v>
      </c>
      <c r="G144" t="str">
        <f>MID(A144,17,8)</f>
        <v xml:space="preserve"> 17.4515</v>
      </c>
      <c r="H144" s="1" t="str">
        <f t="shared" si="25"/>
        <v>MD20</v>
      </c>
      <c r="I144" s="1">
        <v>2028</v>
      </c>
      <c r="J144" s="1" t="str">
        <f t="shared" si="23"/>
        <v>DB</v>
      </c>
      <c r="K144" s="1" t="str">
        <f t="shared" si="24"/>
        <v>0102</v>
      </c>
    </row>
    <row r="145" spans="1:11" x14ac:dyDescent="0.2">
      <c r="A145" t="s">
        <v>288</v>
      </c>
      <c r="B145" t="s">
        <v>289</v>
      </c>
      <c r="F145" t="str">
        <f t="shared" si="18"/>
        <v>104.4603</v>
      </c>
      <c r="G145" t="str">
        <f t="shared" si="19"/>
        <v xml:space="preserve"> 17.4517</v>
      </c>
      <c r="H145" s="1" t="str">
        <f t="shared" si="25"/>
        <v>MD21</v>
      </c>
      <c r="I145" s="1">
        <v>2028</v>
      </c>
      <c r="J145" s="1" t="str">
        <f t="shared" si="23"/>
        <v>DB</v>
      </c>
      <c r="K145" s="1" t="str">
        <f t="shared" si="24"/>
        <v>0102</v>
      </c>
    </row>
    <row r="146" spans="1:11" x14ac:dyDescent="0.2">
      <c r="A146" t="s">
        <v>290</v>
      </c>
      <c r="B146" t="s">
        <v>291</v>
      </c>
      <c r="F146" t="str">
        <f t="shared" si="18"/>
        <v>104.4606</v>
      </c>
      <c r="G146" t="str">
        <f t="shared" si="19"/>
        <v xml:space="preserve"> 17.4518</v>
      </c>
      <c r="H146" s="1" t="str">
        <f t="shared" si="25"/>
        <v>MD22</v>
      </c>
      <c r="I146" s="1">
        <v>2028</v>
      </c>
      <c r="J146" s="1" t="str">
        <f t="shared" si="23"/>
        <v>DB</v>
      </c>
      <c r="K146" s="1" t="str">
        <f t="shared" si="24"/>
        <v>0102</v>
      </c>
    </row>
    <row r="147" spans="1:11" x14ac:dyDescent="0.2">
      <c r="A147" t="s">
        <v>292</v>
      </c>
      <c r="B147" t="s">
        <v>293</v>
      </c>
      <c r="F147" t="str">
        <f t="shared" si="18"/>
        <v>104.4620</v>
      </c>
      <c r="G147" t="str">
        <f t="shared" si="19"/>
        <v xml:space="preserve"> 17.4524</v>
      </c>
      <c r="H147" s="1" t="str">
        <f t="shared" si="25"/>
        <v>MD23</v>
      </c>
      <c r="I147" s="1">
        <v>2028</v>
      </c>
      <c r="J147" s="1" t="str">
        <f t="shared" si="23"/>
        <v>DB</v>
      </c>
      <c r="K147" s="1" t="str">
        <f>MID(B147,16,4)</f>
        <v>0102</v>
      </c>
    </row>
    <row r="148" spans="1:11" x14ac:dyDescent="0.2">
      <c r="A148" t="s">
        <v>294</v>
      </c>
      <c r="B148" t="s">
        <v>295</v>
      </c>
      <c r="F148" t="str">
        <f t="shared" si="18"/>
        <v>104.4623</v>
      </c>
      <c r="G148" t="str">
        <f t="shared" si="19"/>
        <v xml:space="preserve"> 17.4525</v>
      </c>
      <c r="H148" s="1" t="str">
        <f t="shared" si="25"/>
        <v>MD24</v>
      </c>
      <c r="I148" s="1">
        <v>2028</v>
      </c>
      <c r="J148" s="1" t="str">
        <f t="shared" si="23"/>
        <v>DB</v>
      </c>
      <c r="K148" s="1" t="str">
        <f t="shared" si="24"/>
        <v>0102</v>
      </c>
    </row>
    <row r="149" spans="1:11" x14ac:dyDescent="0.2">
      <c r="A149" t="s">
        <v>296</v>
      </c>
      <c r="B149" t="s">
        <v>297</v>
      </c>
      <c r="F149" t="str">
        <f t="shared" si="18"/>
        <v>104.4625</v>
      </c>
      <c r="G149" t="str">
        <f>MID(A149,17,8)</f>
        <v xml:space="preserve"> 17.4526</v>
      </c>
      <c r="H149" s="1" t="str">
        <f t="shared" si="25"/>
        <v>MD25</v>
      </c>
      <c r="I149" s="1">
        <v>2028</v>
      </c>
      <c r="J149" s="1" t="str">
        <f t="shared" si="23"/>
        <v>DB</v>
      </c>
      <c r="K149" s="1" t="str">
        <f t="shared" si="24"/>
        <v>0102</v>
      </c>
    </row>
    <row r="150" spans="1:11" x14ac:dyDescent="0.2">
      <c r="A150" t="s">
        <v>298</v>
      </c>
      <c r="B150" t="s">
        <v>299</v>
      </c>
      <c r="F150" t="str">
        <f t="shared" si="18"/>
        <v>104.4609</v>
      </c>
      <c r="G150" t="str">
        <f t="shared" si="19"/>
        <v xml:space="preserve"> 17.4520</v>
      </c>
      <c r="H150" s="1" t="str">
        <f>MID(B150,1,6)</f>
        <v>MD/LT1</v>
      </c>
      <c r="I150" s="1">
        <v>2028</v>
      </c>
      <c r="J150" s="1" t="s">
        <v>310</v>
      </c>
      <c r="K150" s="1" t="str">
        <f t="shared" si="22"/>
        <v>0102</v>
      </c>
    </row>
    <row r="151" spans="1:11" x14ac:dyDescent="0.2">
      <c r="A151" t="s">
        <v>300</v>
      </c>
      <c r="B151" t="s">
        <v>301</v>
      </c>
      <c r="F151" t="str">
        <f t="shared" si="18"/>
        <v>104.4610</v>
      </c>
      <c r="G151" t="str">
        <f t="shared" si="19"/>
        <v xml:space="preserve"> 17.4520</v>
      </c>
      <c r="H151" s="1" t="str">
        <f t="shared" ref="H151:H155" si="26">MID(B151,1,6)</f>
        <v>MD/RT1</v>
      </c>
      <c r="I151" s="1">
        <v>2028</v>
      </c>
      <c r="J151" s="1" t="s">
        <v>310</v>
      </c>
      <c r="K151" s="1" t="str">
        <f t="shared" si="22"/>
        <v>0102</v>
      </c>
    </row>
    <row r="152" spans="1:11" x14ac:dyDescent="0.2">
      <c r="A152" t="s">
        <v>302</v>
      </c>
      <c r="B152" t="s">
        <v>303</v>
      </c>
      <c r="F152" t="str">
        <f t="shared" si="18"/>
        <v>104.4613</v>
      </c>
      <c r="G152" t="str">
        <f t="shared" si="19"/>
        <v xml:space="preserve"> 17.4521</v>
      </c>
      <c r="H152" s="1" t="str">
        <f t="shared" si="26"/>
        <v>MD/LT2</v>
      </c>
      <c r="I152" s="1">
        <v>2028</v>
      </c>
      <c r="J152" s="1" t="s">
        <v>310</v>
      </c>
      <c r="K152" s="1" t="str">
        <f t="shared" si="22"/>
        <v>0102</v>
      </c>
    </row>
    <row r="153" spans="1:11" x14ac:dyDescent="0.2">
      <c r="A153" t="s">
        <v>304</v>
      </c>
      <c r="B153" t="s">
        <v>305</v>
      </c>
      <c r="F153" t="str">
        <f t="shared" si="18"/>
        <v>104.4613</v>
      </c>
      <c r="G153" t="str">
        <f t="shared" si="19"/>
        <v xml:space="preserve"> 17.4521</v>
      </c>
      <c r="H153" s="1" t="str">
        <f t="shared" si="26"/>
        <v>MD/RT2</v>
      </c>
      <c r="I153" s="1">
        <v>2028</v>
      </c>
      <c r="J153" s="1" t="s">
        <v>310</v>
      </c>
      <c r="K153" s="1" t="str">
        <f t="shared" si="22"/>
        <v>0102</v>
      </c>
    </row>
    <row r="154" spans="1:11" x14ac:dyDescent="0.2">
      <c r="A154" t="s">
        <v>306</v>
      </c>
      <c r="B154" t="s">
        <v>307</v>
      </c>
      <c r="F154" t="str">
        <f t="shared" si="18"/>
        <v>104.4616</v>
      </c>
      <c r="G154" t="str">
        <f t="shared" si="19"/>
        <v xml:space="preserve"> 17.4522</v>
      </c>
      <c r="H154" s="1" t="str">
        <f t="shared" si="26"/>
        <v>MD/LT3</v>
      </c>
      <c r="I154" s="1">
        <v>2028</v>
      </c>
      <c r="J154" s="1" t="s">
        <v>310</v>
      </c>
      <c r="K154" s="1" t="str">
        <f t="shared" si="22"/>
        <v>0102</v>
      </c>
    </row>
    <row r="155" spans="1:11" x14ac:dyDescent="0.2">
      <c r="A155" t="s">
        <v>308</v>
      </c>
      <c r="B155" t="s">
        <v>309</v>
      </c>
      <c r="F155" t="str">
        <f t="shared" si="18"/>
        <v>104.4616</v>
      </c>
      <c r="G155" t="str">
        <f t="shared" si="19"/>
        <v xml:space="preserve"> 17.4522</v>
      </c>
      <c r="H155" s="1" t="str">
        <f t="shared" si="26"/>
        <v>MD/RT3</v>
      </c>
      <c r="I155" s="1">
        <v>2028</v>
      </c>
      <c r="J155" s="1" t="s">
        <v>310</v>
      </c>
      <c r="K155" s="1" t="str">
        <f t="shared" si="22"/>
        <v>0102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2028- ทล.2028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Tiger</cp:lastModifiedBy>
  <dcterms:created xsi:type="dcterms:W3CDTF">2023-06-29T02:16:52Z</dcterms:created>
  <dcterms:modified xsi:type="dcterms:W3CDTF">2023-06-29T02:39:44Z</dcterms:modified>
</cp:coreProperties>
</file>