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ger\Desktop\just scan me\295\"/>
    </mc:Choice>
  </mc:AlternateContent>
  <xr:revisionPtr revIDLastSave="0" documentId="13_ncr:1_{FF74CDE3-1057-46CB-A80B-F216F712CDBB}" xr6:coauthVersionLast="47" xr6:coauthVersionMax="47" xr10:uidLastSave="{00000000-0000-0000-0000-000000000000}"/>
  <bookViews>
    <workbookView xWindow="-45" yWindow="0" windowWidth="19980" windowHeight="15600" xr2:uid="{00000000-000D-0000-FFFF-FFFF00000000}"/>
  </bookViews>
  <sheets>
    <sheet name="295- ทล.295" sheetId="1" r:id="rId1"/>
  </sheets>
  <calcPr calcId="181029"/>
</workbook>
</file>

<file path=xl/calcChain.xml><?xml version="1.0" encoding="utf-8"?>
<calcChain xmlns="http://schemas.openxmlformats.org/spreadsheetml/2006/main">
  <c r="H53" i="1" l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52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11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52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11" i="1"/>
  <c r="K61" i="1"/>
  <c r="K44" i="1"/>
  <c r="K45" i="1"/>
  <c r="K46" i="1"/>
  <c r="K47" i="1"/>
  <c r="K48" i="1"/>
  <c r="K49" i="1"/>
  <c r="K50" i="1"/>
  <c r="K51" i="1"/>
  <c r="K43" i="1"/>
  <c r="K40" i="1"/>
  <c r="K33" i="1"/>
  <c r="K12" i="1"/>
  <c r="K13" i="1"/>
  <c r="K14" i="1"/>
  <c r="K15" i="1"/>
  <c r="K16" i="1"/>
  <c r="K17" i="1"/>
  <c r="K18" i="1"/>
  <c r="K19" i="1"/>
  <c r="K11" i="1"/>
  <c r="I44" i="1"/>
  <c r="I45" i="1"/>
  <c r="I46" i="1"/>
  <c r="I47" i="1"/>
  <c r="I48" i="1"/>
  <c r="I49" i="1"/>
  <c r="I50" i="1"/>
  <c r="I51" i="1"/>
  <c r="I43" i="1"/>
  <c r="I12" i="1"/>
  <c r="I13" i="1"/>
  <c r="I14" i="1"/>
  <c r="I15" i="1"/>
  <c r="I16" i="1"/>
  <c r="I17" i="1"/>
  <c r="I18" i="1"/>
  <c r="I19" i="1"/>
  <c r="I11" i="1"/>
  <c r="G59" i="1"/>
  <c r="G57" i="1"/>
  <c r="G48" i="1"/>
  <c r="G45" i="1" l="1"/>
  <c r="G34" i="1"/>
  <c r="G33" i="1"/>
  <c r="G31" i="1"/>
  <c r="G22" i="1"/>
  <c r="G19" i="1"/>
  <c r="G13" i="1"/>
  <c r="G6" i="1"/>
  <c r="G9" i="1"/>
  <c r="K78" i="1"/>
  <c r="I78" i="1"/>
  <c r="G78" i="1"/>
  <c r="F78" i="1"/>
  <c r="K77" i="1"/>
  <c r="I77" i="1"/>
  <c r="G77" i="1"/>
  <c r="F77" i="1"/>
  <c r="K76" i="1"/>
  <c r="I76" i="1"/>
  <c r="G76" i="1"/>
  <c r="F76" i="1"/>
  <c r="K75" i="1"/>
  <c r="I75" i="1"/>
  <c r="G75" i="1"/>
  <c r="F75" i="1"/>
  <c r="K74" i="1"/>
  <c r="I74" i="1"/>
  <c r="G74" i="1"/>
  <c r="F74" i="1"/>
  <c r="K73" i="1"/>
  <c r="I73" i="1"/>
  <c r="G73" i="1"/>
  <c r="F73" i="1"/>
  <c r="K72" i="1"/>
  <c r="I72" i="1"/>
  <c r="G72" i="1"/>
  <c r="F72" i="1"/>
  <c r="K71" i="1"/>
  <c r="I71" i="1"/>
  <c r="G71" i="1"/>
  <c r="F71" i="1"/>
  <c r="K70" i="1"/>
  <c r="I70" i="1"/>
  <c r="G70" i="1"/>
  <c r="F70" i="1"/>
  <c r="K69" i="1"/>
  <c r="I69" i="1"/>
  <c r="G69" i="1"/>
  <c r="F69" i="1"/>
  <c r="K68" i="1"/>
  <c r="I68" i="1"/>
  <c r="G68" i="1"/>
  <c r="F68" i="1"/>
  <c r="K67" i="1"/>
  <c r="I67" i="1"/>
  <c r="G67" i="1"/>
  <c r="F67" i="1"/>
  <c r="K66" i="1"/>
  <c r="I66" i="1"/>
  <c r="G66" i="1"/>
  <c r="F66" i="1"/>
  <c r="K65" i="1"/>
  <c r="I65" i="1"/>
  <c r="G65" i="1"/>
  <c r="F65" i="1"/>
  <c r="K64" i="1"/>
  <c r="I64" i="1"/>
  <c r="G64" i="1"/>
  <c r="F64" i="1"/>
  <c r="K63" i="1"/>
  <c r="I63" i="1"/>
  <c r="G63" i="1"/>
  <c r="F63" i="1"/>
  <c r="K62" i="1"/>
  <c r="I62" i="1"/>
  <c r="G62" i="1"/>
  <c r="F62" i="1"/>
  <c r="I61" i="1"/>
  <c r="G61" i="1"/>
  <c r="F61" i="1"/>
  <c r="K60" i="1"/>
  <c r="I60" i="1"/>
  <c r="G60" i="1"/>
  <c r="F60" i="1"/>
  <c r="K59" i="1"/>
  <c r="I59" i="1"/>
  <c r="F59" i="1"/>
  <c r="K58" i="1"/>
  <c r="I58" i="1"/>
  <c r="G58" i="1"/>
  <c r="F58" i="1"/>
  <c r="K57" i="1"/>
  <c r="I57" i="1"/>
  <c r="F57" i="1"/>
  <c r="K56" i="1"/>
  <c r="I56" i="1"/>
  <c r="G56" i="1"/>
  <c r="F56" i="1"/>
  <c r="K55" i="1"/>
  <c r="I55" i="1"/>
  <c r="G55" i="1"/>
  <c r="F55" i="1"/>
  <c r="K54" i="1"/>
  <c r="I54" i="1"/>
  <c r="G54" i="1"/>
  <c r="F54" i="1"/>
  <c r="K53" i="1"/>
  <c r="I53" i="1"/>
  <c r="G53" i="1"/>
  <c r="F53" i="1"/>
  <c r="K52" i="1"/>
  <c r="I52" i="1"/>
  <c r="G52" i="1"/>
  <c r="F52" i="1"/>
  <c r="L51" i="1"/>
  <c r="H51" i="1"/>
  <c r="G51" i="1"/>
  <c r="F51" i="1"/>
  <c r="L50" i="1"/>
  <c r="H50" i="1"/>
  <c r="G50" i="1"/>
  <c r="F50" i="1"/>
  <c r="L49" i="1"/>
  <c r="H49" i="1"/>
  <c r="G49" i="1"/>
  <c r="F49" i="1"/>
  <c r="L48" i="1"/>
  <c r="H48" i="1"/>
  <c r="F48" i="1"/>
  <c r="L47" i="1"/>
  <c r="H47" i="1"/>
  <c r="G47" i="1"/>
  <c r="F47" i="1"/>
  <c r="L46" i="1"/>
  <c r="H46" i="1"/>
  <c r="G46" i="1"/>
  <c r="F46" i="1"/>
  <c r="L45" i="1"/>
  <c r="H45" i="1"/>
  <c r="F45" i="1"/>
  <c r="L44" i="1"/>
  <c r="H44" i="1"/>
  <c r="G44" i="1"/>
  <c r="F44" i="1"/>
  <c r="L43" i="1"/>
  <c r="H43" i="1"/>
  <c r="G43" i="1"/>
  <c r="F43" i="1"/>
  <c r="K42" i="1"/>
  <c r="I42" i="1"/>
  <c r="G42" i="1"/>
  <c r="F42" i="1"/>
  <c r="K41" i="1"/>
  <c r="I41" i="1"/>
  <c r="G41" i="1"/>
  <c r="F41" i="1"/>
  <c r="I40" i="1"/>
  <c r="G40" i="1"/>
  <c r="F40" i="1"/>
  <c r="K39" i="1"/>
  <c r="I39" i="1"/>
  <c r="G39" i="1"/>
  <c r="F39" i="1"/>
  <c r="K38" i="1"/>
  <c r="I38" i="1"/>
  <c r="G38" i="1"/>
  <c r="F38" i="1"/>
  <c r="K37" i="1"/>
  <c r="I37" i="1"/>
  <c r="G37" i="1"/>
  <c r="F37" i="1"/>
  <c r="K36" i="1"/>
  <c r="I36" i="1"/>
  <c r="G36" i="1"/>
  <c r="F36" i="1"/>
  <c r="K35" i="1"/>
  <c r="I35" i="1"/>
  <c r="G35" i="1"/>
  <c r="F35" i="1"/>
  <c r="K34" i="1"/>
  <c r="I34" i="1"/>
  <c r="F34" i="1"/>
  <c r="I33" i="1"/>
  <c r="F33" i="1"/>
  <c r="K32" i="1"/>
  <c r="I32" i="1"/>
  <c r="G32" i="1"/>
  <c r="F32" i="1"/>
  <c r="K31" i="1"/>
  <c r="I31" i="1"/>
  <c r="F31" i="1"/>
  <c r="K30" i="1"/>
  <c r="I30" i="1"/>
  <c r="G30" i="1"/>
  <c r="F30" i="1"/>
  <c r="K29" i="1"/>
  <c r="I29" i="1"/>
  <c r="G29" i="1"/>
  <c r="F29" i="1"/>
  <c r="K28" i="1"/>
  <c r="I28" i="1"/>
  <c r="G28" i="1"/>
  <c r="F28" i="1"/>
  <c r="K27" i="1"/>
  <c r="I27" i="1"/>
  <c r="G27" i="1"/>
  <c r="F27" i="1"/>
  <c r="K26" i="1"/>
  <c r="I26" i="1"/>
  <c r="G26" i="1"/>
  <c r="F26" i="1"/>
  <c r="K25" i="1"/>
  <c r="I25" i="1"/>
  <c r="G25" i="1"/>
  <c r="F25" i="1"/>
  <c r="K24" i="1"/>
  <c r="I24" i="1"/>
  <c r="G24" i="1"/>
  <c r="F24" i="1"/>
  <c r="K23" i="1"/>
  <c r="I23" i="1"/>
  <c r="G23" i="1"/>
  <c r="F23" i="1"/>
  <c r="K22" i="1"/>
  <c r="I22" i="1"/>
  <c r="F22" i="1"/>
  <c r="K21" i="1"/>
  <c r="I21" i="1"/>
  <c r="G21" i="1"/>
  <c r="F21" i="1"/>
  <c r="K20" i="1"/>
  <c r="I20" i="1"/>
  <c r="G20" i="1"/>
  <c r="F20" i="1"/>
  <c r="F19" i="1"/>
  <c r="G18" i="1"/>
  <c r="F18" i="1"/>
  <c r="G17" i="1"/>
  <c r="F17" i="1"/>
  <c r="G16" i="1"/>
  <c r="F16" i="1"/>
  <c r="G15" i="1"/>
  <c r="F15" i="1"/>
  <c r="G14" i="1"/>
  <c r="F14" i="1"/>
  <c r="F13" i="1"/>
  <c r="G12" i="1"/>
  <c r="F12" i="1"/>
  <c r="G11" i="1"/>
  <c r="F11" i="1"/>
  <c r="L10" i="1"/>
  <c r="K10" i="1"/>
  <c r="I10" i="1"/>
  <c r="H10" i="1"/>
  <c r="G10" i="1"/>
  <c r="F10" i="1"/>
  <c r="L9" i="1"/>
  <c r="K9" i="1"/>
  <c r="I9" i="1"/>
  <c r="H9" i="1"/>
  <c r="F9" i="1"/>
  <c r="L8" i="1"/>
  <c r="K8" i="1"/>
  <c r="I8" i="1"/>
  <c r="H8" i="1"/>
  <c r="G8" i="1"/>
  <c r="F8" i="1"/>
  <c r="L7" i="1"/>
  <c r="K7" i="1"/>
  <c r="I7" i="1"/>
  <c r="H7" i="1"/>
  <c r="G7" i="1"/>
  <c r="F7" i="1"/>
  <c r="L6" i="1"/>
  <c r="K6" i="1"/>
  <c r="I6" i="1"/>
  <c r="H6" i="1"/>
  <c r="F6" i="1"/>
  <c r="L5" i="1"/>
  <c r="K5" i="1"/>
  <c r="I5" i="1"/>
  <c r="H5" i="1"/>
  <c r="G5" i="1"/>
  <c r="F5" i="1"/>
  <c r="L4" i="1"/>
  <c r="K4" i="1"/>
  <c r="I4" i="1"/>
  <c r="H4" i="1"/>
  <c r="G4" i="1"/>
  <c r="F4" i="1"/>
  <c r="L3" i="1"/>
  <c r="K3" i="1"/>
  <c r="I3" i="1"/>
  <c r="H3" i="1"/>
  <c r="G3" i="1"/>
  <c r="F3" i="1"/>
  <c r="L2" i="1"/>
  <c r="K2" i="1"/>
  <c r="I2" i="1"/>
  <c r="H2" i="1"/>
  <c r="G2" i="1"/>
  <c r="F2" i="1"/>
</calcChain>
</file>

<file path=xl/sharedStrings.xml><?xml version="1.0" encoding="utf-8"?>
<sst xmlns="http://schemas.openxmlformats.org/spreadsheetml/2006/main" count="234" uniqueCount="158">
  <si>
    <t>WKT</t>
  </si>
  <si>
    <t>เธเธทเนเธญ</t>
  </si>
  <si>
    <t>เธเธณเธญเธเธดเธเธฒเธข</t>
  </si>
  <si>
    <t>POINT (104.723974 17.480177 152.67)</t>
  </si>
  <si>
    <t>LT1-SG-295-0100-0+050</t>
  </si>
  <si>
    <t>POINT (104.723692 17.480081 153.92)</t>
  </si>
  <si>
    <t>LT2-SG-295-0100-0+080</t>
  </si>
  <si>
    <t>POINT (104.723331 17.479955 0.0)</t>
  </si>
  <si>
    <t>LT3-SG-295-0100-0+120</t>
  </si>
  <si>
    <t>POINT (104.723061 17.479845 155.19)</t>
  </si>
  <si>
    <t>LT4-SG-295-0100-0+150</t>
  </si>
  <si>
    <t>POINT (104.72276 17.479732 158.67)</t>
  </si>
  <si>
    <t>LT5-SG-295-0100-0+180</t>
  </si>
  <si>
    <t>POINT (104.722459 17.479626 162.65)</t>
  </si>
  <si>
    <t>LT6-SG-295-0100-0+210</t>
  </si>
  <si>
    <t>POINT (104.722159 17.479525 165.03)</t>
  </si>
  <si>
    <t>LT7-SG-295-0100-0+240</t>
  </si>
  <si>
    <t>POINT (104.721858 17.47942 168.89)</t>
  </si>
  <si>
    <t>LT8-SG-295-0100-0+270</t>
  </si>
  <si>
    <t>POINT (104.721555 17.479311 170.71)</t>
  </si>
  <si>
    <t>LT9-SG-295-0100-0+300</t>
  </si>
  <si>
    <t>POINT (104.721247 17.479192 170.78)</t>
  </si>
  <si>
    <t>LT10-SG-295-0100-0+330</t>
  </si>
  <si>
    <t>POINT (104.721076 17.479127 170.85)</t>
  </si>
  <si>
    <t>LT11-SG-295-0100-0+360</t>
  </si>
  <si>
    <t>POINT (104.720937 17.479075 170.58)</t>
  </si>
  <si>
    <t>LT12-SG-295-0100-0+390</t>
  </si>
  <si>
    <t>POINT (104.720788 17.47901 169.77)</t>
  </si>
  <si>
    <t>LT13-SG-295-0100-0+420</t>
  </si>
  <si>
    <t>POINT (104.720623 17.478957 168.7)</t>
  </si>
  <si>
    <t>LT14-SG-295-0100-0+450</t>
  </si>
  <si>
    <t>POINT (104.720477 17.478891 167.32)</t>
  </si>
  <si>
    <t>LT15-SG-295-0100-0+480</t>
  </si>
  <si>
    <t>POINT (104.720308 17.478827 164.85)</t>
  </si>
  <si>
    <t>LT16-SG-295-0100-0+510</t>
  </si>
  <si>
    <t>POINT (104.720003 17.478702 162.59)</t>
  </si>
  <si>
    <t>LT17-SG-295-0100-0+540</t>
  </si>
  <si>
    <t>POINT (104.71969 17.47859 161.86)</t>
  </si>
  <si>
    <t>LT18-SG-295-0100-0+580</t>
  </si>
  <si>
    <t>POINT (104.719377 17.478466 160.26)</t>
  </si>
  <si>
    <t>LT19-SG-295-0100-0+610</t>
  </si>
  <si>
    <t>POINT (104.719085 17.478357 158.56)</t>
  </si>
  <si>
    <t>LT20-SG-295-0100-0+640</t>
  </si>
  <si>
    <t>POINT (104.71782 17.477886 153.67)</t>
  </si>
  <si>
    <t>LT21-SG-295-0100-0+790</t>
  </si>
  <si>
    <t>POINT (104.717526 17.477764 153.94)</t>
  </si>
  <si>
    <t>LT22-SG-295-0100-0+830</t>
  </si>
  <si>
    <t>POINT (104.717218 17.477651 152.79)</t>
  </si>
  <si>
    <t>LT23-SG-295-0100-0+860</t>
  </si>
  <si>
    <t>POINT (104.716908 17.477522 152.21)</t>
  </si>
  <si>
    <t>LT24-SG-295-0100-0+890</t>
  </si>
  <si>
    <t>POINT (104.716601 17.477408 151.71)</t>
  </si>
  <si>
    <t>LT25-SG-295-0100-0+920</t>
  </si>
  <si>
    <t>POINT (104.716352 17.477308 152.48)</t>
  </si>
  <si>
    <t>LT26-SG-295-0100-0+950</t>
  </si>
  <si>
    <t>POINT (104.715984 17.47719 153.06)</t>
  </si>
  <si>
    <t>LT27-SG-295-0100-0+980</t>
  </si>
  <si>
    <t>POINT (104.715726 17.477087 152.77)</t>
  </si>
  <si>
    <t>LT28-SG-295-0100-1+010</t>
  </si>
  <si>
    <t>POINT (104.715493 17.477042 152.56)</t>
  </si>
  <si>
    <t>LT29-SG-295-0100-1+040</t>
  </si>
  <si>
    <t>POINT (104.71513 17.477054 152.4)</t>
  </si>
  <si>
    <t>LT30-SG-295-0100-1+070</t>
  </si>
  <si>
    <t>POINT (104.714835 17.477141 151.69)</t>
  </si>
  <si>
    <t>LT31-SG-295-0100-1+100</t>
  </si>
  <si>
    <t>POINT (104.714525 17.477314 150.83)</t>
  </si>
  <si>
    <t>LT32-SG-295-0100-1+130</t>
  </si>
  <si>
    <t>POINT (104.714318 17.477517 151.69)</t>
  </si>
  <si>
    <t>LT33-SG-295-0100-1+160</t>
  </si>
  <si>
    <t>POINT (104.714185 17.477701 152.14)</t>
  </si>
  <si>
    <t>LT34-SG-295-0100-1+190</t>
  </si>
  <si>
    <t>POINT (104.714093 17.477896 151.27)</t>
  </si>
  <si>
    <t>LT35-SG-295-0100-1+220</t>
  </si>
  <si>
    <t>POINT (104.714035 17.478102 149.85)</t>
  </si>
  <si>
    <t>LT36-SG-295-0100-1+250</t>
  </si>
  <si>
    <t>POINT (104.714015 17.478397 147.92)</t>
  </si>
  <si>
    <t>LT37-SG-295-0100-1+280</t>
  </si>
  <si>
    <t>POINT (104.714104 17.478753 146.3)</t>
  </si>
  <si>
    <t>LT38-SG-295-0100-1+310</t>
  </si>
  <si>
    <t>POINT (104.714258 17.479005 147.6)</t>
  </si>
  <si>
    <t>LT39-SG-295-0100-1+340</t>
  </si>
  <si>
    <t>POINT (104.714483 17.479256 149.96)</t>
  </si>
  <si>
    <t>LT40-SG-295-0100-1+390</t>
  </si>
  <si>
    <t>POINT (104.714782 17.479421 150.96)</t>
  </si>
  <si>
    <t>LT41-SG-295-0100-1+420</t>
  </si>
  <si>
    <t>POINT (104.723851 17.480422 152.75)</t>
  </si>
  <si>
    <t>RT1-SG-295-0100-0+050</t>
  </si>
  <si>
    <t>POINT (104.723582 17.48031 154.11)</t>
  </si>
  <si>
    <t>RT2-SG-295-0100-0+080</t>
  </si>
  <si>
    <t>POINT (104.723249 17.480193 155.43)</t>
  </si>
  <si>
    <t>RT3-SG-295-0100-0+120</t>
  </si>
  <si>
    <t>POINT (104.722955 17.480089 156.46)</t>
  </si>
  <si>
    <t>RT4-SG-295-0100-0+150</t>
  </si>
  <si>
    <t>POINT (104.722665 17.479988 159.7)</t>
  </si>
  <si>
    <t>RT5-SG-295-0100-0+080</t>
  </si>
  <si>
    <t>POINT (104.72237 17.479886 163.75)</t>
  </si>
  <si>
    <t>RT6-SG-295-0100-0+210</t>
  </si>
  <si>
    <t>POINT (104.722057 17.479768 165.37)</t>
  </si>
  <si>
    <t>RT7-SG-295-0100-0+240</t>
  </si>
  <si>
    <t>POINT (104.721751 17.479661 167.49)</t>
  </si>
  <si>
    <t>RT8-SG-295-0100-0+270</t>
  </si>
  <si>
    <t>POINT (104.721454 17.479553 168.98)</t>
  </si>
  <si>
    <t>RT9-SG-295-0100-0+300</t>
  </si>
  <si>
    <t>POINT (104.721141 17.479435 169.28)</t>
  </si>
  <si>
    <t>RT10-SG-295-0100-0+330</t>
  </si>
  <si>
    <t>POINT (104.720988 17.47938 169.51)</t>
  </si>
  <si>
    <t>RT11-SG-295-0100-0+360</t>
  </si>
  <si>
    <t>POINT (104.720832 17.479318 169.58)</t>
  </si>
  <si>
    <t>RT12-SG-295-0100-0+390</t>
  </si>
  <si>
    <t>POINT (104.720527 17.479205 167.94)</t>
  </si>
  <si>
    <t>RT13-SG-295-0100-0+450</t>
  </si>
  <si>
    <t>POINT (104.720198 17.479073 165.59)</t>
  </si>
  <si>
    <t>RT14-SG-295-0100-0+510</t>
  </si>
  <si>
    <t>POINT (104.7199 17.478955 163.49)</t>
  </si>
  <si>
    <t>RT15-SG-295-0100-0+540</t>
  </si>
  <si>
    <t>POINT (104.719609 17.478846 162.69)</t>
  </si>
  <si>
    <t>RT16-SG-295-0100-0+580</t>
  </si>
  <si>
    <t>POINT (104.719252 17.47871 160.35)</t>
  </si>
  <si>
    <t>RT17-SG-295-0100-0+610</t>
  </si>
  <si>
    <t>POINT (104.718963 17.478618 158.41)</t>
  </si>
  <si>
    <t>RT18-SG-295-0100-0+640</t>
  </si>
  <si>
    <t>POINT (104.718767 17.478555 156.8)</t>
  </si>
  <si>
    <t>RT19-SG-295-0100-0+670</t>
  </si>
  <si>
    <t>POINT (104.718495 17.47846 154.17)</t>
  </si>
  <si>
    <t>RT20-SG-295-0100-0+700</t>
  </si>
  <si>
    <t>POINT (104.718222 17.478363 152.65)</t>
  </si>
  <si>
    <t>RT21-SG-295-0100-0+730</t>
  </si>
  <si>
    <t>POINT (104.717897 17.47826 152.33)</t>
  </si>
  <si>
    <t>RT22-SG-295-0100-0+760</t>
  </si>
  <si>
    <t>POINT (104.717594 17.478188 152.7)</t>
  </si>
  <si>
    <t>RT23-SG-295-0100-0+790</t>
  </si>
  <si>
    <t>POINT (104.716251 17.477692 156.07)</t>
  </si>
  <si>
    <t>RT24-SG-295-0100-0+980</t>
  </si>
  <si>
    <t>POINT (104.715917 17.477554 155.54)</t>
  </si>
  <si>
    <t>RT25-SG-295-0100-1+010</t>
  </si>
  <si>
    <t>POINT (104.715678 17.477465 154.9)</t>
  </si>
  <si>
    <t>RT26-SG-295-0100-1+040</t>
  </si>
  <si>
    <t>POINT (104.715506 17.47741 154.68)</t>
  </si>
  <si>
    <t>RT27-SG-295-0100-1+070</t>
  </si>
  <si>
    <t>POINT (104.715249 17.477395 154.64)</t>
  </si>
  <si>
    <t>RT28-SG-295-0100-1+100</t>
  </si>
  <si>
    <t>POINT (104.714651 17.477573 152.4)</t>
  </si>
  <si>
    <t>RT29-SG-295-0100-1+150</t>
  </si>
  <si>
    <t>POINT (104.714512 17.477723 152.28)</t>
  </si>
  <si>
    <t>RT30-SG-295-0100-1+180</t>
  </si>
  <si>
    <t>POINT (104.714387 17.47791 0.0)</t>
  </si>
  <si>
    <t>RT31-SG-295-0100-1+210</t>
  </si>
  <si>
    <t>POINT (104.714342 17.478064 149.86)</t>
  </si>
  <si>
    <t>RT32-SG-295-0100-1+240</t>
  </si>
  <si>
    <t>POINT (104.714307 17.478275 148.7)</t>
  </si>
  <si>
    <t>RT33-SG-295-0100-1+270</t>
  </si>
  <si>
    <t>POINT (104.714323 17.478487 147.45)</t>
  </si>
  <si>
    <t>POINT (104.714486 17.478762 147.71)</t>
  </si>
  <si>
    <t>RT35-SG-295-0100-1+350</t>
  </si>
  <si>
    <t>POINT (104.714656 17.479009 149.73)</t>
  </si>
  <si>
    <t>RT36-SG-295-0100-1+380</t>
  </si>
  <si>
    <t>0295</t>
  </si>
  <si>
    <t>RT34-SG-295-0100-1+300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</si>
</sst>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workbookViewId="0">
      <selection activeCell="L4" sqref="L4"/>
    </sheetView>
  </sheetViews>
  <sheetFormatPr defaultRowHeight="14.25" x14ac:dyDescent="0.2"/>
  <cols>
    <col min="1" max="1" width="34.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3</v>
      </c>
      <c r="B2" t="s">
        <v>4</v>
      </c>
      <c r="F2" t="str">
        <f>MID(A2,8,8)</f>
        <v>104.7239</v>
      </c>
      <c r="G2" t="str">
        <f>MID(A2,18,8)</f>
        <v xml:space="preserve"> 17.4801</v>
      </c>
      <c r="H2" s="1" t="str">
        <f>MID(B2,1,3)</f>
        <v>LT1</v>
      </c>
      <c r="I2" s="1" t="str">
        <f>MID(B2,5,2)</f>
        <v>SG</v>
      </c>
      <c r="J2" s="2" t="s">
        <v>156</v>
      </c>
      <c r="K2" s="1" t="str">
        <f>MID(B2,12,4)</f>
        <v>0100</v>
      </c>
      <c r="L2" s="1" t="str">
        <f>MID(B2,17,5)</f>
        <v>0+050</v>
      </c>
    </row>
    <row r="3" spans="1:12" x14ac:dyDescent="0.2">
      <c r="A3" t="s">
        <v>5</v>
      </c>
      <c r="B3" t="s">
        <v>6</v>
      </c>
      <c r="F3" t="str">
        <f t="shared" ref="F3:F66" si="0">MID(A3,8,8)</f>
        <v>104.7236</v>
      </c>
      <c r="G3" t="str">
        <f t="shared" ref="G3:G66" si="1">MID(A3,18,8)</f>
        <v xml:space="preserve"> 17.4800</v>
      </c>
      <c r="H3" s="1" t="str">
        <f t="shared" ref="H3:H66" si="2">MID(B3,1,3)</f>
        <v>LT2</v>
      </c>
      <c r="I3" s="1" t="str">
        <f t="shared" ref="I3:I19" si="3">MID(B3,5,2)</f>
        <v>SG</v>
      </c>
      <c r="J3" s="2" t="s">
        <v>156</v>
      </c>
      <c r="K3" s="1" t="str">
        <f t="shared" ref="K3:K19" si="4">MID(B3,12,4)</f>
        <v>0100</v>
      </c>
      <c r="L3" s="1" t="str">
        <f t="shared" ref="L3:L66" si="5">MID(B3,17,5)</f>
        <v>0+080</v>
      </c>
    </row>
    <row r="4" spans="1:12" x14ac:dyDescent="0.2">
      <c r="A4" t="s">
        <v>7</v>
      </c>
      <c r="B4" t="s">
        <v>8</v>
      </c>
      <c r="F4" t="str">
        <f t="shared" si="0"/>
        <v>104.7233</v>
      </c>
      <c r="G4" t="str">
        <f t="shared" si="1"/>
        <v xml:space="preserve"> 17.4799</v>
      </c>
      <c r="H4" s="1" t="str">
        <f t="shared" si="2"/>
        <v>LT3</v>
      </c>
      <c r="I4" s="1" t="str">
        <f t="shared" si="3"/>
        <v>SG</v>
      </c>
      <c r="J4" s="2" t="s">
        <v>156</v>
      </c>
      <c r="K4" s="1" t="str">
        <f t="shared" si="4"/>
        <v>0100</v>
      </c>
      <c r="L4" s="1" t="str">
        <f t="shared" si="5"/>
        <v>0+120</v>
      </c>
    </row>
    <row r="5" spans="1:12" x14ac:dyDescent="0.2">
      <c r="A5" t="s">
        <v>9</v>
      </c>
      <c r="B5" t="s">
        <v>10</v>
      </c>
      <c r="F5" t="str">
        <f t="shared" si="0"/>
        <v>104.7230</v>
      </c>
      <c r="G5" t="str">
        <f t="shared" si="1"/>
        <v xml:space="preserve"> 17.4798</v>
      </c>
      <c r="H5" s="1" t="str">
        <f t="shared" si="2"/>
        <v>LT4</v>
      </c>
      <c r="I5" s="1" t="str">
        <f t="shared" si="3"/>
        <v>SG</v>
      </c>
      <c r="J5" s="2" t="s">
        <v>156</v>
      </c>
      <c r="K5" s="1" t="str">
        <f t="shared" si="4"/>
        <v>0100</v>
      </c>
      <c r="L5" s="1" t="str">
        <f t="shared" si="5"/>
        <v>0+150</v>
      </c>
    </row>
    <row r="6" spans="1:12" x14ac:dyDescent="0.2">
      <c r="A6" t="s">
        <v>11</v>
      </c>
      <c r="B6" t="s">
        <v>12</v>
      </c>
      <c r="F6" t="str">
        <f t="shared" si="0"/>
        <v>104.7227</v>
      </c>
      <c r="G6" t="str">
        <f>MID(A6,17,8)</f>
        <v xml:space="preserve"> 17.4797</v>
      </c>
      <c r="H6" s="1" t="str">
        <f t="shared" si="2"/>
        <v>LT5</v>
      </c>
      <c r="I6" s="1" t="str">
        <f t="shared" si="3"/>
        <v>SG</v>
      </c>
      <c r="J6" s="2" t="s">
        <v>156</v>
      </c>
      <c r="K6" s="1" t="str">
        <f t="shared" si="4"/>
        <v>0100</v>
      </c>
      <c r="L6" s="1" t="str">
        <f t="shared" si="5"/>
        <v>0+180</v>
      </c>
    </row>
    <row r="7" spans="1:12" x14ac:dyDescent="0.2">
      <c r="A7" t="s">
        <v>13</v>
      </c>
      <c r="B7" t="s">
        <v>14</v>
      </c>
      <c r="F7" t="str">
        <f t="shared" si="0"/>
        <v>104.7224</v>
      </c>
      <c r="G7" t="str">
        <f t="shared" si="1"/>
        <v xml:space="preserve"> 17.4796</v>
      </c>
      <c r="H7" s="1" t="str">
        <f t="shared" si="2"/>
        <v>LT6</v>
      </c>
      <c r="I7" s="1" t="str">
        <f t="shared" si="3"/>
        <v>SG</v>
      </c>
      <c r="J7" s="2" t="s">
        <v>156</v>
      </c>
      <c r="K7" s="1" t="str">
        <f t="shared" si="4"/>
        <v>0100</v>
      </c>
      <c r="L7" s="1" t="str">
        <f t="shared" si="5"/>
        <v>0+210</v>
      </c>
    </row>
    <row r="8" spans="1:12" x14ac:dyDescent="0.2">
      <c r="A8" t="s">
        <v>15</v>
      </c>
      <c r="B8" t="s">
        <v>16</v>
      </c>
      <c r="F8" t="str">
        <f t="shared" si="0"/>
        <v>104.7221</v>
      </c>
      <c r="G8" t="str">
        <f t="shared" si="1"/>
        <v xml:space="preserve"> 17.4795</v>
      </c>
      <c r="H8" s="1" t="str">
        <f t="shared" si="2"/>
        <v>LT7</v>
      </c>
      <c r="I8" s="1" t="str">
        <f t="shared" si="3"/>
        <v>SG</v>
      </c>
      <c r="J8" s="2" t="s">
        <v>156</v>
      </c>
      <c r="K8" s="1" t="str">
        <f t="shared" si="4"/>
        <v>0100</v>
      </c>
      <c r="L8" s="1" t="str">
        <f t="shared" si="5"/>
        <v>0+240</v>
      </c>
    </row>
    <row r="9" spans="1:12" x14ac:dyDescent="0.2">
      <c r="A9" t="s">
        <v>17</v>
      </c>
      <c r="B9" t="s">
        <v>18</v>
      </c>
      <c r="F9" t="str">
        <f t="shared" si="0"/>
        <v>104.7218</v>
      </c>
      <c r="G9" t="str">
        <f>MID(A9,18,8)</f>
        <v xml:space="preserve"> 17.4794</v>
      </c>
      <c r="H9" s="1" t="str">
        <f t="shared" si="2"/>
        <v>LT8</v>
      </c>
      <c r="I9" s="1" t="str">
        <f t="shared" si="3"/>
        <v>SG</v>
      </c>
      <c r="J9" s="2" t="s">
        <v>156</v>
      </c>
      <c r="K9" s="1" t="str">
        <f t="shared" si="4"/>
        <v>0100</v>
      </c>
      <c r="L9" s="1" t="str">
        <f t="shared" si="5"/>
        <v>0+270</v>
      </c>
    </row>
    <row r="10" spans="1:12" x14ac:dyDescent="0.2">
      <c r="A10" t="s">
        <v>19</v>
      </c>
      <c r="B10" t="s">
        <v>20</v>
      </c>
      <c r="F10" t="str">
        <f t="shared" si="0"/>
        <v>104.7215</v>
      </c>
      <c r="G10" t="str">
        <f t="shared" si="1"/>
        <v xml:space="preserve"> 17.4793</v>
      </c>
      <c r="H10" s="1" t="str">
        <f t="shared" si="2"/>
        <v>LT9</v>
      </c>
      <c r="I10" s="1" t="str">
        <f t="shared" si="3"/>
        <v>SG</v>
      </c>
      <c r="J10" s="2" t="s">
        <v>156</v>
      </c>
      <c r="K10" s="1" t="str">
        <f t="shared" si="4"/>
        <v>0100</v>
      </c>
      <c r="L10" s="1" t="str">
        <f t="shared" si="5"/>
        <v>0+300</v>
      </c>
    </row>
    <row r="11" spans="1:12" x14ac:dyDescent="0.2">
      <c r="A11" t="s">
        <v>21</v>
      </c>
      <c r="B11" t="s">
        <v>22</v>
      </c>
      <c r="F11" t="str">
        <f t="shared" si="0"/>
        <v>104.7212</v>
      </c>
      <c r="G11" t="str">
        <f t="shared" si="1"/>
        <v xml:space="preserve"> 17.4791</v>
      </c>
      <c r="H11" s="1" t="str">
        <f>MID(B11,1,4)</f>
        <v>LT10</v>
      </c>
      <c r="I11" s="1" t="str">
        <f>MID(B11,6,2)</f>
        <v>SG</v>
      </c>
      <c r="J11" s="2" t="s">
        <v>156</v>
      </c>
      <c r="K11" s="1" t="str">
        <f>MID(B11,13,4)</f>
        <v>0100</v>
      </c>
      <c r="L11" s="1" t="str">
        <f>MID(B11,18,5)</f>
        <v>0+330</v>
      </c>
    </row>
    <row r="12" spans="1:12" x14ac:dyDescent="0.2">
      <c r="A12" t="s">
        <v>23</v>
      </c>
      <c r="B12" t="s">
        <v>24</v>
      </c>
      <c r="F12" t="str">
        <f t="shared" si="0"/>
        <v>104.7210</v>
      </c>
      <c r="G12" t="str">
        <f t="shared" si="1"/>
        <v xml:space="preserve"> 17.4791</v>
      </c>
      <c r="H12" s="1" t="str">
        <f t="shared" ref="H12:H42" si="6">MID(B12,1,4)</f>
        <v>LT11</v>
      </c>
      <c r="I12" s="1" t="str">
        <f t="shared" ref="I12:I19" si="7">MID(B12,6,2)</f>
        <v>SG</v>
      </c>
      <c r="J12" s="2" t="s">
        <v>156</v>
      </c>
      <c r="K12" s="1" t="str">
        <f t="shared" ref="K12:K19" si="8">MID(B12,13,4)</f>
        <v>0100</v>
      </c>
      <c r="L12" s="1" t="str">
        <f t="shared" ref="L12:L42" si="9">MID(B12,18,5)</f>
        <v>0+360</v>
      </c>
    </row>
    <row r="13" spans="1:12" x14ac:dyDescent="0.2">
      <c r="A13" t="s">
        <v>25</v>
      </c>
      <c r="B13" t="s">
        <v>26</v>
      </c>
      <c r="F13" t="str">
        <f t="shared" si="0"/>
        <v>104.7209</v>
      </c>
      <c r="G13" t="str">
        <f>MID(A13,18,8)</f>
        <v xml:space="preserve"> 17.4790</v>
      </c>
      <c r="H13" s="1" t="str">
        <f t="shared" si="6"/>
        <v>LT12</v>
      </c>
      <c r="I13" s="1" t="str">
        <f t="shared" si="7"/>
        <v>SG</v>
      </c>
      <c r="J13" s="2" t="s">
        <v>156</v>
      </c>
      <c r="K13" s="1" t="str">
        <f t="shared" si="8"/>
        <v>0100</v>
      </c>
      <c r="L13" s="1" t="str">
        <f t="shared" si="9"/>
        <v>0+390</v>
      </c>
    </row>
    <row r="14" spans="1:12" x14ac:dyDescent="0.2">
      <c r="A14" t="s">
        <v>27</v>
      </c>
      <c r="B14" t="s">
        <v>28</v>
      </c>
      <c r="F14" t="str">
        <f t="shared" si="0"/>
        <v>104.7207</v>
      </c>
      <c r="G14" t="str">
        <f t="shared" si="1"/>
        <v xml:space="preserve"> 17.4790</v>
      </c>
      <c r="H14" s="1" t="str">
        <f t="shared" si="6"/>
        <v>LT13</v>
      </c>
      <c r="I14" s="1" t="str">
        <f t="shared" si="7"/>
        <v>SG</v>
      </c>
      <c r="J14" s="2" t="s">
        <v>156</v>
      </c>
      <c r="K14" s="1" t="str">
        <f t="shared" si="8"/>
        <v>0100</v>
      </c>
      <c r="L14" s="1" t="str">
        <f t="shared" si="9"/>
        <v>0+420</v>
      </c>
    </row>
    <row r="15" spans="1:12" x14ac:dyDescent="0.2">
      <c r="A15" t="s">
        <v>29</v>
      </c>
      <c r="B15" t="s">
        <v>30</v>
      </c>
      <c r="F15" t="str">
        <f t="shared" si="0"/>
        <v>104.7206</v>
      </c>
      <c r="G15" t="str">
        <f t="shared" si="1"/>
        <v xml:space="preserve"> 17.4789</v>
      </c>
      <c r="H15" s="1" t="str">
        <f t="shared" si="6"/>
        <v>LT14</v>
      </c>
      <c r="I15" s="1" t="str">
        <f t="shared" si="7"/>
        <v>SG</v>
      </c>
      <c r="J15" s="2" t="s">
        <v>156</v>
      </c>
      <c r="K15" s="1" t="str">
        <f t="shared" si="8"/>
        <v>0100</v>
      </c>
      <c r="L15" s="1" t="str">
        <f t="shared" si="9"/>
        <v>0+450</v>
      </c>
    </row>
    <row r="16" spans="1:12" x14ac:dyDescent="0.2">
      <c r="A16" t="s">
        <v>31</v>
      </c>
      <c r="B16" t="s">
        <v>32</v>
      </c>
      <c r="F16" t="str">
        <f t="shared" si="0"/>
        <v>104.7204</v>
      </c>
      <c r="G16" t="str">
        <f t="shared" si="1"/>
        <v xml:space="preserve"> 17.4788</v>
      </c>
      <c r="H16" s="1" t="str">
        <f t="shared" si="6"/>
        <v>LT15</v>
      </c>
      <c r="I16" s="1" t="str">
        <f t="shared" si="7"/>
        <v>SG</v>
      </c>
      <c r="J16" s="2" t="s">
        <v>156</v>
      </c>
      <c r="K16" s="1" t="str">
        <f t="shared" si="8"/>
        <v>0100</v>
      </c>
      <c r="L16" s="1" t="str">
        <f t="shared" si="9"/>
        <v>0+480</v>
      </c>
    </row>
    <row r="17" spans="1:12" x14ac:dyDescent="0.2">
      <c r="A17" t="s">
        <v>33</v>
      </c>
      <c r="B17" t="s">
        <v>34</v>
      </c>
      <c r="F17" t="str">
        <f t="shared" si="0"/>
        <v>104.7203</v>
      </c>
      <c r="G17" t="str">
        <f t="shared" si="1"/>
        <v xml:space="preserve"> 17.4788</v>
      </c>
      <c r="H17" s="1" t="str">
        <f t="shared" si="6"/>
        <v>LT16</v>
      </c>
      <c r="I17" s="1" t="str">
        <f t="shared" si="7"/>
        <v>SG</v>
      </c>
      <c r="J17" s="2" t="s">
        <v>156</v>
      </c>
      <c r="K17" s="1" t="str">
        <f t="shared" si="8"/>
        <v>0100</v>
      </c>
      <c r="L17" s="1" t="str">
        <f t="shared" si="9"/>
        <v>0+510</v>
      </c>
    </row>
    <row r="18" spans="1:12" x14ac:dyDescent="0.2">
      <c r="A18" t="s">
        <v>35</v>
      </c>
      <c r="B18" t="s">
        <v>36</v>
      </c>
      <c r="F18" t="str">
        <f t="shared" si="0"/>
        <v>104.7200</v>
      </c>
      <c r="G18" t="str">
        <f t="shared" si="1"/>
        <v xml:space="preserve"> 17.4787</v>
      </c>
      <c r="H18" s="1" t="str">
        <f t="shared" si="6"/>
        <v>LT17</v>
      </c>
      <c r="I18" s="1" t="str">
        <f t="shared" si="7"/>
        <v>SG</v>
      </c>
      <c r="J18" s="2" t="s">
        <v>156</v>
      </c>
      <c r="K18" s="1" t="str">
        <f t="shared" si="8"/>
        <v>0100</v>
      </c>
      <c r="L18" s="1" t="str">
        <f t="shared" si="9"/>
        <v>0+540</v>
      </c>
    </row>
    <row r="19" spans="1:12" x14ac:dyDescent="0.2">
      <c r="A19" t="s">
        <v>37</v>
      </c>
      <c r="B19" t="s">
        <v>38</v>
      </c>
      <c r="F19" t="str">
        <f t="shared" si="0"/>
        <v>104.7196</v>
      </c>
      <c r="G19" t="str">
        <f>MID(A19,17,8)</f>
        <v xml:space="preserve"> 17.4785</v>
      </c>
      <c r="H19" s="1" t="str">
        <f t="shared" si="6"/>
        <v>LT18</v>
      </c>
      <c r="I19" s="1" t="str">
        <f t="shared" si="7"/>
        <v>SG</v>
      </c>
      <c r="J19" s="2" t="s">
        <v>156</v>
      </c>
      <c r="K19" s="1" t="str">
        <f t="shared" si="8"/>
        <v>0100</v>
      </c>
      <c r="L19" s="1" t="str">
        <f t="shared" si="9"/>
        <v>0+580</v>
      </c>
    </row>
    <row r="20" spans="1:12" x14ac:dyDescent="0.2">
      <c r="A20" t="s">
        <v>39</v>
      </c>
      <c r="B20" t="s">
        <v>40</v>
      </c>
      <c r="F20" t="str">
        <f t="shared" si="0"/>
        <v>104.7193</v>
      </c>
      <c r="G20" t="str">
        <f t="shared" si="1"/>
        <v xml:space="preserve"> 17.4784</v>
      </c>
      <c r="H20" s="1" t="str">
        <f t="shared" si="6"/>
        <v>LT19</v>
      </c>
      <c r="I20" s="1" t="str">
        <f>MID(B20,6,2)</f>
        <v>SG</v>
      </c>
      <c r="J20" s="2" t="s">
        <v>156</v>
      </c>
      <c r="K20" s="1" t="str">
        <f>MID(B20,13,4)</f>
        <v>0100</v>
      </c>
      <c r="L20" s="1" t="str">
        <f t="shared" si="9"/>
        <v>0+610</v>
      </c>
    </row>
    <row r="21" spans="1:12" x14ac:dyDescent="0.2">
      <c r="A21" t="s">
        <v>41</v>
      </c>
      <c r="B21" t="s">
        <v>42</v>
      </c>
      <c r="F21" t="str">
        <f t="shared" si="0"/>
        <v>104.7190</v>
      </c>
      <c r="G21" t="str">
        <f t="shared" si="1"/>
        <v xml:space="preserve"> 17.4783</v>
      </c>
      <c r="H21" s="1" t="str">
        <f t="shared" si="6"/>
        <v>LT20</v>
      </c>
      <c r="I21" s="1" t="str">
        <f t="shared" ref="I21:I78" si="10">MID(B21,6,2)</f>
        <v>SG</v>
      </c>
      <c r="J21" s="2" t="s">
        <v>156</v>
      </c>
      <c r="K21" s="1" t="str">
        <f t="shared" ref="K21:K78" si="11">MID(B21,13,4)</f>
        <v>0100</v>
      </c>
      <c r="L21" s="1" t="str">
        <f t="shared" si="9"/>
        <v>0+640</v>
      </c>
    </row>
    <row r="22" spans="1:12" x14ac:dyDescent="0.2">
      <c r="A22" t="s">
        <v>43</v>
      </c>
      <c r="B22" t="s">
        <v>44</v>
      </c>
      <c r="F22" t="str">
        <f t="shared" si="0"/>
        <v>104.7178</v>
      </c>
      <c r="G22" t="str">
        <f>MID(A22,17,8)</f>
        <v xml:space="preserve"> 17.4778</v>
      </c>
      <c r="H22" s="1" t="str">
        <f t="shared" si="6"/>
        <v>LT21</v>
      </c>
      <c r="I22" s="1" t="str">
        <f t="shared" si="10"/>
        <v>SG</v>
      </c>
      <c r="J22" s="2" t="s">
        <v>156</v>
      </c>
      <c r="K22" s="1" t="str">
        <f t="shared" si="11"/>
        <v>0100</v>
      </c>
      <c r="L22" s="1" t="str">
        <f t="shared" si="9"/>
        <v>0+790</v>
      </c>
    </row>
    <row r="23" spans="1:12" x14ac:dyDescent="0.2">
      <c r="A23" t="s">
        <v>45</v>
      </c>
      <c r="B23" t="s">
        <v>46</v>
      </c>
      <c r="F23" t="str">
        <f t="shared" si="0"/>
        <v>104.7175</v>
      </c>
      <c r="G23" t="str">
        <f t="shared" si="1"/>
        <v xml:space="preserve"> 17.4777</v>
      </c>
      <c r="H23" s="1" t="str">
        <f t="shared" si="6"/>
        <v>LT22</v>
      </c>
      <c r="I23" s="1" t="str">
        <f t="shared" si="10"/>
        <v>SG</v>
      </c>
      <c r="J23" s="2" t="s">
        <v>156</v>
      </c>
      <c r="K23" s="1" t="str">
        <f t="shared" si="11"/>
        <v>0100</v>
      </c>
      <c r="L23" s="1" t="str">
        <f t="shared" si="9"/>
        <v>0+830</v>
      </c>
    </row>
    <row r="24" spans="1:12" x14ac:dyDescent="0.2">
      <c r="A24" t="s">
        <v>47</v>
      </c>
      <c r="B24" t="s">
        <v>48</v>
      </c>
      <c r="F24" t="str">
        <f t="shared" si="0"/>
        <v>104.7172</v>
      </c>
      <c r="G24" t="str">
        <f t="shared" si="1"/>
        <v xml:space="preserve"> 17.4776</v>
      </c>
      <c r="H24" s="1" t="str">
        <f t="shared" si="6"/>
        <v>LT23</v>
      </c>
      <c r="I24" s="1" t="str">
        <f t="shared" si="10"/>
        <v>SG</v>
      </c>
      <c r="J24" s="2" t="s">
        <v>156</v>
      </c>
      <c r="K24" s="1" t="str">
        <f t="shared" si="11"/>
        <v>0100</v>
      </c>
      <c r="L24" s="1" t="str">
        <f t="shared" si="9"/>
        <v>0+860</v>
      </c>
    </row>
    <row r="25" spans="1:12" x14ac:dyDescent="0.2">
      <c r="A25" t="s">
        <v>49</v>
      </c>
      <c r="B25" t="s">
        <v>50</v>
      </c>
      <c r="F25" t="str">
        <f t="shared" si="0"/>
        <v>104.7169</v>
      </c>
      <c r="G25" t="str">
        <f t="shared" si="1"/>
        <v xml:space="preserve"> 17.4775</v>
      </c>
      <c r="H25" s="1" t="str">
        <f t="shared" si="6"/>
        <v>LT24</v>
      </c>
      <c r="I25" s="1" t="str">
        <f t="shared" si="10"/>
        <v>SG</v>
      </c>
      <c r="J25" s="2" t="s">
        <v>156</v>
      </c>
      <c r="K25" s="1" t="str">
        <f t="shared" si="11"/>
        <v>0100</v>
      </c>
      <c r="L25" s="1" t="str">
        <f t="shared" si="9"/>
        <v>0+890</v>
      </c>
    </row>
    <row r="26" spans="1:12" x14ac:dyDescent="0.2">
      <c r="A26" t="s">
        <v>51</v>
      </c>
      <c r="B26" t="s">
        <v>52</v>
      </c>
      <c r="F26" t="str">
        <f t="shared" si="0"/>
        <v>104.7166</v>
      </c>
      <c r="G26" t="str">
        <f t="shared" si="1"/>
        <v xml:space="preserve"> 17.4774</v>
      </c>
      <c r="H26" s="1" t="str">
        <f t="shared" si="6"/>
        <v>LT25</v>
      </c>
      <c r="I26" s="1" t="str">
        <f t="shared" si="10"/>
        <v>SG</v>
      </c>
      <c r="J26" s="2" t="s">
        <v>156</v>
      </c>
      <c r="K26" s="1" t="str">
        <f t="shared" si="11"/>
        <v>0100</v>
      </c>
      <c r="L26" s="1" t="str">
        <f t="shared" si="9"/>
        <v>0+920</v>
      </c>
    </row>
    <row r="27" spans="1:12" x14ac:dyDescent="0.2">
      <c r="A27" t="s">
        <v>53</v>
      </c>
      <c r="B27" t="s">
        <v>54</v>
      </c>
      <c r="F27" t="str">
        <f t="shared" si="0"/>
        <v>104.7163</v>
      </c>
      <c r="G27" t="str">
        <f t="shared" si="1"/>
        <v xml:space="preserve"> 17.4773</v>
      </c>
      <c r="H27" s="1" t="str">
        <f t="shared" si="6"/>
        <v>LT26</v>
      </c>
      <c r="I27" s="1" t="str">
        <f t="shared" si="10"/>
        <v>SG</v>
      </c>
      <c r="J27" s="2" t="s">
        <v>156</v>
      </c>
      <c r="K27" s="1" t="str">
        <f t="shared" si="11"/>
        <v>0100</v>
      </c>
      <c r="L27" s="1" t="str">
        <f t="shared" si="9"/>
        <v>0+950</v>
      </c>
    </row>
    <row r="28" spans="1:12" x14ac:dyDescent="0.2">
      <c r="A28" t="s">
        <v>55</v>
      </c>
      <c r="B28" t="s">
        <v>56</v>
      </c>
      <c r="F28" t="str">
        <f t="shared" si="0"/>
        <v>104.7159</v>
      </c>
      <c r="G28" t="str">
        <f t="shared" si="1"/>
        <v xml:space="preserve"> 17.4771</v>
      </c>
      <c r="H28" s="1" t="str">
        <f t="shared" si="6"/>
        <v>LT27</v>
      </c>
      <c r="I28" s="1" t="str">
        <f t="shared" si="10"/>
        <v>SG</v>
      </c>
      <c r="J28" s="2" t="s">
        <v>156</v>
      </c>
      <c r="K28" s="1" t="str">
        <f t="shared" si="11"/>
        <v>0100</v>
      </c>
      <c r="L28" s="1" t="str">
        <f t="shared" si="9"/>
        <v>0+980</v>
      </c>
    </row>
    <row r="29" spans="1:12" x14ac:dyDescent="0.2">
      <c r="A29" t="s">
        <v>57</v>
      </c>
      <c r="B29" t="s">
        <v>58</v>
      </c>
      <c r="F29" t="str">
        <f t="shared" si="0"/>
        <v>104.7157</v>
      </c>
      <c r="G29" t="str">
        <f t="shared" si="1"/>
        <v xml:space="preserve"> 17.4770</v>
      </c>
      <c r="H29" s="1" t="str">
        <f t="shared" si="6"/>
        <v>LT28</v>
      </c>
      <c r="I29" s="1" t="str">
        <f t="shared" si="10"/>
        <v>SG</v>
      </c>
      <c r="J29" s="2" t="s">
        <v>156</v>
      </c>
      <c r="K29" s="1" t="str">
        <f t="shared" si="11"/>
        <v>0100</v>
      </c>
      <c r="L29" s="1" t="str">
        <f t="shared" si="9"/>
        <v>1+010</v>
      </c>
    </row>
    <row r="30" spans="1:12" x14ac:dyDescent="0.2">
      <c r="A30" t="s">
        <v>59</v>
      </c>
      <c r="B30" t="s">
        <v>60</v>
      </c>
      <c r="F30" t="str">
        <f t="shared" si="0"/>
        <v>104.7154</v>
      </c>
      <c r="G30" t="str">
        <f t="shared" si="1"/>
        <v xml:space="preserve"> 17.4770</v>
      </c>
      <c r="H30" s="1" t="str">
        <f t="shared" si="6"/>
        <v>LT29</v>
      </c>
      <c r="I30" s="1" t="str">
        <f t="shared" si="10"/>
        <v>SG</v>
      </c>
      <c r="J30" s="2" t="s">
        <v>156</v>
      </c>
      <c r="K30" s="1" t="str">
        <f t="shared" si="11"/>
        <v>0100</v>
      </c>
      <c r="L30" s="1" t="str">
        <f t="shared" si="9"/>
        <v>1+040</v>
      </c>
    </row>
    <row r="31" spans="1:12" x14ac:dyDescent="0.2">
      <c r="A31" t="s">
        <v>61</v>
      </c>
      <c r="B31" t="s">
        <v>62</v>
      </c>
      <c r="F31" t="str">
        <f t="shared" si="0"/>
        <v>104.7151</v>
      </c>
      <c r="G31" t="str">
        <f>MID(A31,17,8)</f>
        <v xml:space="preserve"> 17.4770</v>
      </c>
      <c r="H31" s="1" t="str">
        <f t="shared" si="6"/>
        <v>LT30</v>
      </c>
      <c r="I31" s="1" t="str">
        <f t="shared" si="10"/>
        <v>SG</v>
      </c>
      <c r="J31" s="2" t="s">
        <v>156</v>
      </c>
      <c r="K31" s="1" t="str">
        <f t="shared" si="11"/>
        <v>0100</v>
      </c>
      <c r="L31" s="1" t="str">
        <f t="shared" si="9"/>
        <v>1+070</v>
      </c>
    </row>
    <row r="32" spans="1:12" x14ac:dyDescent="0.2">
      <c r="A32" t="s">
        <v>63</v>
      </c>
      <c r="B32" t="s">
        <v>64</v>
      </c>
      <c r="F32" t="str">
        <f t="shared" si="0"/>
        <v>104.7148</v>
      </c>
      <c r="G32" t="str">
        <f t="shared" si="1"/>
        <v xml:space="preserve"> 17.4771</v>
      </c>
      <c r="H32" s="1" t="str">
        <f t="shared" si="6"/>
        <v>LT31</v>
      </c>
      <c r="I32" s="1" t="str">
        <f t="shared" si="10"/>
        <v>SG</v>
      </c>
      <c r="J32" s="2" t="s">
        <v>156</v>
      </c>
      <c r="K32" s="1" t="str">
        <f t="shared" si="11"/>
        <v>0100</v>
      </c>
      <c r="L32" s="1" t="str">
        <f t="shared" si="9"/>
        <v>1+100</v>
      </c>
    </row>
    <row r="33" spans="1:12" x14ac:dyDescent="0.2">
      <c r="A33" t="s">
        <v>65</v>
      </c>
      <c r="B33" t="s">
        <v>66</v>
      </c>
      <c r="F33" t="str">
        <f t="shared" si="0"/>
        <v>104.7145</v>
      </c>
      <c r="G33" t="str">
        <f>MID(A33,18,8)</f>
        <v xml:space="preserve"> 17.4773</v>
      </c>
      <c r="H33" s="1" t="str">
        <f t="shared" si="6"/>
        <v>LT32</v>
      </c>
      <c r="I33" s="1" t="str">
        <f t="shared" si="10"/>
        <v>SG</v>
      </c>
      <c r="J33" s="2" t="s">
        <v>156</v>
      </c>
      <c r="K33" s="1" t="str">
        <f>MID(B33,13,4)</f>
        <v>0100</v>
      </c>
      <c r="L33" s="1" t="str">
        <f t="shared" si="9"/>
        <v>1+130</v>
      </c>
    </row>
    <row r="34" spans="1:12" x14ac:dyDescent="0.2">
      <c r="A34" t="s">
        <v>67</v>
      </c>
      <c r="B34" t="s">
        <v>68</v>
      </c>
      <c r="F34" t="str">
        <f t="shared" si="0"/>
        <v>104.7143</v>
      </c>
      <c r="G34" t="str">
        <f>MID(A34,18,8)</f>
        <v xml:space="preserve"> 17.4775</v>
      </c>
      <c r="H34" s="1" t="str">
        <f t="shared" si="6"/>
        <v>LT33</v>
      </c>
      <c r="I34" s="1" t="str">
        <f t="shared" si="10"/>
        <v>SG</v>
      </c>
      <c r="J34" s="2" t="s">
        <v>156</v>
      </c>
      <c r="K34" s="1" t="str">
        <f t="shared" si="11"/>
        <v>0100</v>
      </c>
      <c r="L34" s="1" t="str">
        <f t="shared" si="9"/>
        <v>1+160</v>
      </c>
    </row>
    <row r="35" spans="1:12" x14ac:dyDescent="0.2">
      <c r="A35" t="s">
        <v>69</v>
      </c>
      <c r="B35" t="s">
        <v>70</v>
      </c>
      <c r="F35" t="str">
        <f t="shared" si="0"/>
        <v>104.7141</v>
      </c>
      <c r="G35" t="str">
        <f t="shared" si="1"/>
        <v xml:space="preserve"> 17.4777</v>
      </c>
      <c r="H35" s="1" t="str">
        <f t="shared" si="6"/>
        <v>LT34</v>
      </c>
      <c r="I35" s="1" t="str">
        <f t="shared" si="10"/>
        <v>SG</v>
      </c>
      <c r="J35" s="2" t="s">
        <v>156</v>
      </c>
      <c r="K35" s="1" t="str">
        <f t="shared" si="11"/>
        <v>0100</v>
      </c>
      <c r="L35" s="1" t="str">
        <f t="shared" si="9"/>
        <v>1+190</v>
      </c>
    </row>
    <row r="36" spans="1:12" x14ac:dyDescent="0.2">
      <c r="A36" t="s">
        <v>71</v>
      </c>
      <c r="B36" t="s">
        <v>72</v>
      </c>
      <c r="F36" t="str">
        <f t="shared" si="0"/>
        <v>104.7140</v>
      </c>
      <c r="G36" t="str">
        <f t="shared" si="1"/>
        <v xml:space="preserve"> 17.4778</v>
      </c>
      <c r="H36" s="1" t="str">
        <f t="shared" si="6"/>
        <v>LT35</v>
      </c>
      <c r="I36" s="1" t="str">
        <f t="shared" si="10"/>
        <v>SG</v>
      </c>
      <c r="J36" s="2" t="s">
        <v>156</v>
      </c>
      <c r="K36" s="1" t="str">
        <f t="shared" si="11"/>
        <v>0100</v>
      </c>
      <c r="L36" s="1" t="str">
        <f t="shared" si="9"/>
        <v>1+220</v>
      </c>
    </row>
    <row r="37" spans="1:12" x14ac:dyDescent="0.2">
      <c r="A37" t="s">
        <v>73</v>
      </c>
      <c r="B37" t="s">
        <v>74</v>
      </c>
      <c r="F37" t="str">
        <f t="shared" si="0"/>
        <v>104.7140</v>
      </c>
      <c r="G37" t="str">
        <f t="shared" si="1"/>
        <v xml:space="preserve"> 17.4781</v>
      </c>
      <c r="H37" s="1" t="str">
        <f t="shared" si="6"/>
        <v>LT36</v>
      </c>
      <c r="I37" s="1" t="str">
        <f t="shared" si="10"/>
        <v>SG</v>
      </c>
      <c r="J37" s="2" t="s">
        <v>156</v>
      </c>
      <c r="K37" s="1" t="str">
        <f t="shared" si="11"/>
        <v>0100</v>
      </c>
      <c r="L37" s="1" t="str">
        <f t="shared" si="9"/>
        <v>1+250</v>
      </c>
    </row>
    <row r="38" spans="1:12" x14ac:dyDescent="0.2">
      <c r="A38" t="s">
        <v>75</v>
      </c>
      <c r="B38" t="s">
        <v>76</v>
      </c>
      <c r="F38" t="str">
        <f t="shared" si="0"/>
        <v>104.7140</v>
      </c>
      <c r="G38" t="str">
        <f t="shared" si="1"/>
        <v xml:space="preserve"> 17.4783</v>
      </c>
      <c r="H38" s="1" t="str">
        <f t="shared" si="6"/>
        <v>LT37</v>
      </c>
      <c r="I38" s="1" t="str">
        <f t="shared" si="10"/>
        <v>SG</v>
      </c>
      <c r="J38" s="2" t="s">
        <v>156</v>
      </c>
      <c r="K38" s="1" t="str">
        <f t="shared" si="11"/>
        <v>0100</v>
      </c>
      <c r="L38" s="1" t="str">
        <f t="shared" si="9"/>
        <v>1+280</v>
      </c>
    </row>
    <row r="39" spans="1:12" x14ac:dyDescent="0.2">
      <c r="A39" t="s">
        <v>77</v>
      </c>
      <c r="B39" t="s">
        <v>78</v>
      </c>
      <c r="F39" t="str">
        <f t="shared" si="0"/>
        <v>104.7141</v>
      </c>
      <c r="G39" t="str">
        <f t="shared" si="1"/>
        <v xml:space="preserve"> 17.4787</v>
      </c>
      <c r="H39" s="1" t="str">
        <f t="shared" si="6"/>
        <v>LT38</v>
      </c>
      <c r="I39" s="1" t="str">
        <f t="shared" si="10"/>
        <v>SG</v>
      </c>
      <c r="J39" s="2" t="s">
        <v>156</v>
      </c>
      <c r="K39" s="1" t="str">
        <f t="shared" si="11"/>
        <v>0100</v>
      </c>
      <c r="L39" s="1" t="str">
        <f t="shared" si="9"/>
        <v>1+310</v>
      </c>
    </row>
    <row r="40" spans="1:12" x14ac:dyDescent="0.2">
      <c r="A40" t="s">
        <v>79</v>
      </c>
      <c r="B40" t="s">
        <v>80</v>
      </c>
      <c r="F40" t="str">
        <f t="shared" si="0"/>
        <v>104.7142</v>
      </c>
      <c r="G40" t="str">
        <f t="shared" si="1"/>
        <v xml:space="preserve"> 17.4790</v>
      </c>
      <c r="H40" s="1" t="str">
        <f t="shared" si="6"/>
        <v>LT39</v>
      </c>
      <c r="I40" s="1" t="str">
        <f t="shared" si="10"/>
        <v>SG</v>
      </c>
      <c r="J40" s="2" t="s">
        <v>156</v>
      </c>
      <c r="K40" s="1" t="str">
        <f>MID(B40,13,4)</f>
        <v>0100</v>
      </c>
      <c r="L40" s="1" t="str">
        <f t="shared" si="9"/>
        <v>1+340</v>
      </c>
    </row>
    <row r="41" spans="1:12" x14ac:dyDescent="0.2">
      <c r="A41" t="s">
        <v>81</v>
      </c>
      <c r="B41" t="s">
        <v>82</v>
      </c>
      <c r="F41" t="str">
        <f t="shared" si="0"/>
        <v>104.7144</v>
      </c>
      <c r="G41" t="str">
        <f t="shared" si="1"/>
        <v xml:space="preserve"> 17.4792</v>
      </c>
      <c r="H41" s="1" t="str">
        <f t="shared" si="6"/>
        <v>LT40</v>
      </c>
      <c r="I41" s="1" t="str">
        <f t="shared" si="10"/>
        <v>SG</v>
      </c>
      <c r="J41" s="2" t="s">
        <v>156</v>
      </c>
      <c r="K41" s="1" t="str">
        <f t="shared" si="11"/>
        <v>0100</v>
      </c>
      <c r="L41" s="1" t="str">
        <f t="shared" si="9"/>
        <v>1+390</v>
      </c>
    </row>
    <row r="42" spans="1:12" x14ac:dyDescent="0.2">
      <c r="A42" t="s">
        <v>83</v>
      </c>
      <c r="B42" t="s">
        <v>84</v>
      </c>
      <c r="F42" t="str">
        <f t="shared" si="0"/>
        <v>104.7147</v>
      </c>
      <c r="G42" t="str">
        <f t="shared" si="1"/>
        <v xml:space="preserve"> 17.4794</v>
      </c>
      <c r="H42" s="1" t="str">
        <f t="shared" si="6"/>
        <v>LT41</v>
      </c>
      <c r="I42" s="1" t="str">
        <f t="shared" si="10"/>
        <v>SG</v>
      </c>
      <c r="J42" s="2" t="s">
        <v>156</v>
      </c>
      <c r="K42" s="1" t="str">
        <f t="shared" si="11"/>
        <v>0100</v>
      </c>
      <c r="L42" s="1" t="str">
        <f t="shared" si="9"/>
        <v>1+420</v>
      </c>
    </row>
    <row r="43" spans="1:12" x14ac:dyDescent="0.2">
      <c r="A43" t="s">
        <v>85</v>
      </c>
      <c r="B43" t="s">
        <v>86</v>
      </c>
      <c r="F43" t="str">
        <f t="shared" si="0"/>
        <v>104.7238</v>
      </c>
      <c r="G43" t="str">
        <f t="shared" si="1"/>
        <v xml:space="preserve"> 17.4804</v>
      </c>
      <c r="H43" s="1" t="str">
        <f t="shared" si="2"/>
        <v>RT1</v>
      </c>
      <c r="I43" s="1" t="str">
        <f>MID(B43,5,2)</f>
        <v>SG</v>
      </c>
      <c r="J43" s="2" t="s">
        <v>156</v>
      </c>
      <c r="K43" s="1" t="str">
        <f>MID(B43,12,4)</f>
        <v>0100</v>
      </c>
      <c r="L43" s="1" t="str">
        <f t="shared" si="5"/>
        <v>0+050</v>
      </c>
    </row>
    <row r="44" spans="1:12" x14ac:dyDescent="0.2">
      <c r="A44" t="s">
        <v>87</v>
      </c>
      <c r="B44" t="s">
        <v>88</v>
      </c>
      <c r="F44" t="str">
        <f t="shared" si="0"/>
        <v>104.7235</v>
      </c>
      <c r="G44" t="str">
        <f t="shared" si="1"/>
        <v xml:space="preserve"> 17.4803</v>
      </c>
      <c r="H44" s="1" t="str">
        <f t="shared" si="2"/>
        <v>RT2</v>
      </c>
      <c r="I44" s="1" t="str">
        <f t="shared" ref="I44:I51" si="12">MID(B44,5,2)</f>
        <v>SG</v>
      </c>
      <c r="J44" s="2" t="s">
        <v>156</v>
      </c>
      <c r="K44" s="1" t="str">
        <f t="shared" ref="K44:K51" si="13">MID(B44,12,4)</f>
        <v>0100</v>
      </c>
      <c r="L44" s="1" t="str">
        <f t="shared" si="5"/>
        <v>0+080</v>
      </c>
    </row>
    <row r="45" spans="1:12" x14ac:dyDescent="0.2">
      <c r="A45" t="s">
        <v>89</v>
      </c>
      <c r="B45" t="s">
        <v>90</v>
      </c>
      <c r="F45" t="str">
        <f t="shared" si="0"/>
        <v>104.7232</v>
      </c>
      <c r="G45" t="str">
        <f>MID(A45,18,8)</f>
        <v xml:space="preserve"> 17.4801</v>
      </c>
      <c r="H45" s="1" t="str">
        <f t="shared" si="2"/>
        <v>RT3</v>
      </c>
      <c r="I45" s="1" t="str">
        <f t="shared" si="12"/>
        <v>SG</v>
      </c>
      <c r="J45" s="2" t="s">
        <v>156</v>
      </c>
      <c r="K45" s="1" t="str">
        <f t="shared" si="13"/>
        <v>0100</v>
      </c>
      <c r="L45" s="1" t="str">
        <f t="shared" si="5"/>
        <v>0+120</v>
      </c>
    </row>
    <row r="46" spans="1:12" x14ac:dyDescent="0.2">
      <c r="A46" t="s">
        <v>91</v>
      </c>
      <c r="B46" t="s">
        <v>92</v>
      </c>
      <c r="F46" t="str">
        <f t="shared" si="0"/>
        <v>104.7229</v>
      </c>
      <c r="G46" t="str">
        <f t="shared" si="1"/>
        <v xml:space="preserve"> 17.4800</v>
      </c>
      <c r="H46" s="1" t="str">
        <f t="shared" si="2"/>
        <v>RT4</v>
      </c>
      <c r="I46" s="1" t="str">
        <f t="shared" si="12"/>
        <v>SG</v>
      </c>
      <c r="J46" s="2" t="s">
        <v>156</v>
      </c>
      <c r="K46" s="1" t="str">
        <f t="shared" si="13"/>
        <v>0100</v>
      </c>
      <c r="L46" s="1" t="str">
        <f t="shared" si="5"/>
        <v>0+150</v>
      </c>
    </row>
    <row r="47" spans="1:12" x14ac:dyDescent="0.2">
      <c r="A47" t="s">
        <v>93</v>
      </c>
      <c r="B47" t="s">
        <v>94</v>
      </c>
      <c r="F47" t="str">
        <f t="shared" si="0"/>
        <v>104.7226</v>
      </c>
      <c r="G47" t="str">
        <f t="shared" si="1"/>
        <v xml:space="preserve"> 17.4799</v>
      </c>
      <c r="H47" s="1" t="str">
        <f t="shared" si="2"/>
        <v>RT5</v>
      </c>
      <c r="I47" s="1" t="str">
        <f t="shared" si="12"/>
        <v>SG</v>
      </c>
      <c r="J47" s="2" t="s">
        <v>156</v>
      </c>
      <c r="K47" s="1" t="str">
        <f t="shared" si="13"/>
        <v>0100</v>
      </c>
      <c r="L47" s="1" t="str">
        <f t="shared" si="5"/>
        <v>0+080</v>
      </c>
    </row>
    <row r="48" spans="1:12" x14ac:dyDescent="0.2">
      <c r="A48" t="s">
        <v>95</v>
      </c>
      <c r="B48" t="s">
        <v>96</v>
      </c>
      <c r="F48" t="str">
        <f t="shared" si="0"/>
        <v>104.7223</v>
      </c>
      <c r="G48" t="str">
        <f>MID(A48,17,8)</f>
        <v xml:space="preserve"> 17.4798</v>
      </c>
      <c r="H48" s="1" t="str">
        <f t="shared" si="2"/>
        <v>RT6</v>
      </c>
      <c r="I48" s="1" t="str">
        <f t="shared" si="12"/>
        <v>SG</v>
      </c>
      <c r="J48" s="2" t="s">
        <v>156</v>
      </c>
      <c r="K48" s="1" t="str">
        <f t="shared" si="13"/>
        <v>0100</v>
      </c>
      <c r="L48" s="1" t="str">
        <f t="shared" si="5"/>
        <v>0+210</v>
      </c>
    </row>
    <row r="49" spans="1:12" x14ac:dyDescent="0.2">
      <c r="A49" t="s">
        <v>97</v>
      </c>
      <c r="B49" t="s">
        <v>98</v>
      </c>
      <c r="F49" t="str">
        <f t="shared" si="0"/>
        <v>104.7220</v>
      </c>
      <c r="G49" t="str">
        <f t="shared" si="1"/>
        <v xml:space="preserve"> 17.4797</v>
      </c>
      <c r="H49" s="1" t="str">
        <f t="shared" si="2"/>
        <v>RT7</v>
      </c>
      <c r="I49" s="1" t="str">
        <f t="shared" si="12"/>
        <v>SG</v>
      </c>
      <c r="J49" s="2" t="s">
        <v>156</v>
      </c>
      <c r="K49" s="1" t="str">
        <f t="shared" si="13"/>
        <v>0100</v>
      </c>
      <c r="L49" s="1" t="str">
        <f t="shared" si="5"/>
        <v>0+240</v>
      </c>
    </row>
    <row r="50" spans="1:12" x14ac:dyDescent="0.2">
      <c r="A50" t="s">
        <v>99</v>
      </c>
      <c r="B50" t="s">
        <v>100</v>
      </c>
      <c r="F50" t="str">
        <f t="shared" si="0"/>
        <v>104.7217</v>
      </c>
      <c r="G50" t="str">
        <f t="shared" si="1"/>
        <v xml:space="preserve"> 17.4796</v>
      </c>
      <c r="H50" s="1" t="str">
        <f t="shared" si="2"/>
        <v>RT8</v>
      </c>
      <c r="I50" s="1" t="str">
        <f t="shared" si="12"/>
        <v>SG</v>
      </c>
      <c r="J50" s="2" t="s">
        <v>156</v>
      </c>
      <c r="K50" s="1" t="str">
        <f t="shared" si="13"/>
        <v>0100</v>
      </c>
      <c r="L50" s="1" t="str">
        <f t="shared" si="5"/>
        <v>0+270</v>
      </c>
    </row>
    <row r="51" spans="1:12" x14ac:dyDescent="0.2">
      <c r="A51" t="s">
        <v>101</v>
      </c>
      <c r="B51" t="s">
        <v>102</v>
      </c>
      <c r="F51" t="str">
        <f t="shared" si="0"/>
        <v>104.7214</v>
      </c>
      <c r="G51" t="str">
        <f t="shared" si="1"/>
        <v xml:space="preserve"> 17.4795</v>
      </c>
      <c r="H51" s="1" t="str">
        <f t="shared" si="2"/>
        <v>RT9</v>
      </c>
      <c r="I51" s="1" t="str">
        <f t="shared" si="12"/>
        <v>SG</v>
      </c>
      <c r="J51" s="2" t="s">
        <v>156</v>
      </c>
      <c r="K51" s="1" t="str">
        <f t="shared" si="13"/>
        <v>0100</v>
      </c>
      <c r="L51" s="1" t="str">
        <f t="shared" si="5"/>
        <v>0+300</v>
      </c>
    </row>
    <row r="52" spans="1:12" x14ac:dyDescent="0.2">
      <c r="A52" t="s">
        <v>103</v>
      </c>
      <c r="B52" t="s">
        <v>104</v>
      </c>
      <c r="F52" t="str">
        <f t="shared" si="0"/>
        <v>104.7211</v>
      </c>
      <c r="G52" t="str">
        <f t="shared" si="1"/>
        <v xml:space="preserve"> 17.4794</v>
      </c>
      <c r="H52" s="1" t="str">
        <f t="shared" ref="H52:H78" si="14">MID(B52,1,4)</f>
        <v>RT10</v>
      </c>
      <c r="I52" s="1" t="str">
        <f t="shared" si="10"/>
        <v>SG</v>
      </c>
      <c r="J52" s="2" t="s">
        <v>156</v>
      </c>
      <c r="K52" s="1" t="str">
        <f t="shared" si="11"/>
        <v>0100</v>
      </c>
      <c r="L52" s="1" t="str">
        <f t="shared" ref="L52:L78" si="15">MID(B52,18,5)</f>
        <v>0+330</v>
      </c>
    </row>
    <row r="53" spans="1:12" x14ac:dyDescent="0.2">
      <c r="A53" t="s">
        <v>105</v>
      </c>
      <c r="B53" t="s">
        <v>106</v>
      </c>
      <c r="F53" t="str">
        <f t="shared" si="0"/>
        <v>104.7209</v>
      </c>
      <c r="G53" t="str">
        <f t="shared" si="1"/>
        <v xml:space="preserve"> 17.4793</v>
      </c>
      <c r="H53" s="1" t="str">
        <f t="shared" si="14"/>
        <v>RT11</v>
      </c>
      <c r="I53" s="1" t="str">
        <f t="shared" si="10"/>
        <v>SG</v>
      </c>
      <c r="J53" s="2" t="s">
        <v>156</v>
      </c>
      <c r="K53" s="1" t="str">
        <f t="shared" si="11"/>
        <v>0100</v>
      </c>
      <c r="L53" s="1" t="str">
        <f t="shared" si="15"/>
        <v>0+360</v>
      </c>
    </row>
    <row r="54" spans="1:12" x14ac:dyDescent="0.2">
      <c r="A54" t="s">
        <v>107</v>
      </c>
      <c r="B54" t="s">
        <v>108</v>
      </c>
      <c r="F54" t="str">
        <f t="shared" si="0"/>
        <v>104.7208</v>
      </c>
      <c r="G54" t="str">
        <f t="shared" si="1"/>
        <v xml:space="preserve"> 17.4793</v>
      </c>
      <c r="H54" s="1" t="str">
        <f t="shared" si="14"/>
        <v>RT12</v>
      </c>
      <c r="I54" s="1" t="str">
        <f t="shared" si="10"/>
        <v>SG</v>
      </c>
      <c r="J54" s="2" t="s">
        <v>156</v>
      </c>
      <c r="K54" s="1" t="str">
        <f t="shared" si="11"/>
        <v>0100</v>
      </c>
      <c r="L54" s="1" t="str">
        <f t="shared" si="15"/>
        <v>0+390</v>
      </c>
    </row>
    <row r="55" spans="1:12" x14ac:dyDescent="0.2">
      <c r="A55" t="s">
        <v>109</v>
      </c>
      <c r="B55" t="s">
        <v>110</v>
      </c>
      <c r="F55" t="str">
        <f t="shared" si="0"/>
        <v>104.7205</v>
      </c>
      <c r="G55" t="str">
        <f t="shared" si="1"/>
        <v xml:space="preserve"> 17.4792</v>
      </c>
      <c r="H55" s="1" t="str">
        <f t="shared" si="14"/>
        <v>RT13</v>
      </c>
      <c r="I55" s="1" t="str">
        <f t="shared" si="10"/>
        <v>SG</v>
      </c>
      <c r="J55" s="2" t="s">
        <v>156</v>
      </c>
      <c r="K55" s="1" t="str">
        <f t="shared" si="11"/>
        <v>0100</v>
      </c>
      <c r="L55" s="1" t="str">
        <f t="shared" si="15"/>
        <v>0+450</v>
      </c>
    </row>
    <row r="56" spans="1:12" x14ac:dyDescent="0.2">
      <c r="A56" t="s">
        <v>111</v>
      </c>
      <c r="B56" t="s">
        <v>112</v>
      </c>
      <c r="F56" t="str">
        <f t="shared" si="0"/>
        <v>104.7201</v>
      </c>
      <c r="G56" t="str">
        <f t="shared" si="1"/>
        <v xml:space="preserve"> 17.4790</v>
      </c>
      <c r="H56" s="1" t="str">
        <f t="shared" si="14"/>
        <v>RT14</v>
      </c>
      <c r="I56" s="1" t="str">
        <f t="shared" si="10"/>
        <v>SG</v>
      </c>
      <c r="J56" s="2" t="s">
        <v>156</v>
      </c>
      <c r="K56" s="1" t="str">
        <f t="shared" si="11"/>
        <v>0100</v>
      </c>
      <c r="L56" s="1" t="str">
        <f t="shared" si="15"/>
        <v>0+510</v>
      </c>
    </row>
    <row r="57" spans="1:12" x14ac:dyDescent="0.2">
      <c r="A57" t="s">
        <v>113</v>
      </c>
      <c r="B57" t="s">
        <v>114</v>
      </c>
      <c r="F57" t="str">
        <f t="shared" si="0"/>
        <v>104.7199</v>
      </c>
      <c r="G57" t="str">
        <f>MID(A57,16,8)</f>
        <v xml:space="preserve"> 17.4789</v>
      </c>
      <c r="H57" s="1" t="str">
        <f t="shared" si="14"/>
        <v>RT15</v>
      </c>
      <c r="I57" s="1" t="str">
        <f t="shared" si="10"/>
        <v>SG</v>
      </c>
      <c r="J57" s="2" t="s">
        <v>156</v>
      </c>
      <c r="K57" s="1" t="str">
        <f t="shared" si="11"/>
        <v>0100</v>
      </c>
      <c r="L57" s="1" t="str">
        <f t="shared" si="15"/>
        <v>0+540</v>
      </c>
    </row>
    <row r="58" spans="1:12" x14ac:dyDescent="0.2">
      <c r="A58" t="s">
        <v>115</v>
      </c>
      <c r="B58" t="s">
        <v>116</v>
      </c>
      <c r="F58" t="str">
        <f t="shared" si="0"/>
        <v>104.7196</v>
      </c>
      <c r="G58" t="str">
        <f t="shared" si="1"/>
        <v xml:space="preserve"> 17.4788</v>
      </c>
      <c r="H58" s="1" t="str">
        <f t="shared" si="14"/>
        <v>RT16</v>
      </c>
      <c r="I58" s="1" t="str">
        <f t="shared" si="10"/>
        <v>SG</v>
      </c>
      <c r="J58" s="2" t="s">
        <v>156</v>
      </c>
      <c r="K58" s="1" t="str">
        <f t="shared" si="11"/>
        <v>0100</v>
      </c>
      <c r="L58" s="1" t="str">
        <f t="shared" si="15"/>
        <v>0+580</v>
      </c>
    </row>
    <row r="59" spans="1:12" x14ac:dyDescent="0.2">
      <c r="A59" t="s">
        <v>117</v>
      </c>
      <c r="B59" t="s">
        <v>118</v>
      </c>
      <c r="F59" t="str">
        <f t="shared" si="0"/>
        <v>104.7192</v>
      </c>
      <c r="G59" t="str">
        <f>MID(A59,18,8)</f>
        <v xml:space="preserve"> 17.4787</v>
      </c>
      <c r="H59" s="1" t="str">
        <f t="shared" si="14"/>
        <v>RT17</v>
      </c>
      <c r="I59" s="1" t="str">
        <f t="shared" si="10"/>
        <v>SG</v>
      </c>
      <c r="J59" s="2" t="s">
        <v>156</v>
      </c>
      <c r="K59" s="1" t="str">
        <f t="shared" si="11"/>
        <v>0100</v>
      </c>
      <c r="L59" s="1" t="str">
        <f t="shared" si="15"/>
        <v>0+610</v>
      </c>
    </row>
    <row r="60" spans="1:12" x14ac:dyDescent="0.2">
      <c r="A60" t="s">
        <v>119</v>
      </c>
      <c r="B60" t="s">
        <v>120</v>
      </c>
      <c r="F60" t="str">
        <f t="shared" si="0"/>
        <v>104.7189</v>
      </c>
      <c r="G60" t="str">
        <f t="shared" si="1"/>
        <v xml:space="preserve"> 17.4786</v>
      </c>
      <c r="H60" s="1" t="str">
        <f t="shared" si="14"/>
        <v>RT18</v>
      </c>
      <c r="I60" s="1" t="str">
        <f t="shared" si="10"/>
        <v>SG</v>
      </c>
      <c r="J60" s="2" t="s">
        <v>156</v>
      </c>
      <c r="K60" s="1" t="str">
        <f t="shared" si="11"/>
        <v>0100</v>
      </c>
      <c r="L60" s="1" t="str">
        <f t="shared" si="15"/>
        <v>0+640</v>
      </c>
    </row>
    <row r="61" spans="1:12" x14ac:dyDescent="0.2">
      <c r="A61" t="s">
        <v>121</v>
      </c>
      <c r="B61" t="s">
        <v>122</v>
      </c>
      <c r="F61" t="str">
        <f t="shared" si="0"/>
        <v>104.7187</v>
      </c>
      <c r="G61" t="str">
        <f t="shared" si="1"/>
        <v xml:space="preserve"> 17.4785</v>
      </c>
      <c r="H61" s="1" t="str">
        <f t="shared" si="14"/>
        <v>RT19</v>
      </c>
      <c r="I61" s="1" t="str">
        <f t="shared" si="10"/>
        <v>SG</v>
      </c>
      <c r="J61" s="2" t="s">
        <v>156</v>
      </c>
      <c r="K61" s="1" t="str">
        <f>MID(B61,13,4)</f>
        <v>0100</v>
      </c>
      <c r="L61" s="1" t="str">
        <f t="shared" si="15"/>
        <v>0+670</v>
      </c>
    </row>
    <row r="62" spans="1:12" x14ac:dyDescent="0.2">
      <c r="A62" t="s">
        <v>123</v>
      </c>
      <c r="B62" t="s">
        <v>124</v>
      </c>
      <c r="F62" t="str">
        <f t="shared" si="0"/>
        <v>104.7184</v>
      </c>
      <c r="G62" t="str">
        <f t="shared" si="1"/>
        <v xml:space="preserve"> 17.4784</v>
      </c>
      <c r="H62" s="1" t="str">
        <f t="shared" si="14"/>
        <v>RT20</v>
      </c>
      <c r="I62" s="1" t="str">
        <f t="shared" si="10"/>
        <v>SG</v>
      </c>
      <c r="J62" s="2" t="s">
        <v>156</v>
      </c>
      <c r="K62" s="1" t="str">
        <f t="shared" si="11"/>
        <v>0100</v>
      </c>
      <c r="L62" s="1" t="str">
        <f t="shared" si="15"/>
        <v>0+700</v>
      </c>
    </row>
    <row r="63" spans="1:12" x14ac:dyDescent="0.2">
      <c r="A63" t="s">
        <v>125</v>
      </c>
      <c r="B63" t="s">
        <v>126</v>
      </c>
      <c r="F63" t="str">
        <f t="shared" si="0"/>
        <v>104.7182</v>
      </c>
      <c r="G63" t="str">
        <f t="shared" si="1"/>
        <v xml:space="preserve"> 17.4783</v>
      </c>
      <c r="H63" s="1" t="str">
        <f t="shared" si="14"/>
        <v>RT21</v>
      </c>
      <c r="I63" s="1" t="str">
        <f t="shared" si="10"/>
        <v>SG</v>
      </c>
      <c r="J63" s="2" t="s">
        <v>156</v>
      </c>
      <c r="K63" s="1" t="str">
        <f t="shared" si="11"/>
        <v>0100</v>
      </c>
      <c r="L63" s="1" t="str">
        <f t="shared" si="15"/>
        <v>0+730</v>
      </c>
    </row>
    <row r="64" spans="1:12" x14ac:dyDescent="0.2">
      <c r="A64" t="s">
        <v>127</v>
      </c>
      <c r="B64" t="s">
        <v>128</v>
      </c>
      <c r="F64" t="str">
        <f t="shared" si="0"/>
        <v>104.7178</v>
      </c>
      <c r="G64" t="str">
        <f t="shared" si="1"/>
        <v xml:space="preserve"> 17.4782</v>
      </c>
      <c r="H64" s="1" t="str">
        <f t="shared" si="14"/>
        <v>RT22</v>
      </c>
      <c r="I64" s="1" t="str">
        <f t="shared" si="10"/>
        <v>SG</v>
      </c>
      <c r="J64" s="2" t="s">
        <v>156</v>
      </c>
      <c r="K64" s="1" t="str">
        <f t="shared" si="11"/>
        <v>0100</v>
      </c>
      <c r="L64" s="1" t="str">
        <f t="shared" si="15"/>
        <v>0+760</v>
      </c>
    </row>
    <row r="65" spans="1:12" x14ac:dyDescent="0.2">
      <c r="A65" t="s">
        <v>129</v>
      </c>
      <c r="B65" t="s">
        <v>130</v>
      </c>
      <c r="F65" t="str">
        <f t="shared" si="0"/>
        <v>104.7175</v>
      </c>
      <c r="G65" t="str">
        <f t="shared" si="1"/>
        <v xml:space="preserve"> 17.4781</v>
      </c>
      <c r="H65" s="1" t="str">
        <f t="shared" si="14"/>
        <v>RT23</v>
      </c>
      <c r="I65" s="1" t="str">
        <f t="shared" si="10"/>
        <v>SG</v>
      </c>
      <c r="J65" s="2" t="s">
        <v>156</v>
      </c>
      <c r="K65" s="1" t="str">
        <f t="shared" si="11"/>
        <v>0100</v>
      </c>
      <c r="L65" s="1" t="str">
        <f t="shared" si="15"/>
        <v>0+790</v>
      </c>
    </row>
    <row r="66" spans="1:12" x14ac:dyDescent="0.2">
      <c r="A66" t="s">
        <v>131</v>
      </c>
      <c r="B66" t="s">
        <v>132</v>
      </c>
      <c r="F66" t="str">
        <f t="shared" si="0"/>
        <v>104.7162</v>
      </c>
      <c r="G66" t="str">
        <f t="shared" si="1"/>
        <v xml:space="preserve"> 17.4776</v>
      </c>
      <c r="H66" s="1" t="str">
        <f t="shared" si="14"/>
        <v>RT24</v>
      </c>
      <c r="I66" s="1" t="str">
        <f t="shared" si="10"/>
        <v>SG</v>
      </c>
      <c r="J66" s="2" t="s">
        <v>156</v>
      </c>
      <c r="K66" s="1" t="str">
        <f t="shared" si="11"/>
        <v>0100</v>
      </c>
      <c r="L66" s="1" t="str">
        <f t="shared" si="15"/>
        <v>0+980</v>
      </c>
    </row>
    <row r="67" spans="1:12" x14ac:dyDescent="0.2">
      <c r="A67" t="s">
        <v>133</v>
      </c>
      <c r="B67" t="s">
        <v>134</v>
      </c>
      <c r="F67" t="str">
        <f t="shared" ref="F67:F78" si="16">MID(A67,8,8)</f>
        <v>104.7159</v>
      </c>
      <c r="G67" t="str">
        <f t="shared" ref="G67:G78" si="17">MID(A67,18,8)</f>
        <v xml:space="preserve"> 17.4775</v>
      </c>
      <c r="H67" s="1" t="str">
        <f t="shared" si="14"/>
        <v>RT25</v>
      </c>
      <c r="I67" s="1" t="str">
        <f t="shared" si="10"/>
        <v>SG</v>
      </c>
      <c r="J67" s="2" t="s">
        <v>156</v>
      </c>
      <c r="K67" s="1" t="str">
        <f t="shared" si="11"/>
        <v>0100</v>
      </c>
      <c r="L67" s="1" t="str">
        <f t="shared" si="15"/>
        <v>1+010</v>
      </c>
    </row>
    <row r="68" spans="1:12" x14ac:dyDescent="0.2">
      <c r="A68" t="s">
        <v>135</v>
      </c>
      <c r="B68" t="s">
        <v>136</v>
      </c>
      <c r="F68" t="str">
        <f t="shared" si="16"/>
        <v>104.7156</v>
      </c>
      <c r="G68" t="str">
        <f t="shared" si="17"/>
        <v xml:space="preserve"> 17.4774</v>
      </c>
      <c r="H68" s="1" t="str">
        <f t="shared" si="14"/>
        <v>RT26</v>
      </c>
      <c r="I68" s="1" t="str">
        <f t="shared" si="10"/>
        <v>SG</v>
      </c>
      <c r="J68" s="2" t="s">
        <v>156</v>
      </c>
      <c r="K68" s="1" t="str">
        <f t="shared" si="11"/>
        <v>0100</v>
      </c>
      <c r="L68" s="1" t="str">
        <f t="shared" si="15"/>
        <v>1+040</v>
      </c>
    </row>
    <row r="69" spans="1:12" x14ac:dyDescent="0.2">
      <c r="A69" t="s">
        <v>137</v>
      </c>
      <c r="B69" t="s">
        <v>138</v>
      </c>
      <c r="F69" t="str">
        <f t="shared" si="16"/>
        <v>104.7155</v>
      </c>
      <c r="G69" t="str">
        <f t="shared" si="17"/>
        <v xml:space="preserve"> 17.4774</v>
      </c>
      <c r="H69" s="1" t="str">
        <f t="shared" si="14"/>
        <v>RT27</v>
      </c>
      <c r="I69" s="1" t="str">
        <f t="shared" si="10"/>
        <v>SG</v>
      </c>
      <c r="J69" s="2" t="s">
        <v>156</v>
      </c>
      <c r="K69" s="1" t="str">
        <f t="shared" si="11"/>
        <v>0100</v>
      </c>
      <c r="L69" s="1" t="str">
        <f t="shared" si="15"/>
        <v>1+070</v>
      </c>
    </row>
    <row r="70" spans="1:12" x14ac:dyDescent="0.2">
      <c r="A70" t="s">
        <v>139</v>
      </c>
      <c r="B70" t="s">
        <v>140</v>
      </c>
      <c r="F70" t="str">
        <f t="shared" si="16"/>
        <v>104.7152</v>
      </c>
      <c r="G70" t="str">
        <f t="shared" si="17"/>
        <v xml:space="preserve"> 17.4773</v>
      </c>
      <c r="H70" s="1" t="str">
        <f t="shared" si="14"/>
        <v>RT28</v>
      </c>
      <c r="I70" s="1" t="str">
        <f t="shared" si="10"/>
        <v>SG</v>
      </c>
      <c r="J70" s="2" t="s">
        <v>156</v>
      </c>
      <c r="K70" s="1" t="str">
        <f t="shared" si="11"/>
        <v>0100</v>
      </c>
      <c r="L70" s="1" t="str">
        <f t="shared" si="15"/>
        <v>1+100</v>
      </c>
    </row>
    <row r="71" spans="1:12" x14ac:dyDescent="0.2">
      <c r="A71" t="s">
        <v>141</v>
      </c>
      <c r="B71" t="s">
        <v>142</v>
      </c>
      <c r="F71" t="str">
        <f t="shared" si="16"/>
        <v>104.7146</v>
      </c>
      <c r="G71" t="str">
        <f t="shared" si="17"/>
        <v xml:space="preserve"> 17.4775</v>
      </c>
      <c r="H71" s="1" t="str">
        <f t="shared" si="14"/>
        <v>RT29</v>
      </c>
      <c r="I71" s="1" t="str">
        <f t="shared" si="10"/>
        <v>SG</v>
      </c>
      <c r="J71" s="2" t="s">
        <v>156</v>
      </c>
      <c r="K71" s="1" t="str">
        <f t="shared" si="11"/>
        <v>0100</v>
      </c>
      <c r="L71" s="1" t="str">
        <f t="shared" si="15"/>
        <v>1+150</v>
      </c>
    </row>
    <row r="72" spans="1:12" x14ac:dyDescent="0.2">
      <c r="A72" t="s">
        <v>143</v>
      </c>
      <c r="B72" t="s">
        <v>144</v>
      </c>
      <c r="F72" t="str">
        <f t="shared" si="16"/>
        <v>104.7145</v>
      </c>
      <c r="G72" t="str">
        <f t="shared" si="17"/>
        <v xml:space="preserve"> 17.4777</v>
      </c>
      <c r="H72" s="1" t="str">
        <f t="shared" si="14"/>
        <v>RT30</v>
      </c>
      <c r="I72" s="1" t="str">
        <f t="shared" si="10"/>
        <v>SG</v>
      </c>
      <c r="J72" s="2" t="s">
        <v>156</v>
      </c>
      <c r="K72" s="1" t="str">
        <f t="shared" si="11"/>
        <v>0100</v>
      </c>
      <c r="L72" s="1" t="str">
        <f t="shared" si="15"/>
        <v>1+180</v>
      </c>
    </row>
    <row r="73" spans="1:12" x14ac:dyDescent="0.2">
      <c r="A73" t="s">
        <v>145</v>
      </c>
      <c r="B73" t="s">
        <v>146</v>
      </c>
      <c r="F73" t="str">
        <f t="shared" si="16"/>
        <v>104.7143</v>
      </c>
      <c r="G73" t="str">
        <f t="shared" si="17"/>
        <v xml:space="preserve"> 17.4779</v>
      </c>
      <c r="H73" s="1" t="str">
        <f t="shared" si="14"/>
        <v>RT31</v>
      </c>
      <c r="I73" s="1" t="str">
        <f t="shared" si="10"/>
        <v>SG</v>
      </c>
      <c r="J73" s="2" t="s">
        <v>156</v>
      </c>
      <c r="K73" s="1" t="str">
        <f t="shared" si="11"/>
        <v>0100</v>
      </c>
      <c r="L73" s="1" t="str">
        <f t="shared" si="15"/>
        <v>1+210</v>
      </c>
    </row>
    <row r="74" spans="1:12" x14ac:dyDescent="0.2">
      <c r="A74" t="s">
        <v>147</v>
      </c>
      <c r="B74" t="s">
        <v>148</v>
      </c>
      <c r="F74" t="str">
        <f t="shared" si="16"/>
        <v>104.7143</v>
      </c>
      <c r="G74" t="str">
        <f t="shared" si="17"/>
        <v xml:space="preserve"> 17.4780</v>
      </c>
      <c r="H74" s="1" t="str">
        <f t="shared" si="14"/>
        <v>RT32</v>
      </c>
      <c r="I74" s="1" t="str">
        <f t="shared" si="10"/>
        <v>SG</v>
      </c>
      <c r="J74" s="2" t="s">
        <v>156</v>
      </c>
      <c r="K74" s="1" t="str">
        <f t="shared" si="11"/>
        <v>0100</v>
      </c>
      <c r="L74" s="1" t="str">
        <f t="shared" si="15"/>
        <v>1+240</v>
      </c>
    </row>
    <row r="75" spans="1:12" x14ac:dyDescent="0.2">
      <c r="A75" t="s">
        <v>149</v>
      </c>
      <c r="B75" t="s">
        <v>150</v>
      </c>
      <c r="F75" t="str">
        <f t="shared" si="16"/>
        <v>104.7143</v>
      </c>
      <c r="G75" t="str">
        <f t="shared" si="17"/>
        <v xml:space="preserve"> 17.4782</v>
      </c>
      <c r="H75" s="1" t="str">
        <f t="shared" si="14"/>
        <v>RT33</v>
      </c>
      <c r="I75" s="1" t="str">
        <f t="shared" si="10"/>
        <v>SG</v>
      </c>
      <c r="J75" s="2" t="s">
        <v>156</v>
      </c>
      <c r="K75" s="1" t="str">
        <f t="shared" si="11"/>
        <v>0100</v>
      </c>
      <c r="L75" s="1" t="str">
        <f t="shared" si="15"/>
        <v>1+270</v>
      </c>
    </row>
    <row r="76" spans="1:12" x14ac:dyDescent="0.2">
      <c r="A76" t="s">
        <v>151</v>
      </c>
      <c r="B76" t="s">
        <v>157</v>
      </c>
      <c r="F76" t="str">
        <f t="shared" si="16"/>
        <v>104.7143</v>
      </c>
      <c r="G76" t="str">
        <f t="shared" si="17"/>
        <v xml:space="preserve"> 17.4784</v>
      </c>
      <c r="H76" s="1" t="str">
        <f t="shared" si="14"/>
        <v>RT34</v>
      </c>
      <c r="I76" s="1" t="str">
        <f t="shared" si="10"/>
        <v>SG</v>
      </c>
      <c r="J76" s="2" t="s">
        <v>156</v>
      </c>
      <c r="K76" s="1" t="str">
        <f t="shared" si="11"/>
        <v>0100</v>
      </c>
      <c r="L76" s="1" t="str">
        <f t="shared" si="15"/>
        <v>1+300</v>
      </c>
    </row>
    <row r="77" spans="1:12" x14ac:dyDescent="0.2">
      <c r="A77" t="s">
        <v>152</v>
      </c>
      <c r="B77" t="s">
        <v>153</v>
      </c>
      <c r="F77" t="str">
        <f t="shared" si="16"/>
        <v>104.7144</v>
      </c>
      <c r="G77" t="str">
        <f t="shared" si="17"/>
        <v xml:space="preserve"> 17.4787</v>
      </c>
      <c r="H77" s="1" t="str">
        <f t="shared" si="14"/>
        <v>RT35</v>
      </c>
      <c r="I77" s="1" t="str">
        <f t="shared" si="10"/>
        <v>SG</v>
      </c>
      <c r="J77" s="2" t="s">
        <v>156</v>
      </c>
      <c r="K77" s="1" t="str">
        <f t="shared" si="11"/>
        <v>0100</v>
      </c>
      <c r="L77" s="1" t="str">
        <f t="shared" si="15"/>
        <v>1+350</v>
      </c>
    </row>
    <row r="78" spans="1:12" x14ac:dyDescent="0.2">
      <c r="A78" t="s">
        <v>154</v>
      </c>
      <c r="B78" t="s">
        <v>155</v>
      </c>
      <c r="F78" t="str">
        <f t="shared" si="16"/>
        <v>104.7146</v>
      </c>
      <c r="G78" t="str">
        <f t="shared" si="17"/>
        <v xml:space="preserve"> 17.4790</v>
      </c>
      <c r="H78" s="1" t="str">
        <f t="shared" si="14"/>
        <v>RT36</v>
      </c>
      <c r="I78" s="1" t="str">
        <f t="shared" si="10"/>
        <v>SG</v>
      </c>
      <c r="J78" s="2" t="s">
        <v>156</v>
      </c>
      <c r="K78" s="1" t="str">
        <f t="shared" si="11"/>
        <v>0100</v>
      </c>
      <c r="L78" s="1" t="str">
        <f t="shared" si="15"/>
        <v>1+380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295- ทล.295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2023-06-30T08:46:00Z</dcterms:created>
  <dcterms:modified xsi:type="dcterms:W3CDTF">2023-06-30T09:02:02Z</dcterms:modified>
</cp:coreProperties>
</file>