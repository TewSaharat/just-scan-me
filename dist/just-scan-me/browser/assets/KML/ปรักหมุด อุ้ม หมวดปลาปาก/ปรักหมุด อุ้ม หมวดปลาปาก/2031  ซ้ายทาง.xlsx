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M_HumNoi\OneDrive\เดสก์ท็อป\ปรักหมุด อุ้ม หมวดปลาปาก\"/>
    </mc:Choice>
  </mc:AlternateContent>
  <xr:revisionPtr revIDLastSave="0" documentId="13_ncr:1_{5DB1BFA3-DBA4-425A-985C-7B22BB922B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CSV หมวดปลาปาก 2031 ซ้าย" sheetId="2" r:id="rId1"/>
    <sheet name="แผนที่ที่ไม่มีชื่อ- 2031  ซ้ายท" sheetId="1" r:id="rId2"/>
  </sheets>
  <calcPr calcId="181029"/>
</workbook>
</file>

<file path=xl/calcChain.xml><?xml version="1.0" encoding="utf-8"?>
<calcChain xmlns="http://schemas.openxmlformats.org/spreadsheetml/2006/main">
  <c r="O233" i="1" l="1"/>
  <c r="O234" i="1"/>
  <c r="O235" i="1"/>
  <c r="O236" i="1"/>
  <c r="O237" i="1"/>
  <c r="O238" i="1"/>
  <c r="O239" i="1"/>
  <c r="O240" i="1"/>
  <c r="O241" i="1"/>
  <c r="O232" i="1"/>
  <c r="O226" i="1"/>
  <c r="O227" i="1"/>
  <c r="O228" i="1"/>
  <c r="O229" i="1"/>
  <c r="O230" i="1"/>
  <c r="O231" i="1"/>
  <c r="O225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42" i="1"/>
  <c r="O243" i="1"/>
  <c r="O244" i="1"/>
  <c r="O245" i="1"/>
  <c r="O246" i="1"/>
  <c r="O247" i="1"/>
  <c r="O248" i="1"/>
  <c r="O249" i="1"/>
  <c r="O250" i="1"/>
  <c r="O120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04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14" i="1"/>
  <c r="O15" i="1"/>
  <c r="O16" i="1"/>
  <c r="O17" i="1"/>
  <c r="O18" i="1"/>
  <c r="O19" i="1"/>
  <c r="O20" i="1"/>
  <c r="O21" i="1"/>
  <c r="O22" i="1"/>
  <c r="O23" i="1"/>
  <c r="O24" i="1"/>
  <c r="O25" i="1"/>
  <c r="O13" i="1"/>
  <c r="L243" i="1"/>
  <c r="L244" i="1"/>
  <c r="L245" i="1"/>
  <c r="L246" i="1"/>
  <c r="L247" i="1"/>
  <c r="L248" i="1"/>
  <c r="L249" i="1"/>
  <c r="L250" i="1"/>
  <c r="L242" i="1"/>
  <c r="K233" i="1"/>
  <c r="K234" i="1"/>
  <c r="K235" i="1"/>
  <c r="K236" i="1"/>
  <c r="K237" i="1"/>
  <c r="K238" i="1"/>
  <c r="K239" i="1"/>
  <c r="K240" i="1"/>
  <c r="K241" i="1"/>
  <c r="K232" i="1"/>
  <c r="I233" i="1"/>
  <c r="I234" i="1"/>
  <c r="I235" i="1"/>
  <c r="I236" i="1"/>
  <c r="I237" i="1"/>
  <c r="I238" i="1"/>
  <c r="I239" i="1"/>
  <c r="I240" i="1"/>
  <c r="I241" i="1"/>
  <c r="I232" i="1"/>
  <c r="I226" i="1"/>
  <c r="I227" i="1"/>
  <c r="I228" i="1"/>
  <c r="I229" i="1"/>
  <c r="I230" i="1"/>
  <c r="I231" i="1"/>
  <c r="I225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04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13" i="1"/>
  <c r="J248" i="1"/>
  <c r="J249" i="1"/>
  <c r="J250" i="1"/>
  <c r="J221" i="1"/>
  <c r="J222" i="1"/>
  <c r="J223" i="1"/>
  <c r="J224" i="1"/>
  <c r="J242" i="1"/>
  <c r="J243" i="1"/>
  <c r="J244" i="1"/>
  <c r="J245" i="1"/>
  <c r="J246" i="1"/>
  <c r="J247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04" i="1"/>
  <c r="J101" i="1"/>
  <c r="J102" i="1"/>
  <c r="J103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56" i="1"/>
  <c r="J57" i="1"/>
  <c r="J58" i="1"/>
  <c r="J59" i="1"/>
  <c r="J60" i="1"/>
  <c r="J61" i="1"/>
  <c r="J62" i="1"/>
  <c r="J63" i="1"/>
  <c r="J64" i="1"/>
  <c r="J65" i="1"/>
  <c r="J66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13" i="1"/>
  <c r="I3" i="1"/>
  <c r="K3" i="1"/>
  <c r="O3" i="1"/>
  <c r="J4" i="1"/>
  <c r="L4" i="1"/>
  <c r="O4" i="1"/>
  <c r="I5" i="1"/>
  <c r="K5" i="1"/>
  <c r="O5" i="1"/>
  <c r="J6" i="1"/>
  <c r="L6" i="1"/>
  <c r="O6" i="1"/>
  <c r="J7" i="1"/>
  <c r="L7" i="1"/>
  <c r="O7" i="1"/>
  <c r="J8" i="1"/>
  <c r="L8" i="1"/>
  <c r="O8" i="1"/>
  <c r="J9" i="1"/>
  <c r="L9" i="1"/>
  <c r="O9" i="1"/>
  <c r="J10" i="1"/>
  <c r="L10" i="1"/>
  <c r="O10" i="1"/>
  <c r="J11" i="1"/>
  <c r="L11" i="1"/>
  <c r="O11" i="1"/>
  <c r="J12" i="1"/>
  <c r="L12" i="1"/>
  <c r="O12" i="1"/>
  <c r="K225" i="1"/>
  <c r="K226" i="1"/>
  <c r="K227" i="1"/>
  <c r="K228" i="1"/>
  <c r="K229" i="1"/>
  <c r="K230" i="1"/>
  <c r="K231" i="1"/>
  <c r="O2" i="1"/>
  <c r="H5" i="1"/>
  <c r="L2" i="1"/>
  <c r="J2" i="1"/>
  <c r="H246" i="1"/>
  <c r="H226" i="1"/>
  <c r="H225" i="1"/>
  <c r="H224" i="1"/>
  <c r="H171" i="1"/>
  <c r="H168" i="1"/>
  <c r="H157" i="1"/>
  <c r="H154" i="1"/>
  <c r="H155" i="1"/>
  <c r="H150" i="1"/>
  <c r="H142" i="1"/>
  <c r="H139" i="1"/>
  <c r="H130" i="1"/>
  <c r="H129" i="1"/>
  <c r="H123" i="1"/>
  <c r="H119" i="1"/>
  <c r="H97" i="1"/>
  <c r="H85" i="1"/>
  <c r="H75" i="1"/>
  <c r="H65" i="1"/>
  <c r="H40" i="1"/>
  <c r="H36" i="1"/>
  <c r="H31" i="1"/>
  <c r="H30" i="1"/>
  <c r="H29" i="1"/>
  <c r="H26" i="1"/>
  <c r="H22" i="1"/>
  <c r="H21" i="1"/>
  <c r="H13" i="1"/>
  <c r="H11" i="1"/>
  <c r="G3" i="1"/>
  <c r="H3" i="1"/>
  <c r="G4" i="1"/>
  <c r="H4" i="1"/>
  <c r="G5" i="1"/>
  <c r="G6" i="1"/>
  <c r="H6" i="1"/>
  <c r="G7" i="1"/>
  <c r="H7" i="1"/>
  <c r="G8" i="1"/>
  <c r="H8" i="1"/>
  <c r="G9" i="1"/>
  <c r="H9" i="1"/>
  <c r="G10" i="1"/>
  <c r="H10" i="1"/>
  <c r="G11" i="1"/>
  <c r="G12" i="1"/>
  <c r="H12" i="1"/>
  <c r="G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G22" i="1"/>
  <c r="G23" i="1"/>
  <c r="H23" i="1"/>
  <c r="G24" i="1"/>
  <c r="H24" i="1"/>
  <c r="G25" i="1"/>
  <c r="H25" i="1"/>
  <c r="G26" i="1"/>
  <c r="G27" i="1"/>
  <c r="H27" i="1"/>
  <c r="G28" i="1"/>
  <c r="H28" i="1"/>
  <c r="G29" i="1"/>
  <c r="G30" i="1"/>
  <c r="G31" i="1"/>
  <c r="G32" i="1"/>
  <c r="H32" i="1"/>
  <c r="G33" i="1"/>
  <c r="H33" i="1"/>
  <c r="G34" i="1"/>
  <c r="H34" i="1"/>
  <c r="G35" i="1"/>
  <c r="H35" i="1"/>
  <c r="G36" i="1"/>
  <c r="G37" i="1"/>
  <c r="H37" i="1"/>
  <c r="G38" i="1"/>
  <c r="H38" i="1"/>
  <c r="G39" i="1"/>
  <c r="H39" i="1"/>
  <c r="G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4" i="1"/>
  <c r="H94" i="1"/>
  <c r="G95" i="1"/>
  <c r="H95" i="1"/>
  <c r="G96" i="1"/>
  <c r="H96" i="1"/>
  <c r="G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G120" i="1"/>
  <c r="H120" i="1"/>
  <c r="G121" i="1"/>
  <c r="H121" i="1"/>
  <c r="G122" i="1"/>
  <c r="H122" i="1"/>
  <c r="G123" i="1"/>
  <c r="G124" i="1"/>
  <c r="H124" i="1"/>
  <c r="G125" i="1"/>
  <c r="H125" i="1"/>
  <c r="G126" i="1"/>
  <c r="H126" i="1"/>
  <c r="G127" i="1"/>
  <c r="H127" i="1"/>
  <c r="G128" i="1"/>
  <c r="H128" i="1"/>
  <c r="G129" i="1"/>
  <c r="G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G140" i="1"/>
  <c r="H140" i="1"/>
  <c r="G141" i="1"/>
  <c r="H141" i="1"/>
  <c r="G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G151" i="1"/>
  <c r="H151" i="1"/>
  <c r="G152" i="1"/>
  <c r="H152" i="1"/>
  <c r="G153" i="1"/>
  <c r="H153" i="1"/>
  <c r="G154" i="1"/>
  <c r="G155" i="1"/>
  <c r="G156" i="1"/>
  <c r="H156" i="1"/>
  <c r="G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G169" i="1"/>
  <c r="H169" i="1"/>
  <c r="G170" i="1"/>
  <c r="H170" i="1"/>
  <c r="G171" i="1"/>
  <c r="G172" i="1"/>
  <c r="H172" i="1"/>
  <c r="G173" i="1"/>
  <c r="H173" i="1"/>
  <c r="G174" i="1"/>
  <c r="H174" i="1"/>
  <c r="G175" i="1"/>
  <c r="H175" i="1"/>
  <c r="G178" i="1"/>
  <c r="H178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G225" i="1"/>
  <c r="G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G247" i="1"/>
  <c r="H247" i="1"/>
  <c r="G248" i="1"/>
  <c r="H248" i="1"/>
  <c r="G249" i="1"/>
  <c r="H249" i="1"/>
  <c r="G250" i="1"/>
  <c r="H250" i="1"/>
  <c r="H2" i="1"/>
  <c r="G2" i="1"/>
</calcChain>
</file>

<file path=xl/sharedStrings.xml><?xml version="1.0" encoding="utf-8"?>
<sst xmlns="http://schemas.openxmlformats.org/spreadsheetml/2006/main" count="1727" uniqueCount="1398">
  <si>
    <t>WKT</t>
  </si>
  <si>
    <t>เธเธทเนเธญ</t>
  </si>
  <si>
    <t>เธเธณเธญเธเธดเธเธฒเธข</t>
  </si>
  <si>
    <t>POINT (104.727305 17.017924 0.0)</t>
  </si>
  <si>
    <t>LT1-SG-0100-0+015</t>
  </si>
  <si>
    <t>POINT (104.727414 17.018008 0.0)</t>
  </si>
  <si>
    <t>CL1-DB-0100-0+015</t>
  </si>
  <si>
    <t>POINT (104.727101 17.018235 0.0)</t>
  </si>
  <si>
    <t>LT2-SG-0100-0+055</t>
  </si>
  <si>
    <t>POINT (104.72725 17.018262 0.0)</t>
  </si>
  <si>
    <t>CL2-DB-0100-0+050</t>
  </si>
  <si>
    <t>POINT (104.726681 17.018499 0.0)</t>
  </si>
  <si>
    <t>LT3-SG-0100-0+100</t>
  </si>
  <si>
    <t>POINT (104.726387 17.018659 0.0)</t>
  </si>
  <si>
    <t>LT4-SG-0100-0+135</t>
  </si>
  <si>
    <t>POINT (104.725965 17.018875 146.98)</t>
  </si>
  <si>
    <t>LT5-SG-0100-0+185</t>
  </si>
  <si>
    <t>POINT (104.725553 17.019112 143.83)</t>
  </si>
  <si>
    <t>LT6-SG-0100-0+235</t>
  </si>
  <si>
    <t>POINT (104.725101 17.019357 0.0)</t>
  </si>
  <si>
    <t>LT7-SG-0100-0+285</t>
  </si>
  <si>
    <t>POINT (104.72469 17.019577 0.0)</t>
  </si>
  <si>
    <t>LT8-SG-0100-0+335</t>
  </si>
  <si>
    <t>POINT (104.724259 17.019792 0.0)</t>
  </si>
  <si>
    <t>LT9-SG-0100-0+385</t>
  </si>
  <si>
    <t>POINT (104.72386 17.020011 0.0)</t>
  </si>
  <si>
    <t>LT10-SG-0100-0+435</t>
  </si>
  <si>
    <t>POINT (104.723415 17.020272 0.0)</t>
  </si>
  <si>
    <t>LT11-SG-0100-0+485</t>
  </si>
  <si>
    <t>POINT (104.722973 17.020496 0.0)</t>
  </si>
  <si>
    <t>LT12-SG-0100-0+535</t>
  </si>
  <si>
    <t>POINT (104.722574 17.020704 0.0)</t>
  </si>
  <si>
    <t>LT13-SG-0100-0+585</t>
  </si>
  <si>
    <t>POINT (104.722132 17.020935 0.0)</t>
  </si>
  <si>
    <t>LT14-SG-0100-0+635</t>
  </si>
  <si>
    <t>POINT (104.721701 17.021176 0.0)</t>
  </si>
  <si>
    <t>LT15-SG-0100-0+685</t>
  </si>
  <si>
    <t>POINT (104.721285 17.0214 0.0)</t>
  </si>
  <si>
    <t>LT16-SG-0100-0+735</t>
  </si>
  <si>
    <t>POINT (104.720851 17.021652 0.0)</t>
  </si>
  <si>
    <t>LT17-SG-0100-0+785</t>
  </si>
  <si>
    <t>POINT (104.72042 17.021894 0.0)</t>
  </si>
  <si>
    <t>LT18-SG-0100-0+935</t>
  </si>
  <si>
    <t>POINT (104.71999 17.022128 0.0)</t>
  </si>
  <si>
    <t>LT19-SG-0100-0+985</t>
  </si>
  <si>
    <t>POINT (104.719576 17.022387 0.0)</t>
  </si>
  <si>
    <t>LT20-SG-0100-1+035</t>
  </si>
  <si>
    <t>POINT (104.719182 17.022669 0.0)</t>
  </si>
  <si>
    <t>LT21-SG-0100-1+085</t>
  </si>
  <si>
    <t>POINT (104.716466 17.024706 0.0)</t>
  </si>
  <si>
    <t>LT23-SG-0100-1+450</t>
  </si>
  <si>
    <t>POINT (104.71674 17.024501 0.0)</t>
  </si>
  <si>
    <t>LT22-SG-0100-1+400</t>
  </si>
  <si>
    <t>POINT (104.716178 17.024921 0.0)</t>
  </si>
  <si>
    <t>LT24-SG-0100-1+500</t>
  </si>
  <si>
    <t>POINT (104.715912 17.025122 0.0)</t>
  </si>
  <si>
    <t>LT25-SG-0100-1+550</t>
  </si>
  <si>
    <t>POINT (104.71564 17.025316 0.0)</t>
  </si>
  <si>
    <t>LT26-SG-0100-1+600</t>
  </si>
  <si>
    <t>POINT (104.71537 17.025515 0.0)</t>
  </si>
  <si>
    <t>LT27-SG-0100-1+650</t>
  </si>
  <si>
    <t>POINT (104.7151 17.025728 0.0)</t>
  </si>
  <si>
    <t>LT28-SG-0100-1+700</t>
  </si>
  <si>
    <t>POINT (104.714836 17.025922 0.0)</t>
  </si>
  <si>
    <t>LT29-SG-0100-1+750</t>
  </si>
  <si>
    <t>POINT (104.714314 17.026323 0.0)</t>
  </si>
  <si>
    <t>LT30-SG-0100-1+820</t>
  </si>
  <si>
    <t>POINT (104.713804 17.02671 0.0)</t>
  </si>
  <si>
    <t>LT31-SG-0100-1+890</t>
  </si>
  <si>
    <t>POINT (104.713537 17.02691 0.0)</t>
  </si>
  <si>
    <t>LT32-SG-0100-1+925</t>
  </si>
  <si>
    <t>POINT (104.71324 17.027118 0.0)</t>
  </si>
  <si>
    <t>LT33-SG-0100-1+965</t>
  </si>
  <si>
    <t>POINT (104.712995 17.027308 0.0)</t>
  </si>
  <si>
    <t>LT34-SG-0100-2+010</t>
  </si>
  <si>
    <t>POINT (104.712718 17.027522 0.0)</t>
  </si>
  <si>
    <t>LT35-SG-0100-2+050</t>
  </si>
  <si>
    <t>POINT (104.712476 17.027709 0.0)</t>
  </si>
  <si>
    <t>LT36-SG-0100-2+090</t>
  </si>
  <si>
    <t>POINT (104.71219 17.027944 0.0)</t>
  </si>
  <si>
    <t>LT37-SG-0100-2+130</t>
  </si>
  <si>
    <t>POINT (104.711985 17.028107 0.0)</t>
  </si>
  <si>
    <t>LT38-SG-0100-2+160</t>
  </si>
  <si>
    <t>POINT (104.711204 17.028717 0.0)</t>
  </si>
  <si>
    <t>LT39-SG-0100-2+260</t>
  </si>
  <si>
    <t>POINT (104.710734 17.029098 0.0)</t>
  </si>
  <si>
    <t>LT40-SG-0100-2+320</t>
  </si>
  <si>
    <t>POINT (104.710248 17.029486 0.0)</t>
  </si>
  <si>
    <t>LT41-SG-0100-2+380</t>
  </si>
  <si>
    <t>POINT (104.709754 17.029887 0.0)</t>
  </si>
  <si>
    <t>LT42-SG-0100-2+450</t>
  </si>
  <si>
    <t>POINT (104.709297 17.030287 0.0)</t>
  </si>
  <si>
    <t>LT43-SG-0100-2+520</t>
  </si>
  <si>
    <t>POINT (104.708924 17.030598 0.0)</t>
  </si>
  <si>
    <t>LT44-SG-0100-2+590</t>
  </si>
  <si>
    <t>POINT (104.706541 17.032553 0.0)</t>
  </si>
  <si>
    <t>LT45-SG-0100-2+750</t>
  </si>
  <si>
    <t>POINT (104.706231 17.032807 0.0)</t>
  </si>
  <si>
    <t>LT46-SG-0100-2+800</t>
  </si>
  <si>
    <t>POINT (104.705865 17.033104 0.0)</t>
  </si>
  <si>
    <t>LT47-SG-0100-2+850</t>
  </si>
  <si>
    <t>POINT (104.705482 17.033392 0.0)</t>
  </si>
  <si>
    <t>LT48-SG-0100-2+900</t>
  </si>
  <si>
    <t>POINT (104.705113 17.033696 0.0)</t>
  </si>
  <si>
    <t>LT49-SG-0100-2+950</t>
  </si>
  <si>
    <t>POINT (104.704749 17.033997 0.0)</t>
  </si>
  <si>
    <t>LT50-SG-0100-3+000</t>
  </si>
  <si>
    <t>POINT (104.704368 17.034325 0.0)</t>
  </si>
  <si>
    <t>LT51-SG-0100-3+050</t>
  </si>
  <si>
    <t>POINT (104.703997 17.034645 0.0)</t>
  </si>
  <si>
    <t>LT52-SG-0100-3+100</t>
  </si>
  <si>
    <t>POINT (104.694952 17.041909 0.0)</t>
  </si>
  <si>
    <t>LT53-SG-0100-4+350</t>
  </si>
  <si>
    <t>POINT (104.694549 17.042227 0.0)</t>
  </si>
  <si>
    <t>LT54-SG-0100-4+400</t>
  </si>
  <si>
    <t>POINT (104.694255 17.042518 0.0)</t>
  </si>
  <si>
    <t>LT55-SG-0100-4+450</t>
  </si>
  <si>
    <t>POINT (104.693905 17.042763 0.0)</t>
  </si>
  <si>
    <t>LT56-SG-0100-4+500</t>
  </si>
  <si>
    <t>POINT (104.693605 17.043025 0.0)</t>
  </si>
  <si>
    <t>LT57-SG-0100-4+550</t>
  </si>
  <si>
    <t>POINT (104.693252 17.043296 0.0)</t>
  </si>
  <si>
    <t>LT58-SG-0100-4+600</t>
  </si>
  <si>
    <t>POINT (104.692913 17.043588 0.0)</t>
  </si>
  <si>
    <t>LT59-SG-0100-4+650</t>
  </si>
  <si>
    <t>POINT (104.692526 17.043905 0.0)</t>
  </si>
  <si>
    <t>LT60-SG-0100-4+700</t>
  </si>
  <si>
    <t>POINT (104.692165 17.044197 0.0)</t>
  </si>
  <si>
    <t>LT61-SG-0100-4+750</t>
  </si>
  <si>
    <t>POINT (104.69178 17.044501 0.0)</t>
  </si>
  <si>
    <t>LT62-SG-0100-4+800</t>
  </si>
  <si>
    <t>POINT (104.691402 17.044767 0.0)</t>
  </si>
  <si>
    <t>LT63-SG-0100-4+850</t>
  </si>
  <si>
    <t>POINT (104.691009 17.045111 0.0)</t>
  </si>
  <si>
    <t>LT64-SG-0100-4+900</t>
  </si>
  <si>
    <t>POINT (104.690667 17.04541 0.0)</t>
  </si>
  <si>
    <t>LT65-SG-0100-4+950</t>
  </si>
  <si>
    <t>POINT (104.690288 17.045714 0.0)</t>
  </si>
  <si>
    <t>LT66-SG-0100-5+010</t>
  </si>
  <si>
    <t>POINT (104.689895 17.046009 0.0)</t>
  </si>
  <si>
    <t>LT67-SG-0100-5+050</t>
  </si>
  <si>
    <t>POINT (104.689548 17.046323 0.0)</t>
  </si>
  <si>
    <t>LT68-SG-0100-5+100</t>
  </si>
  <si>
    <t>POINT (104.689179 17.046625 0.0)</t>
  </si>
  <si>
    <t>LT69-SG-0100-5+150</t>
  </si>
  <si>
    <t>POINT (104.688816 17.046941 0.0)</t>
  </si>
  <si>
    <t>LT70-SG-0100-5+200</t>
  </si>
  <si>
    <t>POINT (104.688446 17.04724 0.0)</t>
  </si>
  <si>
    <t>LT71-SG-0100-5+250</t>
  </si>
  <si>
    <t>POINT (104.68808 17.047545 0.0)</t>
  </si>
  <si>
    <t>LT72-SG-0100-5+300</t>
  </si>
  <si>
    <t>POINT (104.687683 17.047872 0.0)</t>
  </si>
  <si>
    <t>LT73-SG-0100-5+350</t>
  </si>
  <si>
    <t>POINT (104.687308 17.048141 0.0)</t>
  </si>
  <si>
    <t>LT74-SG-0100-5+400</t>
  </si>
  <si>
    <t>POINT (104.686911 17.048465 0.0)</t>
  </si>
  <si>
    <t>LT75-SG-0100-5+450</t>
  </si>
  <si>
    <t>POINT (104.686595 17.048751 0.0)</t>
  </si>
  <si>
    <t>LT76-SG-0100-5+500</t>
  </si>
  <si>
    <t>POINT (104.686206 17.049053 0.0)</t>
  </si>
  <si>
    <t>LT77-SG-0100-5+550</t>
  </si>
  <si>
    <t>POINT (104.685771 17.049235 0.0)</t>
  </si>
  <si>
    <t>LT78-SG-0100-5+600</t>
  </si>
  <si>
    <t>POINT (104.685299 17.049349 0.0)</t>
  </si>
  <si>
    <t>LT79-SG-0100-5+650</t>
  </si>
  <si>
    <t>POINT (104.684826 17.049435 0.0)</t>
  </si>
  <si>
    <t>LT80-SG-0100-5+700</t>
  </si>
  <si>
    <t>POINT (104.683888 17.049632 0.0)</t>
  </si>
  <si>
    <t>LT81-SG-0100-5+800</t>
  </si>
  <si>
    <t>POINT (104.6834 17.049694 0.0)</t>
  </si>
  <si>
    <t>LT82-SG-0100-5+850</t>
  </si>
  <si>
    <t>POINT (104.682931 17.049818 0.0)</t>
  </si>
  <si>
    <t>LT83-SG-0100-5+900</t>
  </si>
  <si>
    <t>POINT (104.682454 17.049933 0.0)</t>
  </si>
  <si>
    <t>LT84-SG-0100-5+950</t>
  </si>
  <si>
    <t>POINT (104.682023 17.05001 0.0)</t>
  </si>
  <si>
    <t>LT85-SG-0100-6+000</t>
  </si>
  <si>
    <t>POINT (104.681551 17.050117 0.0)</t>
  </si>
  <si>
    <t>LT86-SG-0100-6+050</t>
  </si>
  <si>
    <t>POINT (104.681029 17.050188 0.0)</t>
  </si>
  <si>
    <t>LT87-SG-0100-6+100</t>
  </si>
  <si>
    <t>POINT (104.680258 17.05008 0.0)</t>
  </si>
  <si>
    <t>LT88-SG-0100-6+150</t>
  </si>
  <si>
    <t>POINT (104.671981 17.045412 0.0)</t>
  </si>
  <si>
    <t>LT89-SG-0100-7+300</t>
  </si>
  <si>
    <t>POINT (104.671417 17.045395 0.0)</t>
  </si>
  <si>
    <t>LT90-SG-0100-7+350</t>
  </si>
  <si>
    <t>POINT (104.670976 17.045385 0.0)</t>
  </si>
  <si>
    <t>LT91-SG-0100-7+400</t>
  </si>
  <si>
    <t>POINT (104.670463 17.045378 0.0)</t>
  </si>
  <si>
    <t>LT92-SG-0100-7+450</t>
  </si>
  <si>
    <t>POINT (104.66997 17.045391 0.0)</t>
  </si>
  <si>
    <t>LT93-SG-0100-7+500</t>
  </si>
  <si>
    <t>POINT (104.669475 17.045377 0.0)</t>
  </si>
  <si>
    <t>LT94-SG-0100-7+550</t>
  </si>
  <si>
    <t>POINT (104.668995 17.045362 0.0)</t>
  </si>
  <si>
    <t>LT95-SG-0100-7+600</t>
  </si>
  <si>
    <t>POINT (104.667533 17.045336 0.0)</t>
  </si>
  <si>
    <t>LT96-SG-0100-7+750</t>
  </si>
  <si>
    <t>POINT (104.666524 17.045333 0.0)</t>
  </si>
  <si>
    <t>LT97-SG-0100-7+850</t>
  </si>
  <si>
    <t>POINT (104.666083 17.045317 0.0)</t>
  </si>
  <si>
    <t>LT98-SG-0100-7+900</t>
  </si>
  <si>
    <t>POINT (104.665625 17.04531 0.0)</t>
  </si>
  <si>
    <t>LT99-SG-0100-7+950</t>
  </si>
  <si>
    <t>POINT (104.665103 17.045312 0.0)</t>
  </si>
  <si>
    <t>LT100-SG-0100-8+020</t>
  </si>
  <si>
    <t>POINT (104.664617 17.045334 0.0)</t>
  </si>
  <si>
    <t>LT101-SG-0100-8+050</t>
  </si>
  <si>
    <t>POINT (104.664117 17.045331 0.0)</t>
  </si>
  <si>
    <t>LT102-SG-0100-8+100</t>
  </si>
  <si>
    <t>POINT (104.663587 17.045317 0.0)</t>
  </si>
  <si>
    <t>LT103-SG-0100-8+150</t>
  </si>
  <si>
    <t>POINT (104.663141 17.045327 0.0)</t>
  </si>
  <si>
    <t>LT104-SG-0100-8+200</t>
  </si>
  <si>
    <t>POINT (104.662653 17.045335 0.0)</t>
  </si>
  <si>
    <t>LT105-SG-0100-8+250</t>
  </si>
  <si>
    <t>POINT (104.662165 17.045326 0.0)</t>
  </si>
  <si>
    <t>LT106-SG-0100-8+300</t>
  </si>
  <si>
    <t>POINT (104.661724 17.045352 0.0)</t>
  </si>
  <si>
    <t>LT107-SG-0100-8+350</t>
  </si>
  <si>
    <t>POINT (104.661202 17.045351 0.0)</t>
  </si>
  <si>
    <t>LT108-SG-0100-8+400</t>
  </si>
  <si>
    <t>POINT (104.660727 17.045346 0.0)</t>
  </si>
  <si>
    <t>LT109-SG-0100-8+450</t>
  </si>
  <si>
    <t>POINT (104.660225 17.045333 0.0)</t>
  </si>
  <si>
    <t>LT110-SG-0100-8+500</t>
  </si>
  <si>
    <t>POINT (104.659678 17.045346 0.0)</t>
  </si>
  <si>
    <t>LT111-SG-0100-8+550</t>
  </si>
  <si>
    <t>POINT (104.659247 17.045349 0.0)</t>
  </si>
  <si>
    <t>LT112-SG-0100-8+600</t>
  </si>
  <si>
    <t>POINT (104.658728 17.045363 0.0)</t>
  </si>
  <si>
    <t>LT113-SG-0100-8+650</t>
  </si>
  <si>
    <t>POINT (104.647195 17.043933 0.0)</t>
  </si>
  <si>
    <t>LT114-SG-0100-9+950</t>
  </si>
  <si>
    <t>POINT (104.64682 17.043851 0.0)</t>
  </si>
  <si>
    <t>LT115-SG-0100-9+985</t>
  </si>
  <si>
    <t>POINT (104.646458 17.043759 0.0)</t>
  </si>
  <si>
    <t>LT116-SG-0100-10+020</t>
  </si>
  <si>
    <t>POINT (104.646089 17.043672 0.0)</t>
  </si>
  <si>
    <t>LT117-SG-0100-10+050</t>
  </si>
  <si>
    <t>POINT (104.645721 17.043583 0.0)</t>
  </si>
  <si>
    <t>LT118-SG-0100-10+100</t>
  </si>
  <si>
    <t>POINT (104.64538 17.043494 0.0)</t>
  </si>
  <si>
    <t>LT119-SG-0100-10+150</t>
  </si>
  <si>
    <t>POINT (104.644892 17.043359 0.0)</t>
  </si>
  <si>
    <t>LT120-SG-0100-10+200</t>
  </si>
  <si>
    <t>POINT (104.644524 17.04323 0.0)</t>
  </si>
  <si>
    <t>LT121-SG-0100-10+250</t>
  </si>
  <si>
    <t>POINT (104.644101 17.043069 0.0)</t>
  </si>
  <si>
    <t>LT122-SG-0100-10+300</t>
  </si>
  <si>
    <t>POINT (104.643712 17.042953 0.0)</t>
  </si>
  <si>
    <t>LT123-SG-0100-10+350</t>
  </si>
  <si>
    <t>POINT (104.643302 17.042811 0.0)</t>
  </si>
  <si>
    <t>LT124-SG-0100-10+400</t>
  </si>
  <si>
    <t>POINT (104.64291 17.04267 0.0)</t>
  </si>
  <si>
    <t>LT125-SG-0100-10+450</t>
  </si>
  <si>
    <t>POINT (104.64253 17.042548 0.0)</t>
  </si>
  <si>
    <t>LT126-SG-0100-10+500</t>
  </si>
  <si>
    <t>POINT (104.642116 17.042411 0.0)</t>
  </si>
  <si>
    <t>LT127-SG-0100-10+550</t>
  </si>
  <si>
    <t>POINT (104.641735 17.042275 0.0)</t>
  </si>
  <si>
    <t>LT128-SG-0100-10+600</t>
  </si>
  <si>
    <t>POINT (104.641342 17.042146 0.0)</t>
  </si>
  <si>
    <t>LT129-SG-0100-10+650</t>
  </si>
  <si>
    <t>POINT (104.640939 17.042006 0.0)</t>
  </si>
  <si>
    <t>LT130-SG-0100-10+700</t>
  </si>
  <si>
    <t>POINT (104.640552 17.041879 0.0)</t>
  </si>
  <si>
    <t>LT131-SG-0100-10+750</t>
  </si>
  <si>
    <t>POINT (104.640185 17.041748 0.0)</t>
  </si>
  <si>
    <t>LT132-SG-0100-10+800</t>
  </si>
  <si>
    <t>POINT (104.639746 17.041632 0.0)</t>
  </si>
  <si>
    <t>LT133-SG-0100-10+850</t>
  </si>
  <si>
    <t>POINT (104.639282 17.04159 0.0)</t>
  </si>
  <si>
    <t>LT134-SG-0100-10+900</t>
  </si>
  <si>
    <t>POINT (104.63886 17.04164 0.0)</t>
  </si>
  <si>
    <t>LT135-SG-0100-10+950</t>
  </si>
  <si>
    <t>POINT (104.638456 17.041723 0.0)</t>
  </si>
  <si>
    <t>LT136-SG-0100-11+000</t>
  </si>
  <si>
    <t>POINT (104.637664 17.041879 0.0)</t>
  </si>
  <si>
    <t>LT137-SG-0100-11+100</t>
  </si>
  <si>
    <t>POINT (104.63718 17.041979 0.0)</t>
  </si>
  <si>
    <t>LT138-SG-0100-11+150</t>
  </si>
  <si>
    <t>POINT (104.636703 17.042073 0.0)</t>
  </si>
  <si>
    <t>LT139-SG-0100-11+200</t>
  </si>
  <si>
    <t>POINT (104.636281 17.042155 0.0)</t>
  </si>
  <si>
    <t>LT140-SG-0100-11+250</t>
  </si>
  <si>
    <t>POINT (104.635839 17.042248 0.0)</t>
  </si>
  <si>
    <t>LT141-SG-0100-11+300</t>
  </si>
  <si>
    <t>POINT (104.635517 17.042315 0.0)</t>
  </si>
  <si>
    <t>LT142-SG-0100-11+350</t>
  </si>
  <si>
    <t>POINT (104.635051 17.0424 0.0)</t>
  </si>
  <si>
    <t>LT143-SG-0100-11+400</t>
  </si>
  <si>
    <t>POINT (104.634708 17.04248 0.0)</t>
  </si>
  <si>
    <t>LT144-SG-0100-11+450</t>
  </si>
  <si>
    <t>POINT (104.634296 17.042552 0.0)</t>
  </si>
  <si>
    <t>LT145-SG-0100-11+500</t>
  </si>
  <si>
    <t>POINT (104.63385 17.04265 0.0)</t>
  </si>
  <si>
    <t>LT146-SG-0100-11+550</t>
  </si>
  <si>
    <t>POINT (104.625427 17.042967 0.0)</t>
  </si>
  <si>
    <t>LT147-SG-0100-12+300</t>
  </si>
  <si>
    <t>POINT (104.624916 17.042984 0.0)</t>
  </si>
  <si>
    <t>LT148-SG-0100-12+350</t>
  </si>
  <si>
    <t>POINT (104.624495 17.042975 0.0)</t>
  </si>
  <si>
    <t>LT149-SG-0100-12+400</t>
  </si>
  <si>
    <t>POINT (104.624 17.042986 0.0)</t>
  </si>
  <si>
    <t>LT150-SG-0100-12+450</t>
  </si>
  <si>
    <t>POINT (104.623553 17.042997 0.0)</t>
  </si>
  <si>
    <t>LT151-SG-0100-12+500</t>
  </si>
  <si>
    <t>POINT (104.623058 17.042995 0.0)</t>
  </si>
  <si>
    <t>LT152-SG-0100-12+550</t>
  </si>
  <si>
    <t>POINT (104.62265 17.043005 0.0)</t>
  </si>
  <si>
    <t>LT153-SG-0100-12+600</t>
  </si>
  <si>
    <t>POINT (104.622212 17.043014 0.0)</t>
  </si>
  <si>
    <t>LT154-SG-0100-12+650</t>
  </si>
  <si>
    <t>POINT (104.621687 17.043009 0.0)</t>
  </si>
  <si>
    <t>LT155-SG-0100-12+700</t>
  </si>
  <si>
    <t>POINT (104.621327 17.043018 0.0)</t>
  </si>
  <si>
    <t>LT156-SG-0100-12+750</t>
  </si>
  <si>
    <t>POINT (104.620882 17.042999 0.0)</t>
  </si>
  <si>
    <t>LT157-SG-0100-12+800</t>
  </si>
  <si>
    <t>POINT (104.620415 17.042986 0.0)</t>
  </si>
  <si>
    <t>LT158-SG-0100-12+850</t>
  </si>
  <si>
    <t>POINT (104.619999 17.04297 0.0)</t>
  </si>
  <si>
    <t>LT159-SG-0100-12+900</t>
  </si>
  <si>
    <t>POINT (104.619456 17.042926 0.0)</t>
  </si>
  <si>
    <t>LT160-SG-0100-12+950</t>
  </si>
  <si>
    <t>POINT (104.619053 17.0429 0.0)</t>
  </si>
  <si>
    <t>LT161-SG-0100-13+000</t>
  </si>
  <si>
    <t>POINT (104.618598 17.042865 0.0)</t>
  </si>
  <si>
    <t>LT162-SG-0100-13+050</t>
  </si>
  <si>
    <t>POINT (104.618093 17.042846 0.0)</t>
  </si>
  <si>
    <t>LT163-SG-0100-13+100</t>
  </si>
  <si>
    <t>POINT (104.61773 17.042823 0.0)</t>
  </si>
  <si>
    <t>LT164-SG-0100-13+150</t>
  </si>
  <si>
    <t>POINT (104.617255 17.042791 0.0)</t>
  </si>
  <si>
    <t>LT165-SG-0100-13+200</t>
  </si>
  <si>
    <t>POINT (104.616696 17.042745 0.0)</t>
  </si>
  <si>
    <t>LT166-SG-0100-13+250</t>
  </si>
  <si>
    <t>POINT (104.6163 17.042714 0.0)</t>
  </si>
  <si>
    <t>LT167-SG-0100-13+300</t>
  </si>
  <si>
    <t>POINT (104.615775 17.042652 0.0)</t>
  </si>
  <si>
    <t>LT168-SG-0100-13+350</t>
  </si>
  <si>
    <t>POINT (104.615335 17.042536 0.0)</t>
  </si>
  <si>
    <t>LT169-SG-0100-13+400</t>
  </si>
  <si>
    <t>POINT (104.615032 17.042379 0.0)</t>
  </si>
  <si>
    <t>LT170-SG-0100-13+450</t>
  </si>
  <si>
    <t>POINT (104.614708 17.042136 0.0)</t>
  </si>
  <si>
    <t>LT171-SG-0100-13+500</t>
  </si>
  <si>
    <t>POINT (104.596488 17.025808 0.0)</t>
  </si>
  <si>
    <t>LT172-SG-0100-16+150</t>
  </si>
  <si>
    <t>POINT (104.596363 17.02546 0.0)</t>
  </si>
  <si>
    <t>LT173-SG-0100-16+190</t>
  </si>
  <si>
    <t>POINT (104.596253 17.025129 0.0)</t>
  </si>
  <si>
    <t>LT174-SG-0100-16+230</t>
  </si>
  <si>
    <t>POINT (104.596126 17.024777 0.0)</t>
  </si>
  <si>
    <t>LT175-SG-0100-16+270</t>
  </si>
  <si>
    <t>POINT (104.595947 17.024432 0.0)</t>
  </si>
  <si>
    <t>LT176-SG-0100-16+310</t>
  </si>
  <si>
    <t>POINT (104.595709 17.024113 0.0)</t>
  </si>
  <si>
    <t>LT177-SG-0100-15+350</t>
  </si>
  <si>
    <t>POINT (104.595471 17.023871 0.0)</t>
  </si>
  <si>
    <t>LT178-SG-0100-16+390</t>
  </si>
  <si>
    <t>POINT (104.595192 17.023636 0.0)</t>
  </si>
  <si>
    <t>LT179-SG-0100-16+430</t>
  </si>
  <si>
    <t>POINT (104.594901 17.023402 0.0)</t>
  </si>
  <si>
    <t>LT180-SG-0100-16+470</t>
  </si>
  <si>
    <t>POINT (104.594637 17.023143 0.0)</t>
  </si>
  <si>
    <t>LT181-SG-0100-16+510</t>
  </si>
  <si>
    <t>POINT (104.594358 17.022915 0.0)</t>
  </si>
  <si>
    <t>LT182-SG-0100-16+550</t>
  </si>
  <si>
    <t>POINT (104.594087 17.022663 0.0)</t>
  </si>
  <si>
    <t>LT183-SG-0100-16+590</t>
  </si>
  <si>
    <t>POINT (104.593804 17.022417 0.0)</t>
  </si>
  <si>
    <t>LT184-SG-0100-16+530</t>
  </si>
  <si>
    <t>POINT (104.593521 17.02218 0.0)</t>
  </si>
  <si>
    <t>LT185-SG-0100-16+570</t>
  </si>
  <si>
    <t>POINT (104.593283 17.021975 0.0)</t>
  </si>
  <si>
    <t>LT186-SG-0100-16+610</t>
  </si>
  <si>
    <t>POINT (104.593065 17.021783 0.0)</t>
  </si>
  <si>
    <t>LT187-SG-0100-15+650</t>
  </si>
  <si>
    <t>POINT (104.592781 17.021539 0.0)</t>
  </si>
  <si>
    <t>LT188-SG-0100-16+690</t>
  </si>
  <si>
    <t>POINT (104.592552 17.021311 0.0)</t>
  </si>
  <si>
    <t>LT189-SG-0100-16+730</t>
  </si>
  <si>
    <t>POINT (104.592307 17.021115 0.0)</t>
  </si>
  <si>
    <t>LT190-SG-0100-16+810</t>
  </si>
  <si>
    <t>POINT (104.592049 17.020877 0.0)</t>
  </si>
  <si>
    <t>LT191-SG-0100-16+850</t>
  </si>
  <si>
    <t>POINT (104.591796 17.020651 0.0)</t>
  </si>
  <si>
    <t>LT192-SG-0100-16+890</t>
  </si>
  <si>
    <t>POINT (104.591512 17.020401 0.0)</t>
  </si>
  <si>
    <t>LT194-SG-0100-16+950</t>
  </si>
  <si>
    <t>POINT (104.591165 17.020088 0.0)</t>
  </si>
  <si>
    <t>LT195-SG-0100-17+030</t>
  </si>
  <si>
    <t>POINT (104.586942 17.015231 149.69)</t>
  </si>
  <si>
    <t>LT196-SG-0100-17+700</t>
  </si>
  <si>
    <t>POINT (104.586719 17.014968 150.9)</t>
  </si>
  <si>
    <t>LT197-SG-0100-17+735</t>
  </si>
  <si>
    <t>POINT (104.586474 17.014741 152.09)</t>
  </si>
  <si>
    <t>LT198-SG-0100-17+770</t>
  </si>
  <si>
    <t>POINT (104.586207 17.014546 152.18)</t>
  </si>
  <si>
    <t>LT199-SG-0100-17+810</t>
  </si>
  <si>
    <t>POINT (104.585911 17.01438 152.04)</t>
  </si>
  <si>
    <t>LT200-SG-0100-17+845</t>
  </si>
  <si>
    <t>POINT (104.585613 17.014216 154.55)</t>
  </si>
  <si>
    <t>LT201-SG-0100-17+890</t>
  </si>
  <si>
    <t>POINT (104.585316 17.014059 156.79)</t>
  </si>
  <si>
    <t>LT202-SG-0100-17+945</t>
  </si>
  <si>
    <t>POINT (104.585059 17.013925 157.08)</t>
  </si>
  <si>
    <t>LT203-SG-0100-17+980</t>
  </si>
  <si>
    <t>POINT (104.584739 17.013752 153.89)</t>
  </si>
  <si>
    <t>LT204-SG-0100-18+020</t>
  </si>
  <si>
    <t>POINT (104.584428 17.013588 153.37)</t>
  </si>
  <si>
    <t>LT205-SG-0100-18+055</t>
  </si>
  <si>
    <t>POINT (104.568064 17.012956 0.0)</t>
  </si>
  <si>
    <t>LT206-SG-0100-19+800</t>
  </si>
  <si>
    <t>POINT (104.567774 17.013012 0.0)</t>
  </si>
  <si>
    <t>LT207-SG-0100-19+835</t>
  </si>
  <si>
    <t>POINT (104.567469 17.013067 148.93)</t>
  </si>
  <si>
    <t>LT208-SG-0100-19+870</t>
  </si>
  <si>
    <t>POINT (104.567233 17.013122 148.27)</t>
  </si>
  <si>
    <t>LT209-SG-0100-19+905</t>
  </si>
  <si>
    <t>POINT (104.567024 17.013169 148.1)</t>
  </si>
  <si>
    <t>LT210-SG-0100-19+945</t>
  </si>
  <si>
    <t>POINT (104.566675 17.013233 148.76)</t>
  </si>
  <si>
    <t>LT211-SG-0100-19+980</t>
  </si>
  <si>
    <t>POINT (104.566457 17.01328 148.9)</t>
  </si>
  <si>
    <t>LT212-SG-0100-20+015</t>
  </si>
  <si>
    <t>POINT (104.566129 17.013354 150.06)</t>
  </si>
  <si>
    <t>LT213-SG-0100-20+050</t>
  </si>
  <si>
    <t>POINT (104.565859 17.013416 149.63)</t>
  </si>
  <si>
    <t>LT214-SG-0100-20+085</t>
  </si>
  <si>
    <t>POINT (104.565577 17.013466 149.05)</t>
  </si>
  <si>
    <t>LT215-SG-0100-20+120</t>
  </si>
  <si>
    <t>POINT (104.565318 17.01351 149.7)</t>
  </si>
  <si>
    <t>LT216-SG-0100-20+145</t>
  </si>
  <si>
    <t>POINT (104.56501 17.013577 150.01)</t>
  </si>
  <si>
    <t>LT217-SG-0100-20+180</t>
  </si>
  <si>
    <t>POINT (104.56464 17.013722 147.54)</t>
  </si>
  <si>
    <t>CL3-DB-0100-20+200</t>
  </si>
  <si>
    <t>POINT (104.56442 17.013772 146.01)</t>
  </si>
  <si>
    <t>CL4-DB-0100-20+235</t>
  </si>
  <si>
    <t>POINT (104.564119 17.013841 144.57)</t>
  </si>
  <si>
    <t>CL5-DB-0100-20+270</t>
  </si>
  <si>
    <t>POINT (104.563843 17.013915 141.16)</t>
  </si>
  <si>
    <t>CL6-DB-0100-20+305</t>
  </si>
  <si>
    <t>POINT (104.563577 17.01398 139.99)</t>
  </si>
  <si>
    <t>CL7-DB-0100-20+240</t>
  </si>
  <si>
    <t>POINT (104.563276 17.014036 141.32)</t>
  </si>
  <si>
    <t>CL8-DB-0100-20+375</t>
  </si>
  <si>
    <t>POINT (104.562922 17.014107 142.34)</t>
  </si>
  <si>
    <t>CL9-DB-0100-20+415</t>
  </si>
  <si>
    <t>POINT (104.562609 17.014179 143.56)</t>
  </si>
  <si>
    <t>CL10-DB-0100-20+450</t>
  </si>
  <si>
    <t>POINT (104.562361 17.01422 144.98)</t>
  </si>
  <si>
    <t>CL11-DB-0100-20+485</t>
  </si>
  <si>
    <t>POINT (104.562078 17.01427 145.79)</t>
  </si>
  <si>
    <t>CL12-DB-0100-20+515</t>
  </si>
  <si>
    <t>POINT (104.561799 17.014331 145.3)</t>
  </si>
  <si>
    <t>CL13-DB-0100-20+550</t>
  </si>
  <si>
    <t>POINT (104.561514 17.014395 145.18)</t>
  </si>
  <si>
    <t>CL14-DB-0100-20+585</t>
  </si>
  <si>
    <t>POINT (104.561224 17.014462 145.87)</t>
  </si>
  <si>
    <t>CL15-DB-0100-20+615</t>
  </si>
  <si>
    <t>POINT (104.560951 17.014509 147.46)</t>
  </si>
  <si>
    <t>CL16-DB-0100-20+650</t>
  </si>
  <si>
    <t>POINT (104.560671 17.014572 149.5)</t>
  </si>
  <si>
    <t>CL17-DB-0100-20+685</t>
  </si>
  <si>
    <t>POINT (104.560389 17.014631 150.81)</t>
  </si>
  <si>
    <t>CL18-DB-0100-20+715</t>
  </si>
  <si>
    <t>POINT (104.560105 17.014689 151.05)</t>
  </si>
  <si>
    <t>CL19-DB-0100-20+730</t>
  </si>
  <si>
    <t>POINT (104.559759 17.01464 151.04)</t>
  </si>
  <si>
    <t>LT218-SG-0100-20+750</t>
  </si>
  <si>
    <t>POINT (104.559478 17.014722 150.29)</t>
  </si>
  <si>
    <t>LT219-SG-0100-20+785</t>
  </si>
  <si>
    <t>POINT (104.559276 17.014768 150.37)</t>
  </si>
  <si>
    <t>LT220-SG-0100-20+820</t>
  </si>
  <si>
    <t>POINT (104.558903 17.014857 151.02)</t>
  </si>
  <si>
    <t>LT221-SG-0100-20+855</t>
  </si>
  <si>
    <t>POINT (104.54204 17.018712 0.0)</t>
  </si>
  <si>
    <t>LT222-SG-0100-22+700</t>
  </si>
  <si>
    <t>POINT (104.541495 17.018748 157.53)</t>
  </si>
  <si>
    <t>LT223-SG-0100-22+735</t>
  </si>
  <si>
    <t>POINT (104.540575 17.018814 0.0)</t>
  </si>
  <si>
    <t>LT224-SG-0100-22+830</t>
  </si>
  <si>
    <t>POINT (104.540201 17.018853 157.59)</t>
  </si>
  <si>
    <t>LT225-SG-0100-22+865</t>
  </si>
  <si>
    <t>POINT (104.539781 17.018903 157.32)</t>
  </si>
  <si>
    <t>LT226-SG-0100-22+900</t>
  </si>
  <si>
    <t>ประเภทโคมไฟ</t>
  </si>
  <si>
    <t>ทิศทางที่ตั้ง (LT/RT/MD)</t>
  </si>
  <si>
    <t>สถานะ</t>
  </si>
  <si>
    <t>ชนิดของหลอดไฟ</t>
  </si>
  <si>
    <t>ตู้คอนโทรล</t>
  </si>
  <si>
    <t>วันที่ก่อสร้าง</t>
  </si>
  <si>
    <t>สัญญาที่</t>
  </si>
  <si>
    <t>สายทาง</t>
  </si>
  <si>
    <t>ตอนควบคุม</t>
  </si>
  <si>
    <t>กม.</t>
  </si>
  <si>
    <t>วันที่ซ่อมครั้งล่าสุด</t>
  </si>
  <si>
    <t>สาเหตุการเสียหาย</t>
  </si>
  <si>
    <t>วิธีการซ่อม</t>
  </si>
  <si>
    <t>หมายเหตุ</t>
  </si>
  <si>
    <t>Lat</t>
  </si>
  <si>
    <t>Long</t>
  </si>
  <si>
    <t>104.7273</t>
  </si>
  <si>
    <t xml:space="preserve"> 17.0179</t>
  </si>
  <si>
    <t>LT1</t>
  </si>
  <si>
    <t>SG</t>
  </si>
  <si>
    <t>0+015</t>
  </si>
  <si>
    <t>104.7274</t>
  </si>
  <si>
    <t xml:space="preserve"> 17.0180</t>
  </si>
  <si>
    <t>CL1</t>
  </si>
  <si>
    <t>DB</t>
  </si>
  <si>
    <t>104.7271</t>
  </si>
  <si>
    <t xml:space="preserve"> 17.0182</t>
  </si>
  <si>
    <t>LT2</t>
  </si>
  <si>
    <t>0+055</t>
  </si>
  <si>
    <t>104.7272</t>
  </si>
  <si>
    <t>17.0182</t>
  </si>
  <si>
    <t>CL2</t>
  </si>
  <si>
    <t>0+050</t>
  </si>
  <si>
    <t>104.7266</t>
  </si>
  <si>
    <t xml:space="preserve"> 17.0184</t>
  </si>
  <si>
    <t>LT3</t>
  </si>
  <si>
    <t>0+100</t>
  </si>
  <si>
    <t>104.7263</t>
  </si>
  <si>
    <t xml:space="preserve"> 17.0186</t>
  </si>
  <si>
    <t>LT4</t>
  </si>
  <si>
    <t>0+135</t>
  </si>
  <si>
    <t>104.7259</t>
  </si>
  <si>
    <t xml:space="preserve"> 17.0188</t>
  </si>
  <si>
    <t>LT5</t>
  </si>
  <si>
    <t>0+185</t>
  </si>
  <si>
    <t>104.7255</t>
  </si>
  <si>
    <t xml:space="preserve"> 17.0191</t>
  </si>
  <si>
    <t>LT6</t>
  </si>
  <si>
    <t>0+235</t>
  </si>
  <si>
    <t>104.7251</t>
  </si>
  <si>
    <t xml:space="preserve"> 17.0193</t>
  </si>
  <si>
    <t>LT7</t>
  </si>
  <si>
    <t>0+285</t>
  </si>
  <si>
    <t>104.7246</t>
  </si>
  <si>
    <t>17.0195</t>
  </si>
  <si>
    <t>LT8</t>
  </si>
  <si>
    <t>0+335</t>
  </si>
  <si>
    <t>104.7242</t>
  </si>
  <si>
    <t xml:space="preserve"> 17.0197</t>
  </si>
  <si>
    <t>LT9</t>
  </si>
  <si>
    <t>0+385</t>
  </si>
  <si>
    <t>104.7238</t>
  </si>
  <si>
    <t>17.0200</t>
  </si>
  <si>
    <t>LT10</t>
  </si>
  <si>
    <t>0+435</t>
  </si>
  <si>
    <t>104.7234</t>
  </si>
  <si>
    <t xml:space="preserve"> 17.0202</t>
  </si>
  <si>
    <t>LT11</t>
  </si>
  <si>
    <t>0+485</t>
  </si>
  <si>
    <t>104.7229</t>
  </si>
  <si>
    <t xml:space="preserve"> 17.0204</t>
  </si>
  <si>
    <t>LT12</t>
  </si>
  <si>
    <t>0+535</t>
  </si>
  <si>
    <t>104.7225</t>
  </si>
  <si>
    <t xml:space="preserve"> 17.0207</t>
  </si>
  <si>
    <t>LT13</t>
  </si>
  <si>
    <t>0+585</t>
  </si>
  <si>
    <t>104.7221</t>
  </si>
  <si>
    <t xml:space="preserve"> 17.0209</t>
  </si>
  <si>
    <t>LT14</t>
  </si>
  <si>
    <t>0+635</t>
  </si>
  <si>
    <t>104.7217</t>
  </si>
  <si>
    <t xml:space="preserve"> 17.0211</t>
  </si>
  <si>
    <t>LT15</t>
  </si>
  <si>
    <t>0+685</t>
  </si>
  <si>
    <t>104.7212</t>
  </si>
  <si>
    <t xml:space="preserve"> 17.0214</t>
  </si>
  <si>
    <t>LT16</t>
  </si>
  <si>
    <t>0+735</t>
  </si>
  <si>
    <t>104.7208</t>
  </si>
  <si>
    <t xml:space="preserve"> 17.0216</t>
  </si>
  <si>
    <t>LT17</t>
  </si>
  <si>
    <t>0+785</t>
  </si>
  <si>
    <t>104.7204</t>
  </si>
  <si>
    <t>17.0218</t>
  </si>
  <si>
    <t>LT18</t>
  </si>
  <si>
    <t>0+935</t>
  </si>
  <si>
    <t>104.7199</t>
  </si>
  <si>
    <t>17.0221</t>
  </si>
  <si>
    <t>LT19</t>
  </si>
  <si>
    <t>0+985</t>
  </si>
  <si>
    <t>104.7195</t>
  </si>
  <si>
    <t xml:space="preserve"> 17.0223</t>
  </si>
  <si>
    <t>LT20</t>
  </si>
  <si>
    <t>1+035</t>
  </si>
  <si>
    <t>104.7191</t>
  </si>
  <si>
    <t xml:space="preserve"> 17.0226</t>
  </si>
  <si>
    <t>LT21</t>
  </si>
  <si>
    <t>1+085</t>
  </si>
  <si>
    <t>104.7164</t>
  </si>
  <si>
    <t xml:space="preserve"> 17.0247</t>
  </si>
  <si>
    <t>LT23</t>
  </si>
  <si>
    <t>1+450</t>
  </si>
  <si>
    <t>104.7167</t>
  </si>
  <si>
    <t>17.0245</t>
  </si>
  <si>
    <t>LT22</t>
  </si>
  <si>
    <t>1+400</t>
  </si>
  <si>
    <t>104.7161</t>
  </si>
  <si>
    <t xml:space="preserve"> 17.0249</t>
  </si>
  <si>
    <t>LT24</t>
  </si>
  <si>
    <t>1+500</t>
  </si>
  <si>
    <t>104.7159</t>
  </si>
  <si>
    <t xml:space="preserve"> 17.0251</t>
  </si>
  <si>
    <t>LT25</t>
  </si>
  <si>
    <t>1+550</t>
  </si>
  <si>
    <t>104.7156</t>
  </si>
  <si>
    <t>17.0253</t>
  </si>
  <si>
    <t>LT26</t>
  </si>
  <si>
    <t>1+600</t>
  </si>
  <si>
    <t>104.7153</t>
  </si>
  <si>
    <t>17.0255</t>
  </si>
  <si>
    <t>LT27</t>
  </si>
  <si>
    <t>1+650</t>
  </si>
  <si>
    <t>104.7151</t>
  </si>
  <si>
    <t>17.0257</t>
  </si>
  <si>
    <t>LT28</t>
  </si>
  <si>
    <t>1+700</t>
  </si>
  <si>
    <t>104.7148</t>
  </si>
  <si>
    <t xml:space="preserve"> 17.0259</t>
  </si>
  <si>
    <t>LT29</t>
  </si>
  <si>
    <t>1+750</t>
  </si>
  <si>
    <t>104.7143</t>
  </si>
  <si>
    <t xml:space="preserve"> 17.0263</t>
  </si>
  <si>
    <t>LT30</t>
  </si>
  <si>
    <t>1+820</t>
  </si>
  <si>
    <t>104.7138</t>
  </si>
  <si>
    <t xml:space="preserve"> 17.0267</t>
  </si>
  <si>
    <t>LT31</t>
  </si>
  <si>
    <t>1+890</t>
  </si>
  <si>
    <t>104.7135</t>
  </si>
  <si>
    <t xml:space="preserve"> 17.0269</t>
  </si>
  <si>
    <t>LT32</t>
  </si>
  <si>
    <t>1+925</t>
  </si>
  <si>
    <t>104.7132</t>
  </si>
  <si>
    <t>17.0271</t>
  </si>
  <si>
    <t>LT33</t>
  </si>
  <si>
    <t>1+965</t>
  </si>
  <si>
    <t>104.7129</t>
  </si>
  <si>
    <t xml:space="preserve"> 17.0273</t>
  </si>
  <si>
    <t>LT34</t>
  </si>
  <si>
    <t>2+010</t>
  </si>
  <si>
    <t>104.7127</t>
  </si>
  <si>
    <t xml:space="preserve"> 17.0275</t>
  </si>
  <si>
    <t>LT35</t>
  </si>
  <si>
    <t>2+050</t>
  </si>
  <si>
    <t>104.7124</t>
  </si>
  <si>
    <t xml:space="preserve"> 17.0277</t>
  </si>
  <si>
    <t>LT36</t>
  </si>
  <si>
    <t>2+090</t>
  </si>
  <si>
    <t>104.7121</t>
  </si>
  <si>
    <t>17.0279</t>
  </si>
  <si>
    <t>LT37</t>
  </si>
  <si>
    <t>2+130</t>
  </si>
  <si>
    <t>104.7119</t>
  </si>
  <si>
    <t xml:space="preserve"> 17.0281</t>
  </si>
  <si>
    <t>LT38</t>
  </si>
  <si>
    <t>2+160</t>
  </si>
  <si>
    <t>104.7112</t>
  </si>
  <si>
    <t xml:space="preserve"> 17.0287</t>
  </si>
  <si>
    <t>LT39</t>
  </si>
  <si>
    <t>2+260</t>
  </si>
  <si>
    <t>104.7107</t>
  </si>
  <si>
    <t xml:space="preserve"> 17.0290</t>
  </si>
  <si>
    <t>LT40</t>
  </si>
  <si>
    <t>2+320</t>
  </si>
  <si>
    <t>104.7102</t>
  </si>
  <si>
    <t xml:space="preserve"> 17.0294</t>
  </si>
  <si>
    <t>LT41</t>
  </si>
  <si>
    <t>2+380</t>
  </si>
  <si>
    <t>104.7097</t>
  </si>
  <si>
    <t xml:space="preserve"> 17.0298</t>
  </si>
  <si>
    <t>LT42</t>
  </si>
  <si>
    <t>2+450</t>
  </si>
  <si>
    <t>104.7092</t>
  </si>
  <si>
    <t xml:space="preserve"> 17.0302</t>
  </si>
  <si>
    <t>LT43</t>
  </si>
  <si>
    <t>2+520</t>
  </si>
  <si>
    <t>104.7089</t>
  </si>
  <si>
    <t xml:space="preserve"> 17.0305</t>
  </si>
  <si>
    <t>LT44</t>
  </si>
  <si>
    <t>2+590</t>
  </si>
  <si>
    <t>104.7065</t>
  </si>
  <si>
    <t xml:space="preserve"> 17.0325</t>
  </si>
  <si>
    <t>LT45</t>
  </si>
  <si>
    <t>2+750</t>
  </si>
  <si>
    <t>104.7062</t>
  </si>
  <si>
    <t xml:space="preserve"> 17.0328</t>
  </si>
  <si>
    <t>LT46</t>
  </si>
  <si>
    <t>2+800</t>
  </si>
  <si>
    <t>104.7058</t>
  </si>
  <si>
    <t xml:space="preserve"> 17.0331</t>
  </si>
  <si>
    <t>LT47</t>
  </si>
  <si>
    <t>2+850</t>
  </si>
  <si>
    <t>104.7054</t>
  </si>
  <si>
    <t xml:space="preserve"> 17.0333</t>
  </si>
  <si>
    <t>LT48</t>
  </si>
  <si>
    <t>2+900</t>
  </si>
  <si>
    <t>104.7051</t>
  </si>
  <si>
    <t xml:space="preserve"> 17.0336</t>
  </si>
  <si>
    <t>LT49</t>
  </si>
  <si>
    <t>2+950</t>
  </si>
  <si>
    <t>104.7047</t>
  </si>
  <si>
    <t xml:space="preserve"> 17.0339</t>
  </si>
  <si>
    <t>LT50</t>
  </si>
  <si>
    <t>3+000</t>
  </si>
  <si>
    <t>104.7043</t>
  </si>
  <si>
    <t xml:space="preserve"> 17.0343</t>
  </si>
  <si>
    <t>LT51</t>
  </si>
  <si>
    <t>3+050</t>
  </si>
  <si>
    <t>104.7039</t>
  </si>
  <si>
    <t xml:space="preserve"> 17.0346</t>
  </si>
  <si>
    <t>LT52</t>
  </si>
  <si>
    <t>3+100</t>
  </si>
  <si>
    <t>104.6949</t>
  </si>
  <si>
    <t xml:space="preserve"> 17.0419</t>
  </si>
  <si>
    <t>LT53</t>
  </si>
  <si>
    <t>4+350</t>
  </si>
  <si>
    <t>104.6945</t>
  </si>
  <si>
    <t xml:space="preserve"> 17.0422</t>
  </si>
  <si>
    <t>LT54</t>
  </si>
  <si>
    <t>4+400</t>
  </si>
  <si>
    <t>104.6942</t>
  </si>
  <si>
    <t xml:space="preserve"> 17.0425</t>
  </si>
  <si>
    <t>LT55</t>
  </si>
  <si>
    <t>4+450</t>
  </si>
  <si>
    <t>104.6939</t>
  </si>
  <si>
    <t xml:space="preserve"> 17.0427</t>
  </si>
  <si>
    <t>LT56</t>
  </si>
  <si>
    <t>4+500</t>
  </si>
  <si>
    <t>104.6936</t>
  </si>
  <si>
    <t xml:space="preserve"> 17.0430</t>
  </si>
  <si>
    <t>LT57</t>
  </si>
  <si>
    <t>4+550</t>
  </si>
  <si>
    <t>104.6932</t>
  </si>
  <si>
    <t xml:space="preserve"> 17.0432</t>
  </si>
  <si>
    <t>LT58</t>
  </si>
  <si>
    <t>4+600</t>
  </si>
  <si>
    <t>104.6929</t>
  </si>
  <si>
    <t xml:space="preserve"> 17.0435</t>
  </si>
  <si>
    <t>LT59</t>
  </si>
  <si>
    <t>4+650</t>
  </si>
  <si>
    <t>104.6925</t>
  </si>
  <si>
    <t xml:space="preserve"> 17.0439</t>
  </si>
  <si>
    <t>LT60</t>
  </si>
  <si>
    <t>4+700</t>
  </si>
  <si>
    <t>104.6921</t>
  </si>
  <si>
    <t xml:space="preserve"> 17.0441</t>
  </si>
  <si>
    <t>LT61</t>
  </si>
  <si>
    <t>4+750</t>
  </si>
  <si>
    <t>104.6917</t>
  </si>
  <si>
    <t>17.0445</t>
  </si>
  <si>
    <t>LT62</t>
  </si>
  <si>
    <t>4+800</t>
  </si>
  <si>
    <t>104.6914</t>
  </si>
  <si>
    <t xml:space="preserve"> 17.0447</t>
  </si>
  <si>
    <t>LT63</t>
  </si>
  <si>
    <t>4+850</t>
  </si>
  <si>
    <t>104.6910</t>
  </si>
  <si>
    <t xml:space="preserve"> 17.0451</t>
  </si>
  <si>
    <t>LT64</t>
  </si>
  <si>
    <t>4+900</t>
  </si>
  <si>
    <t>104.6906</t>
  </si>
  <si>
    <t xml:space="preserve"> 17.0454</t>
  </si>
  <si>
    <t>LT65</t>
  </si>
  <si>
    <t>4+950</t>
  </si>
  <si>
    <t>104.6902</t>
  </si>
  <si>
    <t xml:space="preserve"> 17.0457</t>
  </si>
  <si>
    <t>LT66</t>
  </si>
  <si>
    <t>5+010</t>
  </si>
  <si>
    <t>104.6898</t>
  </si>
  <si>
    <t xml:space="preserve"> 17.0460</t>
  </si>
  <si>
    <t>LT67</t>
  </si>
  <si>
    <t>5+050</t>
  </si>
  <si>
    <t>104.6895</t>
  </si>
  <si>
    <t xml:space="preserve"> 17.0463</t>
  </si>
  <si>
    <t>LT68</t>
  </si>
  <si>
    <t>5+100</t>
  </si>
  <si>
    <t>104.6891</t>
  </si>
  <si>
    <t xml:space="preserve"> 17.0466</t>
  </si>
  <si>
    <t>LT69</t>
  </si>
  <si>
    <t>5+150</t>
  </si>
  <si>
    <t>104.6888</t>
  </si>
  <si>
    <t xml:space="preserve"> 17.0469</t>
  </si>
  <si>
    <t>LT70</t>
  </si>
  <si>
    <t>5+200</t>
  </si>
  <si>
    <t>104.6884</t>
  </si>
  <si>
    <t xml:space="preserve"> 17.0472</t>
  </si>
  <si>
    <t>LT71</t>
  </si>
  <si>
    <t>5+250</t>
  </si>
  <si>
    <t>104.6880</t>
  </si>
  <si>
    <t>17.0475</t>
  </si>
  <si>
    <t>LT72</t>
  </si>
  <si>
    <t>5+300</t>
  </si>
  <si>
    <t>104.6876</t>
  </si>
  <si>
    <t xml:space="preserve"> 17.0478</t>
  </si>
  <si>
    <t>LT73</t>
  </si>
  <si>
    <t>5+350</t>
  </si>
  <si>
    <t>104.6873</t>
  </si>
  <si>
    <t xml:space="preserve"> 17.0481</t>
  </si>
  <si>
    <t>LT74</t>
  </si>
  <si>
    <t>5+400</t>
  </si>
  <si>
    <t>104.6869</t>
  </si>
  <si>
    <t xml:space="preserve"> 17.0484</t>
  </si>
  <si>
    <t>LT75</t>
  </si>
  <si>
    <t>5+450</t>
  </si>
  <si>
    <t>104.6865</t>
  </si>
  <si>
    <t xml:space="preserve"> 17.0487</t>
  </si>
  <si>
    <t>LT76</t>
  </si>
  <si>
    <t>5+500</t>
  </si>
  <si>
    <t>104.6862</t>
  </si>
  <si>
    <t xml:space="preserve"> 17.0490</t>
  </si>
  <si>
    <t>LT77</t>
  </si>
  <si>
    <t>5+550</t>
  </si>
  <si>
    <t>104.6857</t>
  </si>
  <si>
    <t xml:space="preserve"> 17.0492</t>
  </si>
  <si>
    <t>LT78</t>
  </si>
  <si>
    <t>5+600</t>
  </si>
  <si>
    <t>104.6852</t>
  </si>
  <si>
    <t xml:space="preserve"> 17.0493</t>
  </si>
  <si>
    <t>LT79</t>
  </si>
  <si>
    <t>5+650</t>
  </si>
  <si>
    <t>104.6848</t>
  </si>
  <si>
    <t xml:space="preserve"> 17.0494</t>
  </si>
  <si>
    <t>LT80</t>
  </si>
  <si>
    <t>5+700</t>
  </si>
  <si>
    <t>104.6838</t>
  </si>
  <si>
    <t xml:space="preserve"> 17.0496</t>
  </si>
  <si>
    <t>LT81</t>
  </si>
  <si>
    <t>5+800</t>
  </si>
  <si>
    <t>104.6834</t>
  </si>
  <si>
    <t>17.0496</t>
  </si>
  <si>
    <t>LT82</t>
  </si>
  <si>
    <t>5+850</t>
  </si>
  <si>
    <t>104.6829</t>
  </si>
  <si>
    <t xml:space="preserve"> 17.0498</t>
  </si>
  <si>
    <t>LT83</t>
  </si>
  <si>
    <t>5+900</t>
  </si>
  <si>
    <t>104.6824</t>
  </si>
  <si>
    <t xml:space="preserve"> 17.0499</t>
  </si>
  <si>
    <t>LT84</t>
  </si>
  <si>
    <t>5+950</t>
  </si>
  <si>
    <t>104.6820</t>
  </si>
  <si>
    <t xml:space="preserve"> 17.0500</t>
  </si>
  <si>
    <t>LT85</t>
  </si>
  <si>
    <t>6+000</t>
  </si>
  <si>
    <t>104.6815</t>
  </si>
  <si>
    <t xml:space="preserve"> 17.0501</t>
  </si>
  <si>
    <t>LT86</t>
  </si>
  <si>
    <t>6+050</t>
  </si>
  <si>
    <t>104.6810</t>
  </si>
  <si>
    <t>LT87</t>
  </si>
  <si>
    <t>6+100</t>
  </si>
  <si>
    <t>104.6802</t>
  </si>
  <si>
    <t>LT88</t>
  </si>
  <si>
    <t>6+150</t>
  </si>
  <si>
    <t>104.6719</t>
  </si>
  <si>
    <t>LT89</t>
  </si>
  <si>
    <t>7+300</t>
  </si>
  <si>
    <t>104.6714</t>
  </si>
  <si>
    <t xml:space="preserve"> 17.0453</t>
  </si>
  <si>
    <t>LT90</t>
  </si>
  <si>
    <t>7+350</t>
  </si>
  <si>
    <t>104.6709</t>
  </si>
  <si>
    <t>LT91</t>
  </si>
  <si>
    <t>7+400</t>
  </si>
  <si>
    <t>104.6704</t>
  </si>
  <si>
    <t>LT92</t>
  </si>
  <si>
    <t>7+450</t>
  </si>
  <si>
    <t>104.6699</t>
  </si>
  <si>
    <t>17.0453</t>
  </si>
  <si>
    <t>LT93</t>
  </si>
  <si>
    <t>7+500</t>
  </si>
  <si>
    <t>104.6694</t>
  </si>
  <si>
    <t>LT94</t>
  </si>
  <si>
    <t>7+550</t>
  </si>
  <si>
    <t>104.6689</t>
  </si>
  <si>
    <t>LT95</t>
  </si>
  <si>
    <t>7+600</t>
  </si>
  <si>
    <t>104.6675</t>
  </si>
  <si>
    <t>LT96</t>
  </si>
  <si>
    <t>7+750</t>
  </si>
  <si>
    <t>104.6665</t>
  </si>
  <si>
    <t>LT97</t>
  </si>
  <si>
    <t>7+850</t>
  </si>
  <si>
    <t>104.6660</t>
  </si>
  <si>
    <t>LT98</t>
  </si>
  <si>
    <t>7+900</t>
  </si>
  <si>
    <t>104.6656</t>
  </si>
  <si>
    <t>LT99</t>
  </si>
  <si>
    <t>7+950</t>
  </si>
  <si>
    <t>104.6651</t>
  </si>
  <si>
    <t>LT100</t>
  </si>
  <si>
    <t>8+020</t>
  </si>
  <si>
    <t>104.6646</t>
  </si>
  <si>
    <t>LT101</t>
  </si>
  <si>
    <t>8+050</t>
  </si>
  <si>
    <t>104.6641</t>
  </si>
  <si>
    <t>LT102</t>
  </si>
  <si>
    <t>8+100</t>
  </si>
  <si>
    <t>104.6635</t>
  </si>
  <si>
    <t>LT103</t>
  </si>
  <si>
    <t>8+150</t>
  </si>
  <si>
    <t>104.6631</t>
  </si>
  <si>
    <t>LT104</t>
  </si>
  <si>
    <t>8+200</t>
  </si>
  <si>
    <t>104.6626</t>
  </si>
  <si>
    <t>LT105</t>
  </si>
  <si>
    <t>8+250</t>
  </si>
  <si>
    <t>104.6621</t>
  </si>
  <si>
    <t>LT106</t>
  </si>
  <si>
    <t>8+300</t>
  </si>
  <si>
    <t>104.6617</t>
  </si>
  <si>
    <t>LT107</t>
  </si>
  <si>
    <t>8+350</t>
  </si>
  <si>
    <t>104.6612</t>
  </si>
  <si>
    <t>LT108</t>
  </si>
  <si>
    <t>8+400</t>
  </si>
  <si>
    <t>104.6607</t>
  </si>
  <si>
    <t>LT109</t>
  </si>
  <si>
    <t>8+450</t>
  </si>
  <si>
    <t>104.6602</t>
  </si>
  <si>
    <t>LT110</t>
  </si>
  <si>
    <t>8+500</t>
  </si>
  <si>
    <t>104.6596</t>
  </si>
  <si>
    <t>LT111</t>
  </si>
  <si>
    <t>8+550</t>
  </si>
  <si>
    <t>104.6592</t>
  </si>
  <si>
    <t>LT112</t>
  </si>
  <si>
    <t>8+600</t>
  </si>
  <si>
    <t>104.6587</t>
  </si>
  <si>
    <t>LT113</t>
  </si>
  <si>
    <t>8+650</t>
  </si>
  <si>
    <t>104.6471</t>
  </si>
  <si>
    <t>LT114</t>
  </si>
  <si>
    <t>9+950</t>
  </si>
  <si>
    <t>104.6468</t>
  </si>
  <si>
    <t>17.0438</t>
  </si>
  <si>
    <t>LT115</t>
  </si>
  <si>
    <t>9+985</t>
  </si>
  <si>
    <t>104.6464</t>
  </si>
  <si>
    <t xml:space="preserve"> 17.0437</t>
  </si>
  <si>
    <t>LT116</t>
  </si>
  <si>
    <t>10+020</t>
  </si>
  <si>
    <t>104.6460</t>
  </si>
  <si>
    <t xml:space="preserve"> 17.0436</t>
  </si>
  <si>
    <t>LT117</t>
  </si>
  <si>
    <t>10+050</t>
  </si>
  <si>
    <t>104.6457</t>
  </si>
  <si>
    <t>LT118</t>
  </si>
  <si>
    <t>10+100</t>
  </si>
  <si>
    <t>104.6453</t>
  </si>
  <si>
    <t>17.0434</t>
  </si>
  <si>
    <t>LT119</t>
  </si>
  <si>
    <t>10+150</t>
  </si>
  <si>
    <t>104.6448</t>
  </si>
  <si>
    <t xml:space="preserve"> 17.0433</t>
  </si>
  <si>
    <t>LT120</t>
  </si>
  <si>
    <t>10+200</t>
  </si>
  <si>
    <t>104.6445</t>
  </si>
  <si>
    <t>LT121</t>
  </si>
  <si>
    <t>10+250</t>
  </si>
  <si>
    <t>104.6441</t>
  </si>
  <si>
    <t>LT122</t>
  </si>
  <si>
    <t>10+300</t>
  </si>
  <si>
    <t>104.6437</t>
  </si>
  <si>
    <t xml:space="preserve"> 17.0429</t>
  </si>
  <si>
    <t>LT123</t>
  </si>
  <si>
    <t>10+350</t>
  </si>
  <si>
    <t>104.6433</t>
  </si>
  <si>
    <t xml:space="preserve"> 17.0428</t>
  </si>
  <si>
    <t>LT124</t>
  </si>
  <si>
    <t>10+400</t>
  </si>
  <si>
    <t>104.6429</t>
  </si>
  <si>
    <t>17.0426</t>
  </si>
  <si>
    <t>LT125</t>
  </si>
  <si>
    <t>10+450</t>
  </si>
  <si>
    <t>104.6425</t>
  </si>
  <si>
    <t>17.0425</t>
  </si>
  <si>
    <t>LT126</t>
  </si>
  <si>
    <t>10+500</t>
  </si>
  <si>
    <t>104.6421</t>
  </si>
  <si>
    <t xml:space="preserve"> 17.0424</t>
  </si>
  <si>
    <t>LT127</t>
  </si>
  <si>
    <t>10+550</t>
  </si>
  <si>
    <t>104.6417</t>
  </si>
  <si>
    <t>LT128</t>
  </si>
  <si>
    <t>10+600</t>
  </si>
  <si>
    <t>104.6413</t>
  </si>
  <si>
    <t xml:space="preserve"> 17.0421</t>
  </si>
  <si>
    <t>LT129</t>
  </si>
  <si>
    <t>10+650</t>
  </si>
  <si>
    <t>104.6409</t>
  </si>
  <si>
    <t xml:space="preserve"> 17.0420</t>
  </si>
  <si>
    <t>LT130</t>
  </si>
  <si>
    <t>10+700</t>
  </si>
  <si>
    <t>104.6405</t>
  </si>
  <si>
    <t xml:space="preserve"> 17.0418</t>
  </si>
  <si>
    <t>LT131</t>
  </si>
  <si>
    <t>10+750</t>
  </si>
  <si>
    <t>104.6401</t>
  </si>
  <si>
    <t xml:space="preserve"> 17.0417</t>
  </si>
  <si>
    <t>LT132</t>
  </si>
  <si>
    <t>10+800</t>
  </si>
  <si>
    <t>104.6397</t>
  </si>
  <si>
    <t xml:space="preserve"> 17.0416</t>
  </si>
  <si>
    <t>LT133</t>
  </si>
  <si>
    <t>10+850</t>
  </si>
  <si>
    <t>104.6392</t>
  </si>
  <si>
    <t xml:space="preserve"> 17.0415</t>
  </si>
  <si>
    <t>LT134</t>
  </si>
  <si>
    <t>10+900</t>
  </si>
  <si>
    <t>104.6388</t>
  </si>
  <si>
    <t>17.0416</t>
  </si>
  <si>
    <t>LT135</t>
  </si>
  <si>
    <t>10+950</t>
  </si>
  <si>
    <t>104.6384</t>
  </si>
  <si>
    <t>LT136</t>
  </si>
  <si>
    <t>11+000</t>
  </si>
  <si>
    <t>104.6376</t>
  </si>
  <si>
    <t>LT137</t>
  </si>
  <si>
    <t>11+100</t>
  </si>
  <si>
    <t>104.6371</t>
  </si>
  <si>
    <t>17.0419</t>
  </si>
  <si>
    <t>LT138</t>
  </si>
  <si>
    <t>11+150</t>
  </si>
  <si>
    <t>104.6367</t>
  </si>
  <si>
    <t>LT139</t>
  </si>
  <si>
    <t>11+200</t>
  </si>
  <si>
    <t>104.6362</t>
  </si>
  <si>
    <t>LT140</t>
  </si>
  <si>
    <t>11+250</t>
  </si>
  <si>
    <t>104.6358</t>
  </si>
  <si>
    <t>LT141</t>
  </si>
  <si>
    <t>11+300</t>
  </si>
  <si>
    <t>104.6355</t>
  </si>
  <si>
    <t xml:space="preserve"> 17.0423</t>
  </si>
  <si>
    <t>LT142</t>
  </si>
  <si>
    <t>11+350</t>
  </si>
  <si>
    <t>104.6350</t>
  </si>
  <si>
    <t>LT143</t>
  </si>
  <si>
    <t>11+400</t>
  </si>
  <si>
    <t>104.6347</t>
  </si>
  <si>
    <t>LT144</t>
  </si>
  <si>
    <t>11+450</t>
  </si>
  <si>
    <t>104.6342</t>
  </si>
  <si>
    <t>LT145</t>
  </si>
  <si>
    <t>11+500</t>
  </si>
  <si>
    <t>104.6338</t>
  </si>
  <si>
    <t>LT146</t>
  </si>
  <si>
    <t>11+550</t>
  </si>
  <si>
    <t>104.6254</t>
  </si>
  <si>
    <t>LT147</t>
  </si>
  <si>
    <t>12+300</t>
  </si>
  <si>
    <t>104.6249</t>
  </si>
  <si>
    <t>LT148</t>
  </si>
  <si>
    <t>12+350</t>
  </si>
  <si>
    <t>104.6244</t>
  </si>
  <si>
    <t>LT149</t>
  </si>
  <si>
    <t>12+400</t>
  </si>
  <si>
    <t xml:space="preserve">104.624 </t>
  </si>
  <si>
    <t>17.0429</t>
  </si>
  <si>
    <t>LT150</t>
  </si>
  <si>
    <t>12+450</t>
  </si>
  <si>
    <t>104.6235</t>
  </si>
  <si>
    <t>LT151</t>
  </si>
  <si>
    <t>12+500</t>
  </si>
  <si>
    <t>104.6230</t>
  </si>
  <si>
    <t>LT152</t>
  </si>
  <si>
    <t>12+550</t>
  </si>
  <si>
    <t>104.6226</t>
  </si>
  <si>
    <t>17.0430</t>
  </si>
  <si>
    <t>LT153</t>
  </si>
  <si>
    <t>12+600</t>
  </si>
  <si>
    <t>104.6222</t>
  </si>
  <si>
    <t>LT154</t>
  </si>
  <si>
    <t>12+650</t>
  </si>
  <si>
    <t>104.6216</t>
  </si>
  <si>
    <t>LT155</t>
  </si>
  <si>
    <t>12+700</t>
  </si>
  <si>
    <t>104.6213</t>
  </si>
  <si>
    <t>LT156</t>
  </si>
  <si>
    <t>12+750</t>
  </si>
  <si>
    <t>104.6208</t>
  </si>
  <si>
    <t>LT157</t>
  </si>
  <si>
    <t>12+800</t>
  </si>
  <si>
    <t>104.6204</t>
  </si>
  <si>
    <t>LT158</t>
  </si>
  <si>
    <t>12+850</t>
  </si>
  <si>
    <t>104.6199</t>
  </si>
  <si>
    <t>LT159</t>
  </si>
  <si>
    <t>12+900</t>
  </si>
  <si>
    <t>104.6194</t>
  </si>
  <si>
    <t>LT160</t>
  </si>
  <si>
    <t>12+950</t>
  </si>
  <si>
    <t>104.6190</t>
  </si>
  <si>
    <t>LT161</t>
  </si>
  <si>
    <t>13+000</t>
  </si>
  <si>
    <t>104.6185</t>
  </si>
  <si>
    <t>LT162</t>
  </si>
  <si>
    <t>13+050</t>
  </si>
  <si>
    <t>104.6180</t>
  </si>
  <si>
    <t>LT163</t>
  </si>
  <si>
    <t>13+100</t>
  </si>
  <si>
    <t>104.6177</t>
  </si>
  <si>
    <t>17.0428</t>
  </si>
  <si>
    <t>LT164</t>
  </si>
  <si>
    <t>13+150</t>
  </si>
  <si>
    <t>104.6172</t>
  </si>
  <si>
    <t>LT165</t>
  </si>
  <si>
    <t>13+200</t>
  </si>
  <si>
    <t>104.6166</t>
  </si>
  <si>
    <t>LT166</t>
  </si>
  <si>
    <t>13+250</t>
  </si>
  <si>
    <t>104.6163</t>
  </si>
  <si>
    <t>17.0427</t>
  </si>
  <si>
    <t>LT167</t>
  </si>
  <si>
    <t>13+300</t>
  </si>
  <si>
    <t>104.6157</t>
  </si>
  <si>
    <t xml:space="preserve"> 17.0426</t>
  </si>
  <si>
    <t>LT168</t>
  </si>
  <si>
    <t>13+350</t>
  </si>
  <si>
    <t>104.6153</t>
  </si>
  <si>
    <t>LT169</t>
  </si>
  <si>
    <t>13+400</t>
  </si>
  <si>
    <t>104.6150</t>
  </si>
  <si>
    <t>LT170</t>
  </si>
  <si>
    <t>13+450</t>
  </si>
  <si>
    <t>104.6147</t>
  </si>
  <si>
    <t>LT171</t>
  </si>
  <si>
    <t>13+500</t>
  </si>
  <si>
    <t>104.5964</t>
  </si>
  <si>
    <t xml:space="preserve"> 17.0258</t>
  </si>
  <si>
    <t>LT172</t>
  </si>
  <si>
    <t>16+150</t>
  </si>
  <si>
    <t>104.5963</t>
  </si>
  <si>
    <t xml:space="preserve"> 17.0254</t>
  </si>
  <si>
    <t>LT173</t>
  </si>
  <si>
    <t>16+190</t>
  </si>
  <si>
    <t>104.5962</t>
  </si>
  <si>
    <t>LT174</t>
  </si>
  <si>
    <t>16+230</t>
  </si>
  <si>
    <t>104.5961</t>
  </si>
  <si>
    <t>LT175</t>
  </si>
  <si>
    <t>16+270</t>
  </si>
  <si>
    <t>104.5959</t>
  </si>
  <si>
    <t xml:space="preserve"> 17.0244</t>
  </si>
  <si>
    <t>LT176</t>
  </si>
  <si>
    <t>16+310</t>
  </si>
  <si>
    <t>104.5957</t>
  </si>
  <si>
    <t xml:space="preserve"> 17.0241</t>
  </si>
  <si>
    <t>LT177</t>
  </si>
  <si>
    <t>15+350</t>
  </si>
  <si>
    <t>104.5954</t>
  </si>
  <si>
    <t xml:space="preserve"> 17.0238</t>
  </si>
  <si>
    <t>LT178</t>
  </si>
  <si>
    <t>16+390</t>
  </si>
  <si>
    <t>104.5951</t>
  </si>
  <si>
    <t xml:space="preserve"> 17.0236</t>
  </si>
  <si>
    <t>LT179</t>
  </si>
  <si>
    <t>16+430</t>
  </si>
  <si>
    <t>104.5949</t>
  </si>
  <si>
    <t xml:space="preserve"> 17.0234</t>
  </si>
  <si>
    <t>LT180</t>
  </si>
  <si>
    <t>16+470</t>
  </si>
  <si>
    <t>104.5946</t>
  </si>
  <si>
    <t xml:space="preserve"> 17.0231</t>
  </si>
  <si>
    <t>LT181</t>
  </si>
  <si>
    <t>16+510</t>
  </si>
  <si>
    <t>104.5943</t>
  </si>
  <si>
    <t xml:space="preserve"> 17.0229</t>
  </si>
  <si>
    <t>LT182</t>
  </si>
  <si>
    <t>16+550</t>
  </si>
  <si>
    <t>104.5940</t>
  </si>
  <si>
    <t>LT183</t>
  </si>
  <si>
    <t>16+590</t>
  </si>
  <si>
    <t>104.5938</t>
  </si>
  <si>
    <t xml:space="preserve"> 17.0224</t>
  </si>
  <si>
    <t>LT184</t>
  </si>
  <si>
    <t>16+530</t>
  </si>
  <si>
    <t>104.5935</t>
  </si>
  <si>
    <t xml:space="preserve"> 17.0221</t>
  </si>
  <si>
    <t>LT185</t>
  </si>
  <si>
    <t>16+570</t>
  </si>
  <si>
    <t>104.5932</t>
  </si>
  <si>
    <t xml:space="preserve"> 17.0219</t>
  </si>
  <si>
    <t>LT186</t>
  </si>
  <si>
    <t>16+610</t>
  </si>
  <si>
    <t>104.5930</t>
  </si>
  <si>
    <t xml:space="preserve"> 17.0217</t>
  </si>
  <si>
    <t>LT187</t>
  </si>
  <si>
    <t>15+650</t>
  </si>
  <si>
    <t>104.5927</t>
  </si>
  <si>
    <t xml:space="preserve"> 17.0215</t>
  </si>
  <si>
    <t>LT188</t>
  </si>
  <si>
    <t>16+690</t>
  </si>
  <si>
    <t>104.5925</t>
  </si>
  <si>
    <t xml:space="preserve"> 17.0213</t>
  </si>
  <si>
    <t>LT189</t>
  </si>
  <si>
    <t>16+730</t>
  </si>
  <si>
    <t>104.5923</t>
  </si>
  <si>
    <t>LT190</t>
  </si>
  <si>
    <t>16+810</t>
  </si>
  <si>
    <t>104.5920</t>
  </si>
  <si>
    <t xml:space="preserve"> 17.0208</t>
  </si>
  <si>
    <t>LT191</t>
  </si>
  <si>
    <t>16+850</t>
  </si>
  <si>
    <t>104.5917</t>
  </si>
  <si>
    <t xml:space="preserve"> 17.0206</t>
  </si>
  <si>
    <t>LT192</t>
  </si>
  <si>
    <t>16+890</t>
  </si>
  <si>
    <t>104.5915</t>
  </si>
  <si>
    <t>LT194</t>
  </si>
  <si>
    <t>16+950</t>
  </si>
  <si>
    <t>104.5911</t>
  </si>
  <si>
    <t xml:space="preserve"> 17.0200</t>
  </si>
  <si>
    <t>LT195</t>
  </si>
  <si>
    <t>17+030</t>
  </si>
  <si>
    <t>104.5869</t>
  </si>
  <si>
    <t xml:space="preserve"> 17.0152</t>
  </si>
  <si>
    <t>LT196</t>
  </si>
  <si>
    <t>17+700</t>
  </si>
  <si>
    <t>104.5867</t>
  </si>
  <si>
    <t xml:space="preserve"> 17.0149</t>
  </si>
  <si>
    <t>LT197</t>
  </si>
  <si>
    <t>17+735</t>
  </si>
  <si>
    <t>104.5864</t>
  </si>
  <si>
    <t xml:space="preserve"> 17.0147</t>
  </si>
  <si>
    <t>LT198</t>
  </si>
  <si>
    <t>17+770</t>
  </si>
  <si>
    <t>104.5862</t>
  </si>
  <si>
    <t xml:space="preserve"> 17.0145</t>
  </si>
  <si>
    <t>LT199</t>
  </si>
  <si>
    <t>17+810</t>
  </si>
  <si>
    <t>104.5859</t>
  </si>
  <si>
    <t xml:space="preserve"> 17.0143</t>
  </si>
  <si>
    <t>LT200</t>
  </si>
  <si>
    <t>17+845</t>
  </si>
  <si>
    <t>104.5856</t>
  </si>
  <si>
    <t xml:space="preserve"> 17.0142</t>
  </si>
  <si>
    <t>LT201</t>
  </si>
  <si>
    <t>17+890</t>
  </si>
  <si>
    <t>104.5853</t>
  </si>
  <si>
    <t xml:space="preserve"> 17.0140</t>
  </si>
  <si>
    <t>LT202</t>
  </si>
  <si>
    <t>17+945</t>
  </si>
  <si>
    <t>104.5850</t>
  </si>
  <si>
    <t xml:space="preserve"> 17.0139</t>
  </si>
  <si>
    <t>LT203</t>
  </si>
  <si>
    <t>17+980</t>
  </si>
  <si>
    <t>104.5847</t>
  </si>
  <si>
    <t xml:space="preserve"> 17.0137</t>
  </si>
  <si>
    <t>LT204</t>
  </si>
  <si>
    <t>18+020</t>
  </si>
  <si>
    <t>104.5844</t>
  </si>
  <si>
    <t xml:space="preserve"> 17.0135</t>
  </si>
  <si>
    <t>LT205</t>
  </si>
  <si>
    <t>18+055</t>
  </si>
  <si>
    <t>104.5680</t>
  </si>
  <si>
    <t xml:space="preserve"> 17.0129</t>
  </si>
  <si>
    <t>LT206</t>
  </si>
  <si>
    <t>19+800</t>
  </si>
  <si>
    <t>104.5677</t>
  </si>
  <si>
    <t xml:space="preserve"> 17.0130</t>
  </si>
  <si>
    <t>LT207</t>
  </si>
  <si>
    <t>19+835</t>
  </si>
  <si>
    <t>104.5674</t>
  </si>
  <si>
    <t>LT208</t>
  </si>
  <si>
    <t>19+870</t>
  </si>
  <si>
    <t>104.5672</t>
  </si>
  <si>
    <t xml:space="preserve"> 17.0131</t>
  </si>
  <si>
    <t>LT209</t>
  </si>
  <si>
    <t>19+905</t>
  </si>
  <si>
    <t>104.5670</t>
  </si>
  <si>
    <t>LT210</t>
  </si>
  <si>
    <t>19+945</t>
  </si>
  <si>
    <t>104.5666</t>
  </si>
  <si>
    <t xml:space="preserve"> 17.0132</t>
  </si>
  <si>
    <t>LT211</t>
  </si>
  <si>
    <t>19+980</t>
  </si>
  <si>
    <t>104.5664</t>
  </si>
  <si>
    <t>LT212</t>
  </si>
  <si>
    <t>20+015</t>
  </si>
  <si>
    <t>104.5661</t>
  </si>
  <si>
    <t xml:space="preserve"> 17.0133</t>
  </si>
  <si>
    <t>LT213</t>
  </si>
  <si>
    <t>20+050</t>
  </si>
  <si>
    <t>104.5658</t>
  </si>
  <si>
    <t xml:space="preserve"> 17.0134</t>
  </si>
  <si>
    <t>LT214</t>
  </si>
  <si>
    <t>20+085</t>
  </si>
  <si>
    <t>104.5655</t>
  </si>
  <si>
    <t>LT215</t>
  </si>
  <si>
    <t>20+120</t>
  </si>
  <si>
    <t>104.5653</t>
  </si>
  <si>
    <t>LT216</t>
  </si>
  <si>
    <t>20+145</t>
  </si>
  <si>
    <t>104.5650</t>
  </si>
  <si>
    <t>17.0135</t>
  </si>
  <si>
    <t>LT217</t>
  </si>
  <si>
    <t>20+180</t>
  </si>
  <si>
    <t>104.5646</t>
  </si>
  <si>
    <t>17.0137</t>
  </si>
  <si>
    <t>CL3</t>
  </si>
  <si>
    <t>20+200</t>
  </si>
  <si>
    <t>104.5644</t>
  </si>
  <si>
    <t>CL4</t>
  </si>
  <si>
    <t>20+235</t>
  </si>
  <si>
    <t>104.5641</t>
  </si>
  <si>
    <t xml:space="preserve"> 17.0138</t>
  </si>
  <si>
    <t>CL5</t>
  </si>
  <si>
    <t>20+270</t>
  </si>
  <si>
    <t>104.5638</t>
  </si>
  <si>
    <t>CL6</t>
  </si>
  <si>
    <t>20+305</t>
  </si>
  <si>
    <t>104.5635</t>
  </si>
  <si>
    <t>CL7</t>
  </si>
  <si>
    <t>20+240</t>
  </si>
  <si>
    <t>104.5632</t>
  </si>
  <si>
    <t>CL8</t>
  </si>
  <si>
    <t>20+375</t>
  </si>
  <si>
    <t>104.5629</t>
  </si>
  <si>
    <t xml:space="preserve"> 17.0141</t>
  </si>
  <si>
    <t>CL9</t>
  </si>
  <si>
    <t>20+415</t>
  </si>
  <si>
    <t>104.5626</t>
  </si>
  <si>
    <t>CL10</t>
  </si>
  <si>
    <t>20+450</t>
  </si>
  <si>
    <t>104.5623</t>
  </si>
  <si>
    <t>CL11</t>
  </si>
  <si>
    <t>20+485</t>
  </si>
  <si>
    <t>104.5620</t>
  </si>
  <si>
    <t>CL12</t>
  </si>
  <si>
    <t>20+515</t>
  </si>
  <si>
    <t>104.5617</t>
  </si>
  <si>
    <t>CL13</t>
  </si>
  <si>
    <t>20+550</t>
  </si>
  <si>
    <t>104.5615</t>
  </si>
  <si>
    <t>CL14</t>
  </si>
  <si>
    <t>20+585</t>
  </si>
  <si>
    <t>104.5612</t>
  </si>
  <si>
    <t xml:space="preserve"> 17.0144</t>
  </si>
  <si>
    <t>CL15</t>
  </si>
  <si>
    <t>20+615</t>
  </si>
  <si>
    <t>104.5609</t>
  </si>
  <si>
    <t>CL16</t>
  </si>
  <si>
    <t>20+650</t>
  </si>
  <si>
    <t>104.5606</t>
  </si>
  <si>
    <t>CL17</t>
  </si>
  <si>
    <t>20+685</t>
  </si>
  <si>
    <t>104.5603</t>
  </si>
  <si>
    <t xml:space="preserve"> 17.0146</t>
  </si>
  <si>
    <t>CL18</t>
  </si>
  <si>
    <t>20+715</t>
  </si>
  <si>
    <t>104.5601</t>
  </si>
  <si>
    <t>CL19</t>
  </si>
  <si>
    <t>20+730</t>
  </si>
  <si>
    <t>104.5597</t>
  </si>
  <si>
    <t>LT218</t>
  </si>
  <si>
    <t>20+750</t>
  </si>
  <si>
    <t>104.5594</t>
  </si>
  <si>
    <t>LT219</t>
  </si>
  <si>
    <t>20+785</t>
  </si>
  <si>
    <t>104.5592</t>
  </si>
  <si>
    <t>LT220</t>
  </si>
  <si>
    <t>20+820</t>
  </si>
  <si>
    <t>104.5589</t>
  </si>
  <si>
    <t xml:space="preserve"> 17.0148</t>
  </si>
  <si>
    <t>LT221</t>
  </si>
  <si>
    <t>20+855</t>
  </si>
  <si>
    <t>104.5420</t>
  </si>
  <si>
    <t>17.0187</t>
  </si>
  <si>
    <t>LT222</t>
  </si>
  <si>
    <t>22+700</t>
  </si>
  <si>
    <t>104.5414</t>
  </si>
  <si>
    <t xml:space="preserve"> 17.0187</t>
  </si>
  <si>
    <t>LT223</t>
  </si>
  <si>
    <t>22+735</t>
  </si>
  <si>
    <t>104.5405</t>
  </si>
  <si>
    <t>LT224</t>
  </si>
  <si>
    <t>22+830</t>
  </si>
  <si>
    <t>104.5402</t>
  </si>
  <si>
    <t>LT225</t>
  </si>
  <si>
    <t>22+865</t>
  </si>
  <si>
    <t>104.5397</t>
  </si>
  <si>
    <t xml:space="preserve"> 17.0189</t>
  </si>
  <si>
    <t>LT226</t>
  </si>
  <si>
    <t>22+900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</si>
</sst>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3720-9BCF-4836-8F9B-6FEF7015CFD7}">
  <dimension ref="A1:AA245"/>
  <sheetViews>
    <sheetView tabSelected="1" workbookViewId="0">
      <selection activeCell="T19" sqref="T19"/>
    </sheetView>
  </sheetViews>
  <sheetFormatPr defaultRowHeight="14.25" x14ac:dyDescent="0.2"/>
  <cols>
    <col min="1" max="16" width="9" style="2"/>
    <col min="19" max="27" width="9" style="1"/>
  </cols>
  <sheetData>
    <row r="1" spans="1:16" x14ac:dyDescent="0.2">
      <c r="A1" s="2" t="s">
        <v>491</v>
      </c>
      <c r="B1" s="2" t="s">
        <v>492</v>
      </c>
      <c r="C1" s="2" t="s">
        <v>493</v>
      </c>
      <c r="D1" s="2" t="s">
        <v>494</v>
      </c>
      <c r="E1" s="2" t="s">
        <v>495</v>
      </c>
      <c r="F1" s="2" t="s">
        <v>496</v>
      </c>
      <c r="G1" s="2" t="s">
        <v>497</v>
      </c>
      <c r="H1" s="2" t="s">
        <v>498</v>
      </c>
      <c r="I1" s="2" t="s">
        <v>499</v>
      </c>
      <c r="J1" s="2" t="s">
        <v>500</v>
      </c>
      <c r="K1" s="2" t="s">
        <v>501</v>
      </c>
      <c r="L1" s="2" t="s">
        <v>502</v>
      </c>
      <c r="M1" s="2" t="s">
        <v>503</v>
      </c>
      <c r="N1" s="2" t="s">
        <v>504</v>
      </c>
      <c r="O1" s="2" t="s">
        <v>505</v>
      </c>
      <c r="P1" s="2" t="s">
        <v>506</v>
      </c>
    </row>
    <row r="2" spans="1:16" x14ac:dyDescent="0.2">
      <c r="A2" s="2" t="s">
        <v>510</v>
      </c>
      <c r="B2" s="2" t="s">
        <v>509</v>
      </c>
      <c r="H2" s="2">
        <v>2031</v>
      </c>
      <c r="I2" s="2">
        <v>100</v>
      </c>
      <c r="J2" s="2" t="s">
        <v>511</v>
      </c>
      <c r="O2" s="2" t="s">
        <v>508</v>
      </c>
      <c r="P2" s="2" t="s">
        <v>507</v>
      </c>
    </row>
    <row r="3" spans="1:16" x14ac:dyDescent="0.2">
      <c r="A3" s="2" t="s">
        <v>515</v>
      </c>
      <c r="B3" s="2" t="s">
        <v>514</v>
      </c>
      <c r="H3" s="2">
        <v>2031</v>
      </c>
      <c r="I3" s="2">
        <v>100</v>
      </c>
      <c r="J3" s="2" t="s">
        <v>511</v>
      </c>
      <c r="O3" s="2" t="s">
        <v>513</v>
      </c>
      <c r="P3" s="2" t="s">
        <v>512</v>
      </c>
    </row>
    <row r="4" spans="1:16" x14ac:dyDescent="0.2">
      <c r="A4" s="2" t="s">
        <v>510</v>
      </c>
      <c r="B4" s="2" t="s">
        <v>518</v>
      </c>
      <c r="H4" s="2">
        <v>2031</v>
      </c>
      <c r="I4" s="2">
        <v>100</v>
      </c>
      <c r="J4" s="2" t="s">
        <v>519</v>
      </c>
      <c r="O4" s="2" t="s">
        <v>517</v>
      </c>
      <c r="P4" s="2" t="s">
        <v>516</v>
      </c>
    </row>
    <row r="5" spans="1:16" x14ac:dyDescent="0.2">
      <c r="A5" s="2" t="s">
        <v>515</v>
      </c>
      <c r="B5" s="2" t="s">
        <v>522</v>
      </c>
      <c r="H5" s="2">
        <v>2031</v>
      </c>
      <c r="I5" s="2">
        <v>100</v>
      </c>
      <c r="J5" s="2" t="s">
        <v>523</v>
      </c>
      <c r="O5" s="2" t="s">
        <v>521</v>
      </c>
      <c r="P5" s="2" t="s">
        <v>520</v>
      </c>
    </row>
    <row r="6" spans="1:16" x14ac:dyDescent="0.2">
      <c r="A6" s="2" t="s">
        <v>510</v>
      </c>
      <c r="B6" s="2" t="s">
        <v>526</v>
      </c>
      <c r="H6" s="2">
        <v>2031</v>
      </c>
      <c r="I6" s="2">
        <v>100</v>
      </c>
      <c r="J6" s="2" t="s">
        <v>527</v>
      </c>
      <c r="O6" s="2" t="s">
        <v>525</v>
      </c>
      <c r="P6" s="2" t="s">
        <v>524</v>
      </c>
    </row>
    <row r="7" spans="1:16" x14ac:dyDescent="0.2">
      <c r="A7" s="2" t="s">
        <v>510</v>
      </c>
      <c r="B7" s="2" t="s">
        <v>530</v>
      </c>
      <c r="H7" s="2">
        <v>2031</v>
      </c>
      <c r="I7" s="2">
        <v>100</v>
      </c>
      <c r="J7" s="2" t="s">
        <v>531</v>
      </c>
      <c r="O7" s="2" t="s">
        <v>529</v>
      </c>
      <c r="P7" s="2" t="s">
        <v>528</v>
      </c>
    </row>
    <row r="8" spans="1:16" x14ac:dyDescent="0.2">
      <c r="A8" s="2" t="s">
        <v>510</v>
      </c>
      <c r="B8" s="2" t="s">
        <v>534</v>
      </c>
      <c r="H8" s="2">
        <v>2031</v>
      </c>
      <c r="I8" s="2">
        <v>100</v>
      </c>
      <c r="J8" s="2" t="s">
        <v>535</v>
      </c>
      <c r="O8" s="2" t="s">
        <v>533</v>
      </c>
      <c r="P8" s="2" t="s">
        <v>532</v>
      </c>
    </row>
    <row r="9" spans="1:16" x14ac:dyDescent="0.2">
      <c r="A9" s="2" t="s">
        <v>510</v>
      </c>
      <c r="B9" s="2" t="s">
        <v>538</v>
      </c>
      <c r="H9" s="2">
        <v>2031</v>
      </c>
      <c r="I9" s="2">
        <v>100</v>
      </c>
      <c r="J9" s="2" t="s">
        <v>539</v>
      </c>
      <c r="O9" s="2" t="s">
        <v>537</v>
      </c>
      <c r="P9" s="2" t="s">
        <v>536</v>
      </c>
    </row>
    <row r="10" spans="1:16" x14ac:dyDescent="0.2">
      <c r="A10" s="2" t="s">
        <v>510</v>
      </c>
      <c r="B10" s="2" t="s">
        <v>542</v>
      </c>
      <c r="H10" s="2">
        <v>2031</v>
      </c>
      <c r="I10" s="2">
        <v>100</v>
      </c>
      <c r="J10" s="2" t="s">
        <v>543</v>
      </c>
      <c r="O10" s="2" t="s">
        <v>541</v>
      </c>
      <c r="P10" s="2" t="s">
        <v>540</v>
      </c>
    </row>
    <row r="11" spans="1:16" x14ac:dyDescent="0.2">
      <c r="A11" s="2" t="s">
        <v>510</v>
      </c>
      <c r="B11" s="2" t="s">
        <v>546</v>
      </c>
      <c r="H11" s="2">
        <v>2031</v>
      </c>
      <c r="I11" s="2">
        <v>100</v>
      </c>
      <c r="J11" s="2" t="s">
        <v>547</v>
      </c>
      <c r="O11" s="2" t="s">
        <v>545</v>
      </c>
      <c r="P11" s="2" t="s">
        <v>544</v>
      </c>
    </row>
    <row r="12" spans="1:16" x14ac:dyDescent="0.2">
      <c r="A12" s="2" t="s">
        <v>510</v>
      </c>
      <c r="B12" s="2" t="s">
        <v>550</v>
      </c>
      <c r="H12" s="2">
        <v>2031</v>
      </c>
      <c r="I12" s="2">
        <v>100</v>
      </c>
      <c r="J12" s="2" t="s">
        <v>551</v>
      </c>
      <c r="O12" s="2" t="s">
        <v>549</v>
      </c>
      <c r="P12" s="2" t="s">
        <v>548</v>
      </c>
    </row>
    <row r="13" spans="1:16" x14ac:dyDescent="0.2">
      <c r="A13" s="2" t="s">
        <v>510</v>
      </c>
      <c r="B13" s="2" t="s">
        <v>554</v>
      </c>
      <c r="H13" s="2">
        <v>2031</v>
      </c>
      <c r="I13" s="2">
        <v>100</v>
      </c>
      <c r="J13" s="2" t="s">
        <v>555</v>
      </c>
      <c r="O13" s="2" t="s">
        <v>553</v>
      </c>
      <c r="P13" s="2" t="s">
        <v>552</v>
      </c>
    </row>
    <row r="14" spans="1:16" x14ac:dyDescent="0.2">
      <c r="A14" s="2" t="s">
        <v>510</v>
      </c>
      <c r="B14" s="2" t="s">
        <v>558</v>
      </c>
      <c r="H14" s="2">
        <v>2031</v>
      </c>
      <c r="I14" s="2">
        <v>100</v>
      </c>
      <c r="J14" s="2" t="s">
        <v>559</v>
      </c>
      <c r="O14" s="2" t="s">
        <v>557</v>
      </c>
      <c r="P14" s="2" t="s">
        <v>556</v>
      </c>
    </row>
    <row r="15" spans="1:16" x14ac:dyDescent="0.2">
      <c r="A15" s="2" t="s">
        <v>510</v>
      </c>
      <c r="B15" s="2" t="s">
        <v>562</v>
      </c>
      <c r="H15" s="2">
        <v>2031</v>
      </c>
      <c r="I15" s="2">
        <v>100</v>
      </c>
      <c r="J15" s="2" t="s">
        <v>563</v>
      </c>
      <c r="O15" s="2" t="s">
        <v>561</v>
      </c>
      <c r="P15" s="2" t="s">
        <v>560</v>
      </c>
    </row>
    <row r="16" spans="1:16" x14ac:dyDescent="0.2">
      <c r="A16" s="2" t="s">
        <v>510</v>
      </c>
      <c r="B16" s="2" t="s">
        <v>566</v>
      </c>
      <c r="H16" s="2">
        <v>2031</v>
      </c>
      <c r="I16" s="2">
        <v>100</v>
      </c>
      <c r="J16" s="2" t="s">
        <v>567</v>
      </c>
      <c r="O16" s="2" t="s">
        <v>565</v>
      </c>
      <c r="P16" s="2" t="s">
        <v>564</v>
      </c>
    </row>
    <row r="17" spans="1:16" x14ac:dyDescent="0.2">
      <c r="A17" s="2" t="s">
        <v>510</v>
      </c>
      <c r="B17" s="2" t="s">
        <v>570</v>
      </c>
      <c r="H17" s="2">
        <v>2031</v>
      </c>
      <c r="I17" s="2">
        <v>100</v>
      </c>
      <c r="J17" s="2" t="s">
        <v>571</v>
      </c>
      <c r="O17" s="2" t="s">
        <v>569</v>
      </c>
      <c r="P17" s="2" t="s">
        <v>568</v>
      </c>
    </row>
    <row r="18" spans="1:16" x14ac:dyDescent="0.2">
      <c r="A18" s="2" t="s">
        <v>510</v>
      </c>
      <c r="B18" s="2" t="s">
        <v>574</v>
      </c>
      <c r="H18" s="2">
        <v>2031</v>
      </c>
      <c r="I18" s="2">
        <v>100</v>
      </c>
      <c r="J18" s="2" t="s">
        <v>575</v>
      </c>
      <c r="O18" s="2" t="s">
        <v>573</v>
      </c>
      <c r="P18" s="2" t="s">
        <v>572</v>
      </c>
    </row>
    <row r="19" spans="1:16" x14ac:dyDescent="0.2">
      <c r="A19" s="2" t="s">
        <v>510</v>
      </c>
      <c r="B19" s="2" t="s">
        <v>578</v>
      </c>
      <c r="H19" s="2">
        <v>2031</v>
      </c>
      <c r="I19" s="2">
        <v>100</v>
      </c>
      <c r="J19" s="2" t="s">
        <v>579</v>
      </c>
      <c r="O19" s="2" t="s">
        <v>577</v>
      </c>
      <c r="P19" s="2" t="s">
        <v>576</v>
      </c>
    </row>
    <row r="20" spans="1:16" x14ac:dyDescent="0.2">
      <c r="A20" s="2" t="s">
        <v>510</v>
      </c>
      <c r="B20" s="2" t="s">
        <v>582</v>
      </c>
      <c r="H20" s="2">
        <v>2031</v>
      </c>
      <c r="I20" s="2">
        <v>100</v>
      </c>
      <c r="J20" s="2" t="s">
        <v>583</v>
      </c>
      <c r="O20" s="2" t="s">
        <v>581</v>
      </c>
      <c r="P20" s="2" t="s">
        <v>580</v>
      </c>
    </row>
    <row r="21" spans="1:16" x14ac:dyDescent="0.2">
      <c r="A21" s="2" t="s">
        <v>510</v>
      </c>
      <c r="B21" s="2" t="s">
        <v>586</v>
      </c>
      <c r="H21" s="2">
        <v>2031</v>
      </c>
      <c r="I21" s="2">
        <v>100</v>
      </c>
      <c r="J21" s="2" t="s">
        <v>587</v>
      </c>
      <c r="O21" s="2" t="s">
        <v>585</v>
      </c>
      <c r="P21" s="2" t="s">
        <v>584</v>
      </c>
    </row>
    <row r="22" spans="1:16" x14ac:dyDescent="0.2">
      <c r="A22" s="2" t="s">
        <v>510</v>
      </c>
      <c r="B22" s="2" t="s">
        <v>590</v>
      </c>
      <c r="H22" s="2">
        <v>2031</v>
      </c>
      <c r="I22" s="2">
        <v>100</v>
      </c>
      <c r="J22" s="2" t="s">
        <v>591</v>
      </c>
      <c r="O22" s="2" t="s">
        <v>589</v>
      </c>
      <c r="P22" s="2" t="s">
        <v>588</v>
      </c>
    </row>
    <row r="23" spans="1:16" x14ac:dyDescent="0.2">
      <c r="A23" s="2" t="s">
        <v>510</v>
      </c>
      <c r="B23" s="2" t="s">
        <v>594</v>
      </c>
      <c r="H23" s="2">
        <v>2031</v>
      </c>
      <c r="I23" s="2">
        <v>100</v>
      </c>
      <c r="J23" s="2" t="s">
        <v>595</v>
      </c>
      <c r="O23" s="2" t="s">
        <v>593</v>
      </c>
      <c r="P23" s="2" t="s">
        <v>592</v>
      </c>
    </row>
    <row r="24" spans="1:16" x14ac:dyDescent="0.2">
      <c r="A24" s="2" t="s">
        <v>510</v>
      </c>
      <c r="B24" s="2" t="s">
        <v>598</v>
      </c>
      <c r="H24" s="2">
        <v>2031</v>
      </c>
      <c r="I24" s="2">
        <v>100</v>
      </c>
      <c r="J24" s="2" t="s">
        <v>599</v>
      </c>
      <c r="O24" s="2" t="s">
        <v>597</v>
      </c>
      <c r="P24" s="2" t="s">
        <v>596</v>
      </c>
    </row>
    <row r="25" spans="1:16" x14ac:dyDescent="0.2">
      <c r="A25" s="2" t="s">
        <v>510</v>
      </c>
      <c r="B25" s="2" t="s">
        <v>602</v>
      </c>
      <c r="H25" s="2">
        <v>2031</v>
      </c>
      <c r="I25" s="2">
        <v>100</v>
      </c>
      <c r="J25" s="2" t="s">
        <v>603</v>
      </c>
      <c r="O25" s="2" t="s">
        <v>601</v>
      </c>
      <c r="P25" s="2" t="s">
        <v>600</v>
      </c>
    </row>
    <row r="26" spans="1:16" x14ac:dyDescent="0.2">
      <c r="A26" s="2" t="s">
        <v>510</v>
      </c>
      <c r="B26" s="2" t="s">
        <v>606</v>
      </c>
      <c r="H26" s="2">
        <v>2031</v>
      </c>
      <c r="I26" s="2">
        <v>100</v>
      </c>
      <c r="J26" s="2" t="s">
        <v>607</v>
      </c>
      <c r="O26" s="2" t="s">
        <v>605</v>
      </c>
      <c r="P26" s="2" t="s">
        <v>604</v>
      </c>
    </row>
    <row r="27" spans="1:16" x14ac:dyDescent="0.2">
      <c r="A27" s="2" t="s">
        <v>510</v>
      </c>
      <c r="B27" s="2" t="s">
        <v>610</v>
      </c>
      <c r="H27" s="2">
        <v>2031</v>
      </c>
      <c r="I27" s="2">
        <v>100</v>
      </c>
      <c r="J27" s="2" t="s">
        <v>611</v>
      </c>
      <c r="O27" s="2" t="s">
        <v>609</v>
      </c>
      <c r="P27" s="2" t="s">
        <v>608</v>
      </c>
    </row>
    <row r="28" spans="1:16" x14ac:dyDescent="0.2">
      <c r="A28" s="2" t="s">
        <v>510</v>
      </c>
      <c r="B28" s="2" t="s">
        <v>614</v>
      </c>
      <c r="H28" s="2">
        <v>2031</v>
      </c>
      <c r="I28" s="2">
        <v>100</v>
      </c>
      <c r="J28" s="2" t="s">
        <v>615</v>
      </c>
      <c r="O28" s="2" t="s">
        <v>613</v>
      </c>
      <c r="P28" s="2" t="s">
        <v>612</v>
      </c>
    </row>
    <row r="29" spans="1:16" x14ac:dyDescent="0.2">
      <c r="A29" s="2" t="s">
        <v>510</v>
      </c>
      <c r="B29" s="2" t="s">
        <v>618</v>
      </c>
      <c r="H29" s="2">
        <v>2031</v>
      </c>
      <c r="I29" s="2">
        <v>100</v>
      </c>
      <c r="J29" s="2" t="s">
        <v>619</v>
      </c>
      <c r="O29" s="2" t="s">
        <v>617</v>
      </c>
      <c r="P29" s="2" t="s">
        <v>616</v>
      </c>
    </row>
    <row r="30" spans="1:16" x14ac:dyDescent="0.2">
      <c r="A30" s="2" t="s">
        <v>510</v>
      </c>
      <c r="B30" s="2" t="s">
        <v>622</v>
      </c>
      <c r="H30" s="2">
        <v>2031</v>
      </c>
      <c r="I30" s="2">
        <v>100</v>
      </c>
      <c r="J30" s="2" t="s">
        <v>623</v>
      </c>
      <c r="O30" s="2" t="s">
        <v>621</v>
      </c>
      <c r="P30" s="2" t="s">
        <v>620</v>
      </c>
    </row>
    <row r="31" spans="1:16" x14ac:dyDescent="0.2">
      <c r="A31" s="2" t="s">
        <v>510</v>
      </c>
      <c r="B31" s="2" t="s">
        <v>626</v>
      </c>
      <c r="H31" s="2">
        <v>2031</v>
      </c>
      <c r="I31" s="2">
        <v>100</v>
      </c>
      <c r="J31" s="2" t="s">
        <v>627</v>
      </c>
      <c r="O31" s="2" t="s">
        <v>625</v>
      </c>
      <c r="P31" s="2" t="s">
        <v>624</v>
      </c>
    </row>
    <row r="32" spans="1:16" x14ac:dyDescent="0.2">
      <c r="A32" s="2" t="s">
        <v>510</v>
      </c>
      <c r="B32" s="2" t="s">
        <v>630</v>
      </c>
      <c r="H32" s="2">
        <v>2031</v>
      </c>
      <c r="I32" s="2">
        <v>100</v>
      </c>
      <c r="J32" s="2" t="s">
        <v>631</v>
      </c>
      <c r="O32" s="2" t="s">
        <v>629</v>
      </c>
      <c r="P32" s="2" t="s">
        <v>628</v>
      </c>
    </row>
    <row r="33" spans="1:16" x14ac:dyDescent="0.2">
      <c r="A33" s="2" t="s">
        <v>510</v>
      </c>
      <c r="B33" s="2" t="s">
        <v>634</v>
      </c>
      <c r="H33" s="2">
        <v>2031</v>
      </c>
      <c r="I33" s="2">
        <v>100</v>
      </c>
      <c r="J33" s="2" t="s">
        <v>635</v>
      </c>
      <c r="O33" s="2" t="s">
        <v>633</v>
      </c>
      <c r="P33" s="2" t="s">
        <v>632</v>
      </c>
    </row>
    <row r="34" spans="1:16" x14ac:dyDescent="0.2">
      <c r="A34" s="2" t="s">
        <v>510</v>
      </c>
      <c r="B34" s="2" t="s">
        <v>638</v>
      </c>
      <c r="H34" s="2">
        <v>2031</v>
      </c>
      <c r="I34" s="2">
        <v>100</v>
      </c>
      <c r="J34" s="2" t="s">
        <v>639</v>
      </c>
      <c r="O34" s="2" t="s">
        <v>637</v>
      </c>
      <c r="P34" s="2" t="s">
        <v>636</v>
      </c>
    </row>
    <row r="35" spans="1:16" x14ac:dyDescent="0.2">
      <c r="A35" s="2" t="s">
        <v>510</v>
      </c>
      <c r="B35" s="2" t="s">
        <v>642</v>
      </c>
      <c r="H35" s="2">
        <v>2031</v>
      </c>
      <c r="I35" s="2">
        <v>100</v>
      </c>
      <c r="J35" s="2" t="s">
        <v>643</v>
      </c>
      <c r="O35" s="2" t="s">
        <v>641</v>
      </c>
      <c r="P35" s="2" t="s">
        <v>640</v>
      </c>
    </row>
    <row r="36" spans="1:16" x14ac:dyDescent="0.2">
      <c r="A36" s="2" t="s">
        <v>510</v>
      </c>
      <c r="B36" s="2" t="s">
        <v>646</v>
      </c>
      <c r="H36" s="2">
        <v>2031</v>
      </c>
      <c r="I36" s="2">
        <v>100</v>
      </c>
      <c r="J36" s="2" t="s">
        <v>647</v>
      </c>
      <c r="O36" s="2" t="s">
        <v>645</v>
      </c>
      <c r="P36" s="2" t="s">
        <v>644</v>
      </c>
    </row>
    <row r="37" spans="1:16" x14ac:dyDescent="0.2">
      <c r="A37" s="2" t="s">
        <v>510</v>
      </c>
      <c r="B37" s="2" t="s">
        <v>650</v>
      </c>
      <c r="H37" s="2">
        <v>2031</v>
      </c>
      <c r="I37" s="2">
        <v>100</v>
      </c>
      <c r="J37" s="2" t="s">
        <v>651</v>
      </c>
      <c r="O37" s="2" t="s">
        <v>649</v>
      </c>
      <c r="P37" s="2" t="s">
        <v>648</v>
      </c>
    </row>
    <row r="38" spans="1:16" x14ac:dyDescent="0.2">
      <c r="A38" s="2" t="s">
        <v>510</v>
      </c>
      <c r="B38" s="2" t="s">
        <v>654</v>
      </c>
      <c r="H38" s="2">
        <v>2031</v>
      </c>
      <c r="I38" s="2">
        <v>100</v>
      </c>
      <c r="J38" s="2" t="s">
        <v>655</v>
      </c>
      <c r="O38" s="2" t="s">
        <v>653</v>
      </c>
      <c r="P38" s="2" t="s">
        <v>652</v>
      </c>
    </row>
    <row r="39" spans="1:16" x14ac:dyDescent="0.2">
      <c r="A39" s="2" t="s">
        <v>510</v>
      </c>
      <c r="B39" s="2" t="s">
        <v>658</v>
      </c>
      <c r="H39" s="2">
        <v>2031</v>
      </c>
      <c r="I39" s="2">
        <v>100</v>
      </c>
      <c r="J39" s="2" t="s">
        <v>659</v>
      </c>
      <c r="O39" s="2" t="s">
        <v>657</v>
      </c>
      <c r="P39" s="2" t="s">
        <v>656</v>
      </c>
    </row>
    <row r="40" spans="1:16" x14ac:dyDescent="0.2">
      <c r="A40" s="2" t="s">
        <v>510</v>
      </c>
      <c r="B40" s="2" t="s">
        <v>662</v>
      </c>
      <c r="H40" s="2">
        <v>2031</v>
      </c>
      <c r="I40" s="2">
        <v>100</v>
      </c>
      <c r="J40" s="2" t="s">
        <v>663</v>
      </c>
      <c r="O40" s="2" t="s">
        <v>661</v>
      </c>
      <c r="P40" s="2" t="s">
        <v>660</v>
      </c>
    </row>
    <row r="41" spans="1:16" x14ac:dyDescent="0.2">
      <c r="A41" s="2" t="s">
        <v>510</v>
      </c>
      <c r="B41" s="2" t="s">
        <v>666</v>
      </c>
      <c r="H41" s="2">
        <v>2031</v>
      </c>
      <c r="I41" s="2">
        <v>100</v>
      </c>
      <c r="J41" s="2" t="s">
        <v>667</v>
      </c>
      <c r="O41" s="2" t="s">
        <v>665</v>
      </c>
      <c r="P41" s="2" t="s">
        <v>664</v>
      </c>
    </row>
    <row r="42" spans="1:16" x14ac:dyDescent="0.2">
      <c r="A42" s="2" t="s">
        <v>510</v>
      </c>
      <c r="B42" s="2" t="s">
        <v>670</v>
      </c>
      <c r="H42" s="2">
        <v>2031</v>
      </c>
      <c r="I42" s="2">
        <v>100</v>
      </c>
      <c r="J42" s="2" t="s">
        <v>671</v>
      </c>
      <c r="O42" s="2" t="s">
        <v>669</v>
      </c>
      <c r="P42" s="2" t="s">
        <v>668</v>
      </c>
    </row>
    <row r="43" spans="1:16" x14ac:dyDescent="0.2">
      <c r="A43" s="2" t="s">
        <v>510</v>
      </c>
      <c r="B43" s="2" t="s">
        <v>674</v>
      </c>
      <c r="H43" s="2">
        <v>2031</v>
      </c>
      <c r="I43" s="2">
        <v>100</v>
      </c>
      <c r="J43" s="2" t="s">
        <v>675</v>
      </c>
      <c r="O43" s="2" t="s">
        <v>673</v>
      </c>
      <c r="P43" s="2" t="s">
        <v>672</v>
      </c>
    </row>
    <row r="44" spans="1:16" x14ac:dyDescent="0.2">
      <c r="A44" s="2" t="s">
        <v>510</v>
      </c>
      <c r="B44" s="2" t="s">
        <v>678</v>
      </c>
      <c r="H44" s="2">
        <v>2031</v>
      </c>
      <c r="I44" s="2">
        <v>100</v>
      </c>
      <c r="J44" s="2" t="s">
        <v>679</v>
      </c>
      <c r="O44" s="2" t="s">
        <v>677</v>
      </c>
      <c r="P44" s="2" t="s">
        <v>676</v>
      </c>
    </row>
    <row r="45" spans="1:16" x14ac:dyDescent="0.2">
      <c r="A45" s="2" t="s">
        <v>510</v>
      </c>
      <c r="B45" s="2" t="s">
        <v>682</v>
      </c>
      <c r="H45" s="2">
        <v>2031</v>
      </c>
      <c r="I45" s="2">
        <v>100</v>
      </c>
      <c r="J45" s="2" t="s">
        <v>683</v>
      </c>
      <c r="O45" s="2" t="s">
        <v>681</v>
      </c>
      <c r="P45" s="2" t="s">
        <v>680</v>
      </c>
    </row>
    <row r="46" spans="1:16" x14ac:dyDescent="0.2">
      <c r="A46" s="2" t="s">
        <v>510</v>
      </c>
      <c r="B46" s="2" t="s">
        <v>686</v>
      </c>
      <c r="H46" s="2">
        <v>2031</v>
      </c>
      <c r="I46" s="2">
        <v>100</v>
      </c>
      <c r="J46" s="2" t="s">
        <v>687</v>
      </c>
      <c r="O46" s="2" t="s">
        <v>685</v>
      </c>
      <c r="P46" s="2" t="s">
        <v>684</v>
      </c>
    </row>
    <row r="47" spans="1:16" x14ac:dyDescent="0.2">
      <c r="A47" s="2" t="s">
        <v>510</v>
      </c>
      <c r="B47" s="2" t="s">
        <v>690</v>
      </c>
      <c r="H47" s="2">
        <v>2031</v>
      </c>
      <c r="I47" s="2">
        <v>100</v>
      </c>
      <c r="J47" s="2" t="s">
        <v>691</v>
      </c>
      <c r="O47" s="2" t="s">
        <v>689</v>
      </c>
      <c r="P47" s="2" t="s">
        <v>688</v>
      </c>
    </row>
    <row r="48" spans="1:16" x14ac:dyDescent="0.2">
      <c r="A48" s="2" t="s">
        <v>510</v>
      </c>
      <c r="B48" s="2" t="s">
        <v>694</v>
      </c>
      <c r="H48" s="2">
        <v>2031</v>
      </c>
      <c r="I48" s="2">
        <v>100</v>
      </c>
      <c r="J48" s="2" t="s">
        <v>695</v>
      </c>
      <c r="O48" s="2" t="s">
        <v>693</v>
      </c>
      <c r="P48" s="2" t="s">
        <v>692</v>
      </c>
    </row>
    <row r="49" spans="1:16" x14ac:dyDescent="0.2">
      <c r="A49" s="2" t="s">
        <v>510</v>
      </c>
      <c r="B49" s="2" t="s">
        <v>698</v>
      </c>
      <c r="H49" s="2">
        <v>2031</v>
      </c>
      <c r="I49" s="2">
        <v>100</v>
      </c>
      <c r="J49" s="2" t="s">
        <v>699</v>
      </c>
      <c r="O49" s="2" t="s">
        <v>697</v>
      </c>
      <c r="P49" s="2" t="s">
        <v>696</v>
      </c>
    </row>
    <row r="50" spans="1:16" x14ac:dyDescent="0.2">
      <c r="A50" s="2" t="s">
        <v>510</v>
      </c>
      <c r="B50" s="2" t="s">
        <v>702</v>
      </c>
      <c r="H50" s="2">
        <v>2031</v>
      </c>
      <c r="I50" s="2">
        <v>100</v>
      </c>
      <c r="J50" s="2" t="s">
        <v>703</v>
      </c>
      <c r="O50" s="2" t="s">
        <v>701</v>
      </c>
      <c r="P50" s="2" t="s">
        <v>700</v>
      </c>
    </row>
    <row r="51" spans="1:16" x14ac:dyDescent="0.2">
      <c r="A51" s="2" t="s">
        <v>510</v>
      </c>
      <c r="B51" s="2" t="s">
        <v>706</v>
      </c>
      <c r="H51" s="2">
        <v>2031</v>
      </c>
      <c r="I51" s="2">
        <v>100</v>
      </c>
      <c r="J51" s="2" t="s">
        <v>707</v>
      </c>
      <c r="O51" s="2" t="s">
        <v>705</v>
      </c>
      <c r="P51" s="2" t="s">
        <v>704</v>
      </c>
    </row>
    <row r="52" spans="1:16" x14ac:dyDescent="0.2">
      <c r="A52" s="2" t="s">
        <v>510</v>
      </c>
      <c r="B52" s="2" t="s">
        <v>710</v>
      </c>
      <c r="H52" s="2">
        <v>2031</v>
      </c>
      <c r="I52" s="2">
        <v>100</v>
      </c>
      <c r="J52" s="2" t="s">
        <v>711</v>
      </c>
      <c r="O52" s="2" t="s">
        <v>709</v>
      </c>
      <c r="P52" s="2" t="s">
        <v>708</v>
      </c>
    </row>
    <row r="53" spans="1:16" x14ac:dyDescent="0.2">
      <c r="A53" s="2" t="s">
        <v>510</v>
      </c>
      <c r="B53" s="2" t="s">
        <v>714</v>
      </c>
      <c r="H53" s="2">
        <v>2031</v>
      </c>
      <c r="I53" s="2">
        <v>100</v>
      </c>
      <c r="J53" s="2" t="s">
        <v>715</v>
      </c>
      <c r="O53" s="2" t="s">
        <v>713</v>
      </c>
      <c r="P53" s="2" t="s">
        <v>712</v>
      </c>
    </row>
    <row r="54" spans="1:16" x14ac:dyDescent="0.2">
      <c r="A54" s="2" t="s">
        <v>510</v>
      </c>
      <c r="B54" s="2" t="s">
        <v>718</v>
      </c>
      <c r="H54" s="2">
        <v>2031</v>
      </c>
      <c r="I54" s="2">
        <v>100</v>
      </c>
      <c r="J54" s="2" t="s">
        <v>719</v>
      </c>
      <c r="O54" s="2" t="s">
        <v>717</v>
      </c>
      <c r="P54" s="2" t="s">
        <v>716</v>
      </c>
    </row>
    <row r="55" spans="1:16" x14ac:dyDescent="0.2">
      <c r="A55" s="2" t="s">
        <v>510</v>
      </c>
      <c r="B55" s="2" t="s">
        <v>722</v>
      </c>
      <c r="H55" s="2">
        <v>2031</v>
      </c>
      <c r="I55" s="2">
        <v>100</v>
      </c>
      <c r="J55" s="2" t="s">
        <v>723</v>
      </c>
      <c r="O55" s="2" t="s">
        <v>721</v>
      </c>
      <c r="P55" s="2" t="s">
        <v>720</v>
      </c>
    </row>
    <row r="56" spans="1:16" x14ac:dyDescent="0.2">
      <c r="A56" s="2" t="s">
        <v>510</v>
      </c>
      <c r="B56" s="2" t="s">
        <v>726</v>
      </c>
      <c r="H56" s="2">
        <v>2031</v>
      </c>
      <c r="I56" s="2">
        <v>100</v>
      </c>
      <c r="J56" s="2" t="s">
        <v>727</v>
      </c>
      <c r="O56" s="2" t="s">
        <v>725</v>
      </c>
      <c r="P56" s="2" t="s">
        <v>724</v>
      </c>
    </row>
    <row r="57" spans="1:16" x14ac:dyDescent="0.2">
      <c r="A57" s="2" t="s">
        <v>510</v>
      </c>
      <c r="B57" s="2" t="s">
        <v>730</v>
      </c>
      <c r="H57" s="2">
        <v>2031</v>
      </c>
      <c r="I57" s="2">
        <v>100</v>
      </c>
      <c r="J57" s="2" t="s">
        <v>731</v>
      </c>
      <c r="O57" s="2" t="s">
        <v>729</v>
      </c>
      <c r="P57" s="2" t="s">
        <v>728</v>
      </c>
    </row>
    <row r="58" spans="1:16" x14ac:dyDescent="0.2">
      <c r="A58" s="2" t="s">
        <v>510</v>
      </c>
      <c r="B58" s="2" t="s">
        <v>734</v>
      </c>
      <c r="H58" s="2">
        <v>2031</v>
      </c>
      <c r="I58" s="2">
        <v>100</v>
      </c>
      <c r="J58" s="2" t="s">
        <v>735</v>
      </c>
      <c r="O58" s="2" t="s">
        <v>733</v>
      </c>
      <c r="P58" s="2" t="s">
        <v>732</v>
      </c>
    </row>
    <row r="59" spans="1:16" x14ac:dyDescent="0.2">
      <c r="A59" s="2" t="s">
        <v>510</v>
      </c>
      <c r="B59" s="2" t="s">
        <v>738</v>
      </c>
      <c r="H59" s="2">
        <v>2031</v>
      </c>
      <c r="I59" s="2">
        <v>100</v>
      </c>
      <c r="J59" s="2" t="s">
        <v>739</v>
      </c>
      <c r="O59" s="2" t="s">
        <v>737</v>
      </c>
      <c r="P59" s="2" t="s">
        <v>736</v>
      </c>
    </row>
    <row r="60" spans="1:16" x14ac:dyDescent="0.2">
      <c r="A60" s="2" t="s">
        <v>510</v>
      </c>
      <c r="B60" s="2" t="s">
        <v>742</v>
      </c>
      <c r="H60" s="2">
        <v>2031</v>
      </c>
      <c r="I60" s="2">
        <v>100</v>
      </c>
      <c r="J60" s="2" t="s">
        <v>743</v>
      </c>
      <c r="O60" s="2" t="s">
        <v>741</v>
      </c>
      <c r="P60" s="2" t="s">
        <v>740</v>
      </c>
    </row>
    <row r="61" spans="1:16" x14ac:dyDescent="0.2">
      <c r="A61" s="2" t="s">
        <v>510</v>
      </c>
      <c r="B61" s="2" t="s">
        <v>746</v>
      </c>
      <c r="H61" s="2">
        <v>2031</v>
      </c>
      <c r="I61" s="2">
        <v>100</v>
      </c>
      <c r="J61" s="2" t="s">
        <v>747</v>
      </c>
      <c r="O61" s="2" t="s">
        <v>745</v>
      </c>
      <c r="P61" s="2" t="s">
        <v>744</v>
      </c>
    </row>
    <row r="62" spans="1:16" x14ac:dyDescent="0.2">
      <c r="A62" s="2" t="s">
        <v>510</v>
      </c>
      <c r="B62" s="2" t="s">
        <v>750</v>
      </c>
      <c r="H62" s="2">
        <v>2031</v>
      </c>
      <c r="I62" s="2">
        <v>100</v>
      </c>
      <c r="J62" s="2" t="s">
        <v>751</v>
      </c>
      <c r="O62" s="2" t="s">
        <v>749</v>
      </c>
      <c r="P62" s="2" t="s">
        <v>748</v>
      </c>
    </row>
    <row r="63" spans="1:16" x14ac:dyDescent="0.2">
      <c r="A63" s="2" t="s">
        <v>510</v>
      </c>
      <c r="B63" s="2" t="s">
        <v>754</v>
      </c>
      <c r="H63" s="2">
        <v>2031</v>
      </c>
      <c r="I63" s="2">
        <v>100</v>
      </c>
      <c r="J63" s="2" t="s">
        <v>755</v>
      </c>
      <c r="O63" s="2" t="s">
        <v>753</v>
      </c>
      <c r="P63" s="2" t="s">
        <v>752</v>
      </c>
    </row>
    <row r="64" spans="1:16" x14ac:dyDescent="0.2">
      <c r="A64" s="2" t="s">
        <v>510</v>
      </c>
      <c r="B64" s="2" t="s">
        <v>758</v>
      </c>
      <c r="H64" s="2">
        <v>2031</v>
      </c>
      <c r="I64" s="2">
        <v>100</v>
      </c>
      <c r="J64" s="2" t="s">
        <v>759</v>
      </c>
      <c r="O64" s="2" t="s">
        <v>757</v>
      </c>
      <c r="P64" s="2" t="s">
        <v>756</v>
      </c>
    </row>
    <row r="65" spans="1:16" x14ac:dyDescent="0.2">
      <c r="A65" s="2" t="s">
        <v>510</v>
      </c>
      <c r="B65" s="2" t="s">
        <v>762</v>
      </c>
      <c r="H65" s="2">
        <v>2031</v>
      </c>
      <c r="I65" s="2">
        <v>100</v>
      </c>
      <c r="J65" s="2" t="s">
        <v>763</v>
      </c>
      <c r="O65" s="2" t="s">
        <v>761</v>
      </c>
      <c r="P65" s="2" t="s">
        <v>760</v>
      </c>
    </row>
    <row r="66" spans="1:16" x14ac:dyDescent="0.2">
      <c r="A66" s="2" t="s">
        <v>510</v>
      </c>
      <c r="B66" s="2" t="s">
        <v>766</v>
      </c>
      <c r="H66" s="2">
        <v>2031</v>
      </c>
      <c r="I66" s="2">
        <v>100</v>
      </c>
      <c r="J66" s="2" t="s">
        <v>767</v>
      </c>
      <c r="O66" s="2" t="s">
        <v>765</v>
      </c>
      <c r="P66" s="2" t="s">
        <v>764</v>
      </c>
    </row>
    <row r="67" spans="1:16" x14ac:dyDescent="0.2">
      <c r="A67" s="2" t="s">
        <v>510</v>
      </c>
      <c r="B67" s="2" t="s">
        <v>770</v>
      </c>
      <c r="H67" s="2">
        <v>2031</v>
      </c>
      <c r="I67" s="2">
        <v>100</v>
      </c>
      <c r="J67" s="2" t="s">
        <v>771</v>
      </c>
      <c r="O67" s="2" t="s">
        <v>769</v>
      </c>
      <c r="P67" s="2" t="s">
        <v>768</v>
      </c>
    </row>
    <row r="68" spans="1:16" x14ac:dyDescent="0.2">
      <c r="A68" s="2" t="s">
        <v>510</v>
      </c>
      <c r="B68" s="2" t="s">
        <v>774</v>
      </c>
      <c r="H68" s="2">
        <v>2031</v>
      </c>
      <c r="I68" s="2">
        <v>100</v>
      </c>
      <c r="J68" s="2" t="s">
        <v>775</v>
      </c>
      <c r="O68" s="2" t="s">
        <v>773</v>
      </c>
      <c r="P68" s="2" t="s">
        <v>772</v>
      </c>
    </row>
    <row r="69" spans="1:16" x14ac:dyDescent="0.2">
      <c r="A69" s="2" t="s">
        <v>510</v>
      </c>
      <c r="B69" s="2" t="s">
        <v>778</v>
      </c>
      <c r="H69" s="2">
        <v>2031</v>
      </c>
      <c r="I69" s="2">
        <v>100</v>
      </c>
      <c r="J69" s="2" t="s">
        <v>779</v>
      </c>
      <c r="O69" s="2" t="s">
        <v>777</v>
      </c>
      <c r="P69" s="2" t="s">
        <v>776</v>
      </c>
    </row>
    <row r="70" spans="1:16" x14ac:dyDescent="0.2">
      <c r="A70" s="2" t="s">
        <v>510</v>
      </c>
      <c r="B70" s="2" t="s">
        <v>782</v>
      </c>
      <c r="H70" s="2">
        <v>2031</v>
      </c>
      <c r="I70" s="2">
        <v>100</v>
      </c>
      <c r="J70" s="2" t="s">
        <v>783</v>
      </c>
      <c r="O70" s="2" t="s">
        <v>781</v>
      </c>
      <c r="P70" s="2" t="s">
        <v>780</v>
      </c>
    </row>
    <row r="71" spans="1:16" x14ac:dyDescent="0.2">
      <c r="A71" s="2" t="s">
        <v>510</v>
      </c>
      <c r="B71" s="2" t="s">
        <v>786</v>
      </c>
      <c r="H71" s="2">
        <v>2031</v>
      </c>
      <c r="I71" s="2">
        <v>100</v>
      </c>
      <c r="J71" s="2" t="s">
        <v>787</v>
      </c>
      <c r="O71" s="2" t="s">
        <v>785</v>
      </c>
      <c r="P71" s="2" t="s">
        <v>784</v>
      </c>
    </row>
    <row r="72" spans="1:16" x14ac:dyDescent="0.2">
      <c r="A72" s="2" t="s">
        <v>510</v>
      </c>
      <c r="B72" s="2" t="s">
        <v>790</v>
      </c>
      <c r="H72" s="2">
        <v>2031</v>
      </c>
      <c r="I72" s="2">
        <v>100</v>
      </c>
      <c r="J72" s="2" t="s">
        <v>791</v>
      </c>
      <c r="O72" s="2" t="s">
        <v>789</v>
      </c>
      <c r="P72" s="2" t="s">
        <v>788</v>
      </c>
    </row>
    <row r="73" spans="1:16" x14ac:dyDescent="0.2">
      <c r="A73" s="2" t="s">
        <v>510</v>
      </c>
      <c r="B73" s="2" t="s">
        <v>794</v>
      </c>
      <c r="H73" s="2">
        <v>2031</v>
      </c>
      <c r="I73" s="2">
        <v>100</v>
      </c>
      <c r="J73" s="2" t="s">
        <v>795</v>
      </c>
      <c r="O73" s="2" t="s">
        <v>793</v>
      </c>
      <c r="P73" s="2" t="s">
        <v>792</v>
      </c>
    </row>
    <row r="74" spans="1:16" x14ac:dyDescent="0.2">
      <c r="A74" s="2" t="s">
        <v>510</v>
      </c>
      <c r="B74" s="2" t="s">
        <v>798</v>
      </c>
      <c r="H74" s="2">
        <v>2031</v>
      </c>
      <c r="I74" s="2">
        <v>100</v>
      </c>
      <c r="J74" s="2" t="s">
        <v>799</v>
      </c>
      <c r="O74" s="2" t="s">
        <v>797</v>
      </c>
      <c r="P74" s="2" t="s">
        <v>796</v>
      </c>
    </row>
    <row r="75" spans="1:16" x14ac:dyDescent="0.2">
      <c r="A75" s="2" t="s">
        <v>510</v>
      </c>
      <c r="B75" s="2" t="s">
        <v>802</v>
      </c>
      <c r="H75" s="2">
        <v>2031</v>
      </c>
      <c r="I75" s="2">
        <v>100</v>
      </c>
      <c r="J75" s="2" t="s">
        <v>803</v>
      </c>
      <c r="O75" s="2" t="s">
        <v>801</v>
      </c>
      <c r="P75" s="2" t="s">
        <v>800</v>
      </c>
    </row>
    <row r="76" spans="1:16" x14ac:dyDescent="0.2">
      <c r="A76" s="2" t="s">
        <v>510</v>
      </c>
      <c r="B76" s="2" t="s">
        <v>806</v>
      </c>
      <c r="H76" s="2">
        <v>2031</v>
      </c>
      <c r="I76" s="2">
        <v>100</v>
      </c>
      <c r="J76" s="2" t="s">
        <v>807</v>
      </c>
      <c r="O76" s="2" t="s">
        <v>805</v>
      </c>
      <c r="P76" s="2" t="s">
        <v>804</v>
      </c>
    </row>
    <row r="77" spans="1:16" x14ac:dyDescent="0.2">
      <c r="A77" s="2" t="s">
        <v>510</v>
      </c>
      <c r="B77" s="2" t="s">
        <v>810</v>
      </c>
      <c r="H77" s="2">
        <v>2031</v>
      </c>
      <c r="I77" s="2">
        <v>100</v>
      </c>
      <c r="J77" s="2" t="s">
        <v>811</v>
      </c>
      <c r="O77" s="2" t="s">
        <v>809</v>
      </c>
      <c r="P77" s="2" t="s">
        <v>808</v>
      </c>
    </row>
    <row r="78" spans="1:16" x14ac:dyDescent="0.2">
      <c r="A78" s="2" t="s">
        <v>510</v>
      </c>
      <c r="B78" s="2" t="s">
        <v>814</v>
      </c>
      <c r="H78" s="2">
        <v>2031</v>
      </c>
      <c r="I78" s="2">
        <v>100</v>
      </c>
      <c r="J78" s="2" t="s">
        <v>815</v>
      </c>
      <c r="O78" s="2" t="s">
        <v>813</v>
      </c>
      <c r="P78" s="2" t="s">
        <v>812</v>
      </c>
    </row>
    <row r="79" spans="1:16" x14ac:dyDescent="0.2">
      <c r="A79" s="2" t="s">
        <v>510</v>
      </c>
      <c r="B79" s="2" t="s">
        <v>818</v>
      </c>
      <c r="H79" s="2">
        <v>2031</v>
      </c>
      <c r="I79" s="2">
        <v>100</v>
      </c>
      <c r="J79" s="2" t="s">
        <v>819</v>
      </c>
      <c r="O79" s="2" t="s">
        <v>817</v>
      </c>
      <c r="P79" s="2" t="s">
        <v>816</v>
      </c>
    </row>
    <row r="80" spans="1:16" x14ac:dyDescent="0.2">
      <c r="A80" s="2" t="s">
        <v>510</v>
      </c>
      <c r="B80" s="2" t="s">
        <v>822</v>
      </c>
      <c r="H80" s="2">
        <v>2031</v>
      </c>
      <c r="I80" s="2">
        <v>100</v>
      </c>
      <c r="J80" s="2" t="s">
        <v>823</v>
      </c>
      <c r="O80" s="2" t="s">
        <v>821</v>
      </c>
      <c r="P80" s="2" t="s">
        <v>820</v>
      </c>
    </row>
    <row r="81" spans="1:16" x14ac:dyDescent="0.2">
      <c r="A81" s="2" t="s">
        <v>510</v>
      </c>
      <c r="B81" s="2" t="s">
        <v>826</v>
      </c>
      <c r="H81" s="2">
        <v>2031</v>
      </c>
      <c r="I81" s="2">
        <v>100</v>
      </c>
      <c r="J81" s="2" t="s">
        <v>827</v>
      </c>
      <c r="O81" s="2" t="s">
        <v>825</v>
      </c>
      <c r="P81" s="2" t="s">
        <v>824</v>
      </c>
    </row>
    <row r="82" spans="1:16" x14ac:dyDescent="0.2">
      <c r="A82" s="2" t="s">
        <v>510</v>
      </c>
      <c r="B82" s="2" t="s">
        <v>830</v>
      </c>
      <c r="H82" s="2">
        <v>2031</v>
      </c>
      <c r="I82" s="2">
        <v>100</v>
      </c>
      <c r="J82" s="2" t="s">
        <v>831</v>
      </c>
      <c r="O82" s="2" t="s">
        <v>829</v>
      </c>
      <c r="P82" s="2" t="s">
        <v>828</v>
      </c>
    </row>
    <row r="83" spans="1:16" x14ac:dyDescent="0.2">
      <c r="A83" s="2" t="s">
        <v>510</v>
      </c>
      <c r="B83" s="2" t="s">
        <v>834</v>
      </c>
      <c r="H83" s="2">
        <v>2031</v>
      </c>
      <c r="I83" s="2">
        <v>100</v>
      </c>
      <c r="J83" s="2" t="s">
        <v>835</v>
      </c>
      <c r="O83" s="2" t="s">
        <v>833</v>
      </c>
      <c r="P83" s="2" t="s">
        <v>832</v>
      </c>
    </row>
    <row r="84" spans="1:16" x14ac:dyDescent="0.2">
      <c r="A84" s="2" t="s">
        <v>510</v>
      </c>
      <c r="B84" s="2" t="s">
        <v>838</v>
      </c>
      <c r="H84" s="2">
        <v>2031</v>
      </c>
      <c r="I84" s="2">
        <v>100</v>
      </c>
      <c r="J84" s="2" t="s">
        <v>839</v>
      </c>
      <c r="O84" s="2" t="s">
        <v>837</v>
      </c>
      <c r="P84" s="2" t="s">
        <v>836</v>
      </c>
    </row>
    <row r="85" spans="1:16" x14ac:dyDescent="0.2">
      <c r="A85" s="2" t="s">
        <v>510</v>
      </c>
      <c r="B85" s="2" t="s">
        <v>842</v>
      </c>
      <c r="H85" s="2">
        <v>2031</v>
      </c>
      <c r="I85" s="2">
        <v>100</v>
      </c>
      <c r="J85" s="2" t="s">
        <v>843</v>
      </c>
      <c r="O85" s="2" t="s">
        <v>841</v>
      </c>
      <c r="P85" s="2" t="s">
        <v>840</v>
      </c>
    </row>
    <row r="86" spans="1:16" x14ac:dyDescent="0.2">
      <c r="A86" s="2" t="s">
        <v>510</v>
      </c>
      <c r="B86" s="2" t="s">
        <v>846</v>
      </c>
      <c r="H86" s="2">
        <v>2031</v>
      </c>
      <c r="I86" s="2">
        <v>100</v>
      </c>
      <c r="J86" s="2" t="s">
        <v>847</v>
      </c>
      <c r="O86" s="2" t="s">
        <v>845</v>
      </c>
      <c r="P86" s="2" t="s">
        <v>844</v>
      </c>
    </row>
    <row r="87" spans="1:16" x14ac:dyDescent="0.2">
      <c r="A87" s="2" t="s">
        <v>510</v>
      </c>
      <c r="B87" s="2" t="s">
        <v>850</v>
      </c>
      <c r="H87" s="2">
        <v>2031</v>
      </c>
      <c r="I87" s="2">
        <v>100</v>
      </c>
      <c r="J87" s="2" t="s">
        <v>851</v>
      </c>
      <c r="O87" s="2" t="s">
        <v>849</v>
      </c>
      <c r="P87" s="2" t="s">
        <v>848</v>
      </c>
    </row>
    <row r="88" spans="1:16" x14ac:dyDescent="0.2">
      <c r="A88" s="2" t="s">
        <v>510</v>
      </c>
      <c r="B88" s="2" t="s">
        <v>854</v>
      </c>
      <c r="H88" s="2">
        <v>2031</v>
      </c>
      <c r="I88" s="2">
        <v>100</v>
      </c>
      <c r="J88" s="2" t="s">
        <v>855</v>
      </c>
      <c r="O88" s="2" t="s">
        <v>853</v>
      </c>
      <c r="P88" s="2" t="s">
        <v>852</v>
      </c>
    </row>
    <row r="89" spans="1:16" x14ac:dyDescent="0.2">
      <c r="A89" s="2" t="s">
        <v>510</v>
      </c>
      <c r="B89" s="2" t="s">
        <v>858</v>
      </c>
      <c r="H89" s="2">
        <v>2031</v>
      </c>
      <c r="I89" s="2">
        <v>100</v>
      </c>
      <c r="J89" s="2" t="s">
        <v>859</v>
      </c>
      <c r="O89" s="2" t="s">
        <v>857</v>
      </c>
      <c r="P89" s="2" t="s">
        <v>856</v>
      </c>
    </row>
    <row r="90" spans="1:16" x14ac:dyDescent="0.2">
      <c r="A90" s="2" t="s">
        <v>510</v>
      </c>
      <c r="B90" s="2" t="s">
        <v>861</v>
      </c>
      <c r="H90" s="2">
        <v>2031</v>
      </c>
      <c r="I90" s="2">
        <v>100</v>
      </c>
      <c r="J90" s="2" t="s">
        <v>862</v>
      </c>
      <c r="O90" s="2" t="s">
        <v>857</v>
      </c>
      <c r="P90" s="2" t="s">
        <v>860</v>
      </c>
    </row>
    <row r="91" spans="1:16" x14ac:dyDescent="0.2">
      <c r="A91" s="2" t="s">
        <v>510</v>
      </c>
      <c r="B91" s="2" t="s">
        <v>864</v>
      </c>
      <c r="H91" s="2">
        <v>2031</v>
      </c>
      <c r="I91" s="2">
        <v>100</v>
      </c>
      <c r="J91" s="2" t="s">
        <v>865</v>
      </c>
      <c r="O91" s="2" t="s">
        <v>853</v>
      </c>
      <c r="P91" s="2" t="s">
        <v>863</v>
      </c>
    </row>
    <row r="92" spans="1:16" x14ac:dyDescent="0.2">
      <c r="A92" s="2" t="s">
        <v>510</v>
      </c>
      <c r="B92" s="2" t="s">
        <v>867</v>
      </c>
      <c r="H92" s="2">
        <v>2031</v>
      </c>
      <c r="I92" s="2">
        <v>100</v>
      </c>
      <c r="J92" s="2" t="s">
        <v>868</v>
      </c>
      <c r="O92" s="2" t="s">
        <v>773</v>
      </c>
      <c r="P92" s="2" t="s">
        <v>866</v>
      </c>
    </row>
    <row r="93" spans="1:16" x14ac:dyDescent="0.2">
      <c r="A93" s="2" t="s">
        <v>510</v>
      </c>
      <c r="B93" s="2" t="s">
        <v>871</v>
      </c>
      <c r="H93" s="2">
        <v>2031</v>
      </c>
      <c r="I93" s="2">
        <v>100</v>
      </c>
      <c r="J93" s="2" t="s">
        <v>872</v>
      </c>
      <c r="O93" s="2" t="s">
        <v>870</v>
      </c>
      <c r="P93" s="2" t="s">
        <v>869</v>
      </c>
    </row>
    <row r="94" spans="1:16" x14ac:dyDescent="0.2">
      <c r="A94" s="2" t="s">
        <v>510</v>
      </c>
      <c r="B94" s="2" t="s">
        <v>874</v>
      </c>
      <c r="H94" s="2">
        <v>2031</v>
      </c>
      <c r="I94" s="2">
        <v>100</v>
      </c>
      <c r="J94" s="2" t="s">
        <v>875</v>
      </c>
      <c r="O94" s="2" t="s">
        <v>870</v>
      </c>
      <c r="P94" s="2" t="s">
        <v>873</v>
      </c>
    </row>
    <row r="95" spans="1:16" x14ac:dyDescent="0.2">
      <c r="A95" s="2" t="s">
        <v>510</v>
      </c>
      <c r="B95" s="2" t="s">
        <v>877</v>
      </c>
      <c r="H95" s="2">
        <v>2031</v>
      </c>
      <c r="I95" s="2">
        <v>100</v>
      </c>
      <c r="J95" s="2" t="s">
        <v>878</v>
      </c>
      <c r="O95" s="2" t="s">
        <v>870</v>
      </c>
      <c r="P95" s="2" t="s">
        <v>876</v>
      </c>
    </row>
    <row r="96" spans="1:16" x14ac:dyDescent="0.2">
      <c r="A96" s="2" t="s">
        <v>510</v>
      </c>
      <c r="B96" s="2" t="s">
        <v>881</v>
      </c>
      <c r="H96" s="2">
        <v>2031</v>
      </c>
      <c r="I96" s="2">
        <v>100</v>
      </c>
      <c r="J96" s="2" t="s">
        <v>882</v>
      </c>
      <c r="O96" s="2" t="s">
        <v>880</v>
      </c>
      <c r="P96" s="2" t="s">
        <v>879</v>
      </c>
    </row>
    <row r="97" spans="1:16" x14ac:dyDescent="0.2">
      <c r="A97" s="2" t="s">
        <v>510</v>
      </c>
      <c r="B97" s="2" t="s">
        <v>884</v>
      </c>
      <c r="H97" s="2">
        <v>2031</v>
      </c>
      <c r="I97" s="2">
        <v>100</v>
      </c>
      <c r="J97" s="2" t="s">
        <v>885</v>
      </c>
      <c r="O97" s="2" t="s">
        <v>870</v>
      </c>
      <c r="P97" s="2" t="s">
        <v>883</v>
      </c>
    </row>
    <row r="98" spans="1:16" x14ac:dyDescent="0.2">
      <c r="A98" s="2" t="s">
        <v>510</v>
      </c>
      <c r="B98" s="2" t="s">
        <v>887</v>
      </c>
      <c r="H98" s="2">
        <v>2031</v>
      </c>
      <c r="I98" s="2">
        <v>100</v>
      </c>
      <c r="J98" s="2" t="s">
        <v>888</v>
      </c>
      <c r="O98" s="2" t="s">
        <v>870</v>
      </c>
      <c r="P98" s="2" t="s">
        <v>886</v>
      </c>
    </row>
    <row r="99" spans="1:16" x14ac:dyDescent="0.2">
      <c r="A99" s="2" t="s">
        <v>510</v>
      </c>
      <c r="B99" s="2" t="s">
        <v>890</v>
      </c>
      <c r="H99" s="2">
        <v>2031</v>
      </c>
      <c r="I99" s="2">
        <v>100</v>
      </c>
      <c r="J99" s="2" t="s">
        <v>891</v>
      </c>
      <c r="O99" s="2" t="s">
        <v>870</v>
      </c>
      <c r="P99" s="2" t="s">
        <v>889</v>
      </c>
    </row>
    <row r="100" spans="1:16" x14ac:dyDescent="0.2">
      <c r="A100" s="2" t="s">
        <v>510</v>
      </c>
      <c r="B100" s="2" t="s">
        <v>893</v>
      </c>
      <c r="H100" s="2">
        <v>2031</v>
      </c>
      <c r="I100" s="2">
        <v>100</v>
      </c>
      <c r="J100" s="2" t="s">
        <v>894</v>
      </c>
      <c r="O100" s="2" t="s">
        <v>870</v>
      </c>
      <c r="P100" s="2" t="s">
        <v>892</v>
      </c>
    </row>
    <row r="101" spans="1:16" x14ac:dyDescent="0.2">
      <c r="A101" s="2" t="s">
        <v>510</v>
      </c>
      <c r="B101" s="2" t="s">
        <v>896</v>
      </c>
      <c r="H101" s="2">
        <v>2031</v>
      </c>
      <c r="I101" s="2">
        <v>100</v>
      </c>
      <c r="J101" s="2" t="s">
        <v>897</v>
      </c>
      <c r="O101" s="2" t="s">
        <v>870</v>
      </c>
      <c r="P101" s="2" t="s">
        <v>895</v>
      </c>
    </row>
    <row r="102" spans="1:16" x14ac:dyDescent="0.2">
      <c r="A102" s="2" t="s">
        <v>510</v>
      </c>
      <c r="B102" s="2" t="s">
        <v>899</v>
      </c>
      <c r="H102" s="2">
        <v>2031</v>
      </c>
      <c r="I102" s="2">
        <v>100</v>
      </c>
      <c r="J102" s="2" t="s">
        <v>900</v>
      </c>
      <c r="O102" s="2" t="s">
        <v>870</v>
      </c>
      <c r="P102" s="2" t="s">
        <v>898</v>
      </c>
    </row>
    <row r="103" spans="1:16" x14ac:dyDescent="0.2">
      <c r="A103" s="2" t="s">
        <v>510</v>
      </c>
      <c r="B103" s="2" t="s">
        <v>902</v>
      </c>
      <c r="H103" s="2">
        <v>2031</v>
      </c>
      <c r="I103" s="2">
        <v>100</v>
      </c>
      <c r="J103" s="2" t="s">
        <v>903</v>
      </c>
      <c r="O103" s="2" t="s">
        <v>870</v>
      </c>
      <c r="P103" s="2" t="s">
        <v>901</v>
      </c>
    </row>
    <row r="104" spans="1:16" x14ac:dyDescent="0.2">
      <c r="A104" s="2" t="s">
        <v>510</v>
      </c>
      <c r="B104" s="2" t="s">
        <v>905</v>
      </c>
      <c r="H104" s="2">
        <v>2031</v>
      </c>
      <c r="I104" s="2">
        <v>100</v>
      </c>
      <c r="J104" s="2" t="s">
        <v>906</v>
      </c>
      <c r="O104" s="2" t="s">
        <v>870</v>
      </c>
      <c r="P104" s="2" t="s">
        <v>904</v>
      </c>
    </row>
    <row r="105" spans="1:16" x14ac:dyDescent="0.2">
      <c r="A105" s="2" t="s">
        <v>510</v>
      </c>
      <c r="B105" s="2" t="s">
        <v>908</v>
      </c>
      <c r="H105" s="2">
        <v>2031</v>
      </c>
      <c r="I105" s="2">
        <v>100</v>
      </c>
      <c r="J105" s="2" t="s">
        <v>909</v>
      </c>
      <c r="O105" s="2" t="s">
        <v>870</v>
      </c>
      <c r="P105" s="2" t="s">
        <v>907</v>
      </c>
    </row>
    <row r="106" spans="1:16" x14ac:dyDescent="0.2">
      <c r="A106" s="2" t="s">
        <v>510</v>
      </c>
      <c r="B106" s="2" t="s">
        <v>911</v>
      </c>
      <c r="H106" s="2">
        <v>2031</v>
      </c>
      <c r="I106" s="2">
        <v>100</v>
      </c>
      <c r="J106" s="2" t="s">
        <v>912</v>
      </c>
      <c r="O106" s="2" t="s">
        <v>870</v>
      </c>
      <c r="P106" s="2" t="s">
        <v>910</v>
      </c>
    </row>
    <row r="107" spans="1:16" x14ac:dyDescent="0.2">
      <c r="A107" s="2" t="s">
        <v>510</v>
      </c>
      <c r="B107" s="2" t="s">
        <v>914</v>
      </c>
      <c r="H107" s="2">
        <v>2031</v>
      </c>
      <c r="I107" s="2">
        <v>100</v>
      </c>
      <c r="J107" s="2" t="s">
        <v>915</v>
      </c>
      <c r="O107" s="2" t="s">
        <v>870</v>
      </c>
      <c r="P107" s="2" t="s">
        <v>913</v>
      </c>
    </row>
    <row r="108" spans="1:16" x14ac:dyDescent="0.2">
      <c r="A108" s="2" t="s">
        <v>510</v>
      </c>
      <c r="B108" s="2" t="s">
        <v>917</v>
      </c>
      <c r="H108" s="2">
        <v>2031</v>
      </c>
      <c r="I108" s="2">
        <v>100</v>
      </c>
      <c r="J108" s="2" t="s">
        <v>918</v>
      </c>
      <c r="O108" s="2" t="s">
        <v>870</v>
      </c>
      <c r="P108" s="2" t="s">
        <v>916</v>
      </c>
    </row>
    <row r="109" spans="1:16" x14ac:dyDescent="0.2">
      <c r="A109" s="2" t="s">
        <v>510</v>
      </c>
      <c r="B109" s="2" t="s">
        <v>920</v>
      </c>
      <c r="H109" s="2">
        <v>2031</v>
      </c>
      <c r="I109" s="2">
        <v>100</v>
      </c>
      <c r="J109" s="2" t="s">
        <v>921</v>
      </c>
      <c r="O109" s="2" t="s">
        <v>870</v>
      </c>
      <c r="P109" s="2" t="s">
        <v>919</v>
      </c>
    </row>
    <row r="110" spans="1:16" x14ac:dyDescent="0.2">
      <c r="A110" s="2" t="s">
        <v>510</v>
      </c>
      <c r="B110" s="2" t="s">
        <v>923</v>
      </c>
      <c r="H110" s="2">
        <v>2031</v>
      </c>
      <c r="I110" s="2">
        <v>100</v>
      </c>
      <c r="J110" s="2" t="s">
        <v>924</v>
      </c>
      <c r="O110" s="2" t="s">
        <v>870</v>
      </c>
      <c r="P110" s="2" t="s">
        <v>922</v>
      </c>
    </row>
    <row r="111" spans="1:16" x14ac:dyDescent="0.2">
      <c r="A111" s="2" t="s">
        <v>510</v>
      </c>
      <c r="B111" s="2" t="s">
        <v>926</v>
      </c>
      <c r="H111" s="2">
        <v>2031</v>
      </c>
      <c r="I111" s="2">
        <v>100</v>
      </c>
      <c r="J111" s="2" t="s">
        <v>927</v>
      </c>
      <c r="O111" s="2" t="s">
        <v>870</v>
      </c>
      <c r="P111" s="2" t="s">
        <v>925</v>
      </c>
    </row>
    <row r="112" spans="1:16" x14ac:dyDescent="0.2">
      <c r="A112" s="2" t="s">
        <v>510</v>
      </c>
      <c r="B112" s="2" t="s">
        <v>929</v>
      </c>
      <c r="H112" s="2">
        <v>2031</v>
      </c>
      <c r="I112" s="2">
        <v>100</v>
      </c>
      <c r="J112" s="2" t="s">
        <v>930</v>
      </c>
      <c r="O112" s="2" t="s">
        <v>870</v>
      </c>
      <c r="P112" s="2" t="s">
        <v>928</v>
      </c>
    </row>
    <row r="113" spans="1:16" x14ac:dyDescent="0.2">
      <c r="A113" s="2" t="s">
        <v>510</v>
      </c>
      <c r="B113" s="2" t="s">
        <v>932</v>
      </c>
      <c r="H113" s="2">
        <v>2031</v>
      </c>
      <c r="I113" s="2">
        <v>100</v>
      </c>
      <c r="J113" s="2" t="s">
        <v>933</v>
      </c>
      <c r="O113" s="2" t="s">
        <v>870</v>
      </c>
      <c r="P113" s="2" t="s">
        <v>931</v>
      </c>
    </row>
    <row r="114" spans="1:16" x14ac:dyDescent="0.2">
      <c r="A114" s="2" t="s">
        <v>510</v>
      </c>
      <c r="B114" s="2" t="s">
        <v>935</v>
      </c>
      <c r="H114" s="2">
        <v>2031</v>
      </c>
      <c r="I114" s="2">
        <v>100</v>
      </c>
      <c r="J114" s="2" t="s">
        <v>936</v>
      </c>
      <c r="O114" s="2" t="s">
        <v>870</v>
      </c>
      <c r="P114" s="2" t="s">
        <v>934</v>
      </c>
    </row>
    <row r="115" spans="1:16" x14ac:dyDescent="0.2">
      <c r="A115" s="2" t="s">
        <v>510</v>
      </c>
      <c r="B115" s="2" t="s">
        <v>938</v>
      </c>
      <c r="H115" s="2">
        <v>2031</v>
      </c>
      <c r="I115" s="2">
        <v>100</v>
      </c>
      <c r="J115" s="2" t="s">
        <v>939</v>
      </c>
      <c r="O115" s="2" t="s">
        <v>870</v>
      </c>
      <c r="P115" s="2" t="s">
        <v>937</v>
      </c>
    </row>
    <row r="116" spans="1:16" x14ac:dyDescent="0.2">
      <c r="A116" s="2" t="s">
        <v>510</v>
      </c>
      <c r="B116" s="2" t="s">
        <v>941</v>
      </c>
      <c r="H116" s="2">
        <v>2031</v>
      </c>
      <c r="I116" s="2">
        <v>100</v>
      </c>
      <c r="J116" s="2" t="s">
        <v>942</v>
      </c>
      <c r="O116" s="2" t="s">
        <v>870</v>
      </c>
      <c r="P116" s="2" t="s">
        <v>940</v>
      </c>
    </row>
    <row r="117" spans="1:16" x14ac:dyDescent="0.2">
      <c r="A117" s="2" t="s">
        <v>510</v>
      </c>
      <c r="B117" s="2" t="s">
        <v>944</v>
      </c>
      <c r="H117" s="2">
        <v>2031</v>
      </c>
      <c r="I117" s="2">
        <v>100</v>
      </c>
      <c r="J117" s="2" t="s">
        <v>945</v>
      </c>
      <c r="O117" s="2" t="s">
        <v>753</v>
      </c>
      <c r="P117" s="2" t="s">
        <v>943</v>
      </c>
    </row>
    <row r="118" spans="1:16" x14ac:dyDescent="0.2">
      <c r="A118" s="2" t="s">
        <v>510</v>
      </c>
      <c r="B118" s="2" t="s">
        <v>948</v>
      </c>
      <c r="H118" s="2">
        <v>2031</v>
      </c>
      <c r="I118" s="2">
        <v>100</v>
      </c>
      <c r="J118" s="2" t="s">
        <v>949</v>
      </c>
      <c r="O118" s="2" t="s">
        <v>947</v>
      </c>
      <c r="P118" s="2" t="s">
        <v>946</v>
      </c>
    </row>
    <row r="119" spans="1:16" x14ac:dyDescent="0.2">
      <c r="A119" s="2" t="s">
        <v>510</v>
      </c>
      <c r="B119" s="2" t="s">
        <v>952</v>
      </c>
      <c r="H119" s="2">
        <v>2031</v>
      </c>
      <c r="I119" s="2">
        <v>100</v>
      </c>
      <c r="J119" s="2" t="s">
        <v>953</v>
      </c>
      <c r="O119" s="2" t="s">
        <v>951</v>
      </c>
      <c r="P119" s="2" t="s">
        <v>950</v>
      </c>
    </row>
    <row r="120" spans="1:16" x14ac:dyDescent="0.2">
      <c r="A120" s="2" t="s">
        <v>510</v>
      </c>
      <c r="B120" s="2" t="s">
        <v>956</v>
      </c>
      <c r="H120" s="2">
        <v>2031</v>
      </c>
      <c r="I120" s="2">
        <v>100</v>
      </c>
      <c r="J120" s="2" t="s">
        <v>957</v>
      </c>
      <c r="O120" s="2" t="s">
        <v>955</v>
      </c>
      <c r="P120" s="2" t="s">
        <v>954</v>
      </c>
    </row>
    <row r="121" spans="1:16" x14ac:dyDescent="0.2">
      <c r="A121" s="2" t="s">
        <v>510</v>
      </c>
      <c r="B121" s="2" t="s">
        <v>959</v>
      </c>
      <c r="H121" s="2">
        <v>2031</v>
      </c>
      <c r="I121" s="2">
        <v>100</v>
      </c>
      <c r="J121" s="2" t="s">
        <v>960</v>
      </c>
      <c r="O121" s="2" t="s">
        <v>749</v>
      </c>
      <c r="P121" s="2" t="s">
        <v>958</v>
      </c>
    </row>
    <row r="122" spans="1:16" x14ac:dyDescent="0.2">
      <c r="A122" s="2" t="s">
        <v>510</v>
      </c>
      <c r="B122" s="2" t="s">
        <v>963</v>
      </c>
      <c r="H122" s="2">
        <v>2031</v>
      </c>
      <c r="I122" s="2">
        <v>100</v>
      </c>
      <c r="J122" s="2" t="s">
        <v>964</v>
      </c>
      <c r="O122" s="2" t="s">
        <v>962</v>
      </c>
      <c r="P122" s="2" t="s">
        <v>961</v>
      </c>
    </row>
    <row r="123" spans="1:16" x14ac:dyDescent="0.2">
      <c r="A123" s="2" t="s">
        <v>510</v>
      </c>
      <c r="B123" s="2" t="s">
        <v>967</v>
      </c>
      <c r="H123" s="2">
        <v>2031</v>
      </c>
      <c r="I123" s="2">
        <v>100</v>
      </c>
      <c r="J123" s="2" t="s">
        <v>968</v>
      </c>
      <c r="O123" s="2" t="s">
        <v>966</v>
      </c>
      <c r="P123" s="2" t="s">
        <v>965</v>
      </c>
    </row>
    <row r="124" spans="1:16" x14ac:dyDescent="0.2">
      <c r="A124" s="2" t="s">
        <v>510</v>
      </c>
      <c r="B124" s="2" t="s">
        <v>970</v>
      </c>
      <c r="H124" s="2">
        <v>2031</v>
      </c>
      <c r="I124" s="2">
        <v>100</v>
      </c>
      <c r="J124" s="2" t="s">
        <v>971</v>
      </c>
      <c r="O124" s="2" t="s">
        <v>745</v>
      </c>
      <c r="P124" s="2" t="s">
        <v>969</v>
      </c>
    </row>
    <row r="125" spans="1:16" x14ac:dyDescent="0.2">
      <c r="A125" s="2" t="s">
        <v>510</v>
      </c>
      <c r="B125" s="2" t="s">
        <v>973</v>
      </c>
      <c r="H125" s="2">
        <v>2031</v>
      </c>
      <c r="I125" s="2">
        <v>100</v>
      </c>
      <c r="J125" s="2" t="s">
        <v>974</v>
      </c>
      <c r="O125" s="2" t="s">
        <v>741</v>
      </c>
      <c r="P125" s="2" t="s">
        <v>972</v>
      </c>
    </row>
    <row r="126" spans="1:16" x14ac:dyDescent="0.2">
      <c r="A126" s="2" t="s">
        <v>510</v>
      </c>
      <c r="B126" s="2" t="s">
        <v>977</v>
      </c>
      <c r="H126" s="2">
        <v>2031</v>
      </c>
      <c r="I126" s="2">
        <v>100</v>
      </c>
      <c r="J126" s="2" t="s">
        <v>978</v>
      </c>
      <c r="O126" s="2" t="s">
        <v>976</v>
      </c>
      <c r="P126" s="2" t="s">
        <v>975</v>
      </c>
    </row>
    <row r="127" spans="1:16" x14ac:dyDescent="0.2">
      <c r="A127" s="2" t="s">
        <v>510</v>
      </c>
      <c r="B127" s="2" t="s">
        <v>981</v>
      </c>
      <c r="H127" s="2">
        <v>2031</v>
      </c>
      <c r="I127" s="2">
        <v>100</v>
      </c>
      <c r="J127" s="2" t="s">
        <v>982</v>
      </c>
      <c r="O127" s="2" t="s">
        <v>980</v>
      </c>
      <c r="P127" s="2" t="s">
        <v>979</v>
      </c>
    </row>
    <row r="128" spans="1:16" x14ac:dyDescent="0.2">
      <c r="A128" s="2" t="s">
        <v>510</v>
      </c>
      <c r="B128" s="2" t="s">
        <v>985</v>
      </c>
      <c r="H128" s="2">
        <v>2031</v>
      </c>
      <c r="I128" s="2">
        <v>100</v>
      </c>
      <c r="J128" s="2" t="s">
        <v>986</v>
      </c>
      <c r="O128" s="2" t="s">
        <v>984</v>
      </c>
      <c r="P128" s="2" t="s">
        <v>983</v>
      </c>
    </row>
    <row r="129" spans="1:16" x14ac:dyDescent="0.2">
      <c r="A129" s="2" t="s">
        <v>510</v>
      </c>
      <c r="B129" s="2" t="s">
        <v>989</v>
      </c>
      <c r="H129" s="2">
        <v>2031</v>
      </c>
      <c r="I129" s="2">
        <v>100</v>
      </c>
      <c r="J129" s="2" t="s">
        <v>990</v>
      </c>
      <c r="O129" s="2" t="s">
        <v>988</v>
      </c>
      <c r="P129" s="2" t="s">
        <v>987</v>
      </c>
    </row>
    <row r="130" spans="1:16" x14ac:dyDescent="0.2">
      <c r="A130" s="2" t="s">
        <v>510</v>
      </c>
      <c r="B130" s="2" t="s">
        <v>993</v>
      </c>
      <c r="H130" s="2">
        <v>2031</v>
      </c>
      <c r="I130" s="2">
        <v>100</v>
      </c>
      <c r="J130" s="2" t="s">
        <v>994</v>
      </c>
      <c r="O130" s="2" t="s">
        <v>992</v>
      </c>
      <c r="P130" s="2" t="s">
        <v>991</v>
      </c>
    </row>
    <row r="131" spans="1:16" x14ac:dyDescent="0.2">
      <c r="A131" s="2" t="s">
        <v>510</v>
      </c>
      <c r="B131" s="2" t="s">
        <v>996</v>
      </c>
      <c r="H131" s="2">
        <v>2031</v>
      </c>
      <c r="I131" s="2">
        <v>100</v>
      </c>
      <c r="J131" s="2" t="s">
        <v>997</v>
      </c>
      <c r="O131" s="2" t="s">
        <v>729</v>
      </c>
      <c r="P131" s="2" t="s">
        <v>995</v>
      </c>
    </row>
    <row r="132" spans="1:16" x14ac:dyDescent="0.2">
      <c r="A132" s="2" t="s">
        <v>510</v>
      </c>
      <c r="B132" s="2" t="s">
        <v>1000</v>
      </c>
      <c r="H132" s="2">
        <v>2031</v>
      </c>
      <c r="I132" s="2">
        <v>100</v>
      </c>
      <c r="J132" s="2" t="s">
        <v>1001</v>
      </c>
      <c r="O132" s="2" t="s">
        <v>999</v>
      </c>
      <c r="P132" s="2" t="s">
        <v>998</v>
      </c>
    </row>
    <row r="133" spans="1:16" x14ac:dyDescent="0.2">
      <c r="A133" s="2" t="s">
        <v>510</v>
      </c>
      <c r="B133" s="2" t="s">
        <v>1004</v>
      </c>
      <c r="H133" s="2">
        <v>2031</v>
      </c>
      <c r="I133" s="2">
        <v>100</v>
      </c>
      <c r="J133" s="2" t="s">
        <v>1005</v>
      </c>
      <c r="O133" s="2" t="s">
        <v>1003</v>
      </c>
      <c r="P133" s="2" t="s">
        <v>1002</v>
      </c>
    </row>
    <row r="134" spans="1:16" x14ac:dyDescent="0.2">
      <c r="A134" s="2" t="s">
        <v>510</v>
      </c>
      <c r="B134" s="2" t="s">
        <v>1008</v>
      </c>
      <c r="H134" s="2">
        <v>2031</v>
      </c>
      <c r="I134" s="2">
        <v>100</v>
      </c>
      <c r="J134" s="2" t="s">
        <v>1009</v>
      </c>
      <c r="O134" s="2" t="s">
        <v>1007</v>
      </c>
      <c r="P134" s="2" t="s">
        <v>1006</v>
      </c>
    </row>
    <row r="135" spans="1:16" x14ac:dyDescent="0.2">
      <c r="A135" s="2" t="s">
        <v>510</v>
      </c>
      <c r="B135" s="2" t="s">
        <v>1012</v>
      </c>
      <c r="H135" s="2">
        <v>2031</v>
      </c>
      <c r="I135" s="2">
        <v>100</v>
      </c>
      <c r="J135" s="2" t="s">
        <v>1013</v>
      </c>
      <c r="O135" s="2" t="s">
        <v>1011</v>
      </c>
      <c r="P135" s="2" t="s">
        <v>1010</v>
      </c>
    </row>
    <row r="136" spans="1:16" x14ac:dyDescent="0.2">
      <c r="A136" s="2" t="s">
        <v>510</v>
      </c>
      <c r="B136" s="2" t="s">
        <v>1016</v>
      </c>
      <c r="H136" s="2">
        <v>2031</v>
      </c>
      <c r="I136" s="2">
        <v>100</v>
      </c>
      <c r="J136" s="2" t="s">
        <v>1017</v>
      </c>
      <c r="O136" s="2" t="s">
        <v>1015</v>
      </c>
      <c r="P136" s="2" t="s">
        <v>1014</v>
      </c>
    </row>
    <row r="137" spans="1:16" x14ac:dyDescent="0.2">
      <c r="A137" s="2" t="s">
        <v>510</v>
      </c>
      <c r="B137" s="2" t="s">
        <v>1020</v>
      </c>
      <c r="H137" s="2">
        <v>2031</v>
      </c>
      <c r="I137" s="2">
        <v>100</v>
      </c>
      <c r="J137" s="2" t="s">
        <v>1021</v>
      </c>
      <c r="O137" s="2" t="s">
        <v>1019</v>
      </c>
      <c r="P137" s="2" t="s">
        <v>1018</v>
      </c>
    </row>
    <row r="138" spans="1:16" x14ac:dyDescent="0.2">
      <c r="A138" s="2" t="s">
        <v>510</v>
      </c>
      <c r="B138" s="2" t="s">
        <v>1024</v>
      </c>
      <c r="H138" s="2">
        <v>2031</v>
      </c>
      <c r="I138" s="2">
        <v>100</v>
      </c>
      <c r="J138" s="2" t="s">
        <v>1025</v>
      </c>
      <c r="O138" s="2" t="s">
        <v>1023</v>
      </c>
      <c r="P138" s="2" t="s">
        <v>1022</v>
      </c>
    </row>
    <row r="139" spans="1:16" x14ac:dyDescent="0.2">
      <c r="A139" s="2" t="s">
        <v>510</v>
      </c>
      <c r="B139" s="2" t="s">
        <v>1027</v>
      </c>
      <c r="H139" s="2">
        <v>2031</v>
      </c>
      <c r="I139" s="2">
        <v>100</v>
      </c>
      <c r="J139" s="2" t="s">
        <v>1028</v>
      </c>
      <c r="O139" s="2" t="s">
        <v>1011</v>
      </c>
      <c r="P139" s="2" t="s">
        <v>1026</v>
      </c>
    </row>
    <row r="140" spans="1:16" x14ac:dyDescent="0.2">
      <c r="A140" s="2" t="s">
        <v>510</v>
      </c>
      <c r="B140" s="2" t="s">
        <v>1030</v>
      </c>
      <c r="H140" s="2">
        <v>2031</v>
      </c>
      <c r="I140" s="2">
        <v>100</v>
      </c>
      <c r="J140" s="2" t="s">
        <v>1031</v>
      </c>
      <c r="O140" s="2" t="s">
        <v>1007</v>
      </c>
      <c r="P140" s="2" t="s">
        <v>1029</v>
      </c>
    </row>
    <row r="141" spans="1:16" x14ac:dyDescent="0.2">
      <c r="A141" s="2" t="s">
        <v>510</v>
      </c>
      <c r="B141" s="2" t="s">
        <v>1034</v>
      </c>
      <c r="H141" s="2">
        <v>2031</v>
      </c>
      <c r="I141" s="2">
        <v>100</v>
      </c>
      <c r="J141" s="2" t="s">
        <v>1035</v>
      </c>
      <c r="O141" s="2" t="s">
        <v>1033</v>
      </c>
      <c r="P141" s="2" t="s">
        <v>1032</v>
      </c>
    </row>
    <row r="142" spans="1:16" x14ac:dyDescent="0.2">
      <c r="A142" s="2" t="s">
        <v>510</v>
      </c>
      <c r="B142" s="2" t="s">
        <v>1037</v>
      </c>
      <c r="H142" s="2">
        <v>2031</v>
      </c>
      <c r="I142" s="2">
        <v>100</v>
      </c>
      <c r="J142" s="2" t="s">
        <v>1038</v>
      </c>
      <c r="O142" s="2" t="s">
        <v>1003</v>
      </c>
      <c r="P142" s="2" t="s">
        <v>1036</v>
      </c>
    </row>
    <row r="143" spans="1:16" x14ac:dyDescent="0.2">
      <c r="A143" s="2" t="s">
        <v>510</v>
      </c>
      <c r="B143" s="2" t="s">
        <v>1040</v>
      </c>
      <c r="H143" s="2">
        <v>2031</v>
      </c>
      <c r="I143" s="2">
        <v>100</v>
      </c>
      <c r="J143" s="2" t="s">
        <v>1041</v>
      </c>
      <c r="O143" s="2" t="s">
        <v>999</v>
      </c>
      <c r="P143" s="2" t="s">
        <v>1039</v>
      </c>
    </row>
    <row r="144" spans="1:16" x14ac:dyDescent="0.2">
      <c r="A144" s="2" t="s">
        <v>510</v>
      </c>
      <c r="B144" s="2" t="s">
        <v>1043</v>
      </c>
      <c r="H144" s="2">
        <v>2031</v>
      </c>
      <c r="I144" s="2">
        <v>100</v>
      </c>
      <c r="J144" s="2" t="s">
        <v>1044</v>
      </c>
      <c r="O144" s="2" t="s">
        <v>729</v>
      </c>
      <c r="P144" s="2" t="s">
        <v>1042</v>
      </c>
    </row>
    <row r="145" spans="1:16" x14ac:dyDescent="0.2">
      <c r="A145" s="2" t="s">
        <v>510</v>
      </c>
      <c r="B145" s="2" t="s">
        <v>1047</v>
      </c>
      <c r="H145" s="2">
        <v>2031</v>
      </c>
      <c r="I145" s="2">
        <v>100</v>
      </c>
      <c r="J145" s="2" t="s">
        <v>1048</v>
      </c>
      <c r="O145" s="2" t="s">
        <v>1046</v>
      </c>
      <c r="P145" s="2" t="s">
        <v>1045</v>
      </c>
    </row>
    <row r="146" spans="1:16" x14ac:dyDescent="0.2">
      <c r="A146" s="2" t="s">
        <v>510</v>
      </c>
      <c r="B146" s="2" t="s">
        <v>1050</v>
      </c>
      <c r="H146" s="2">
        <v>2031</v>
      </c>
      <c r="I146" s="2">
        <v>100</v>
      </c>
      <c r="J146" s="2" t="s">
        <v>1051</v>
      </c>
      <c r="O146" s="2" t="s">
        <v>992</v>
      </c>
      <c r="P146" s="2" t="s">
        <v>1049</v>
      </c>
    </row>
    <row r="147" spans="1:16" x14ac:dyDescent="0.2">
      <c r="A147" s="2" t="s">
        <v>510</v>
      </c>
      <c r="B147" s="2" t="s">
        <v>1053</v>
      </c>
      <c r="H147" s="2">
        <v>2031</v>
      </c>
      <c r="I147" s="2">
        <v>100</v>
      </c>
      <c r="J147" s="2" t="s">
        <v>1054</v>
      </c>
      <c r="O147" s="2" t="s">
        <v>992</v>
      </c>
      <c r="P147" s="2" t="s">
        <v>1052</v>
      </c>
    </row>
    <row r="148" spans="1:16" x14ac:dyDescent="0.2">
      <c r="A148" s="2" t="s">
        <v>510</v>
      </c>
      <c r="B148" s="2" t="s">
        <v>1056</v>
      </c>
      <c r="H148" s="2">
        <v>2031</v>
      </c>
      <c r="I148" s="2">
        <v>100</v>
      </c>
      <c r="J148" s="2" t="s">
        <v>1057</v>
      </c>
      <c r="O148" s="2" t="s">
        <v>733</v>
      </c>
      <c r="P148" s="2" t="s">
        <v>1055</v>
      </c>
    </row>
    <row r="149" spans="1:16" x14ac:dyDescent="0.2">
      <c r="A149" s="2" t="s">
        <v>510</v>
      </c>
      <c r="B149" s="2" t="s">
        <v>1059</v>
      </c>
      <c r="H149" s="2">
        <v>2031</v>
      </c>
      <c r="I149" s="2">
        <v>100</v>
      </c>
      <c r="J149" s="2" t="s">
        <v>1060</v>
      </c>
      <c r="O149" s="2" t="s">
        <v>984</v>
      </c>
      <c r="P149" s="2" t="s">
        <v>1058</v>
      </c>
    </row>
    <row r="150" spans="1:16" x14ac:dyDescent="0.2">
      <c r="A150" s="2" t="s">
        <v>510</v>
      </c>
      <c r="B150" s="2" t="s">
        <v>1062</v>
      </c>
      <c r="H150" s="2">
        <v>2031</v>
      </c>
      <c r="I150" s="2">
        <v>100</v>
      </c>
      <c r="J150" s="2" t="s">
        <v>1063</v>
      </c>
      <c r="O150" s="2" t="s">
        <v>976</v>
      </c>
      <c r="P150" s="2" t="s">
        <v>1061</v>
      </c>
    </row>
    <row r="151" spans="1:16" x14ac:dyDescent="0.2">
      <c r="A151" s="2" t="s">
        <v>510</v>
      </c>
      <c r="B151" s="2" t="s">
        <v>1065</v>
      </c>
      <c r="H151" s="2">
        <v>2031</v>
      </c>
      <c r="I151" s="2">
        <v>100</v>
      </c>
      <c r="J151" s="2" t="s">
        <v>1066</v>
      </c>
      <c r="O151" s="2" t="s">
        <v>976</v>
      </c>
      <c r="P151" s="2" t="s">
        <v>1064</v>
      </c>
    </row>
    <row r="152" spans="1:16" x14ac:dyDescent="0.2">
      <c r="A152" s="2" t="s">
        <v>510</v>
      </c>
      <c r="B152" s="2" t="s">
        <v>1068</v>
      </c>
      <c r="H152" s="2">
        <v>2031</v>
      </c>
      <c r="I152" s="2">
        <v>100</v>
      </c>
      <c r="J152" s="2" t="s">
        <v>1069</v>
      </c>
      <c r="O152" s="2" t="s">
        <v>976</v>
      </c>
      <c r="P152" s="2" t="s">
        <v>1067</v>
      </c>
    </row>
    <row r="153" spans="1:16" x14ac:dyDescent="0.2">
      <c r="A153" s="2" t="s">
        <v>510</v>
      </c>
      <c r="B153" s="2" t="s">
        <v>1072</v>
      </c>
      <c r="H153" s="2">
        <v>2031</v>
      </c>
      <c r="I153" s="2">
        <v>100</v>
      </c>
      <c r="J153" s="2" t="s">
        <v>1073</v>
      </c>
      <c r="O153" s="2" t="s">
        <v>1071</v>
      </c>
      <c r="P153" s="2" t="s">
        <v>1070</v>
      </c>
    </row>
    <row r="154" spans="1:16" x14ac:dyDescent="0.2">
      <c r="A154" s="2" t="s">
        <v>510</v>
      </c>
      <c r="B154" s="2" t="s">
        <v>1075</v>
      </c>
      <c r="H154" s="2">
        <v>2031</v>
      </c>
      <c r="I154" s="2">
        <v>100</v>
      </c>
      <c r="J154" s="2" t="s">
        <v>1076</v>
      </c>
      <c r="O154" s="2" t="s">
        <v>976</v>
      </c>
      <c r="P154" s="2" t="s">
        <v>1074</v>
      </c>
    </row>
    <row r="155" spans="1:16" x14ac:dyDescent="0.2">
      <c r="A155" s="2" t="s">
        <v>510</v>
      </c>
      <c r="B155" s="2" t="s">
        <v>1078</v>
      </c>
      <c r="H155" s="2">
        <v>2031</v>
      </c>
      <c r="I155" s="2">
        <v>100</v>
      </c>
      <c r="J155" s="2" t="s">
        <v>1079</v>
      </c>
      <c r="O155" s="2" t="s">
        <v>976</v>
      </c>
      <c r="P155" s="2" t="s">
        <v>1077</v>
      </c>
    </row>
    <row r="156" spans="1:16" x14ac:dyDescent="0.2">
      <c r="A156" s="2" t="s">
        <v>510</v>
      </c>
      <c r="B156" s="2" t="s">
        <v>1082</v>
      </c>
      <c r="H156" s="2">
        <v>2031</v>
      </c>
      <c r="I156" s="2">
        <v>100</v>
      </c>
      <c r="J156" s="2" t="s">
        <v>1083</v>
      </c>
      <c r="O156" s="2" t="s">
        <v>1081</v>
      </c>
      <c r="P156" s="2" t="s">
        <v>1080</v>
      </c>
    </row>
    <row r="157" spans="1:16" x14ac:dyDescent="0.2">
      <c r="A157" s="2" t="s">
        <v>510</v>
      </c>
      <c r="B157" s="2" t="s">
        <v>1085</v>
      </c>
      <c r="H157" s="2">
        <v>2031</v>
      </c>
      <c r="I157" s="2">
        <v>100</v>
      </c>
      <c r="J157" s="2" t="s">
        <v>1086</v>
      </c>
      <c r="O157" s="2" t="s">
        <v>741</v>
      </c>
      <c r="P157" s="2" t="s">
        <v>1084</v>
      </c>
    </row>
    <row r="158" spans="1:16" x14ac:dyDescent="0.2">
      <c r="A158" s="2" t="s">
        <v>510</v>
      </c>
      <c r="B158" s="2" t="s">
        <v>1088</v>
      </c>
      <c r="H158" s="2">
        <v>2031</v>
      </c>
      <c r="I158" s="2">
        <v>100</v>
      </c>
      <c r="J158" s="2" t="s">
        <v>1089</v>
      </c>
      <c r="O158" s="2" t="s">
        <v>741</v>
      </c>
      <c r="P158" s="2" t="s">
        <v>1087</v>
      </c>
    </row>
    <row r="159" spans="1:16" x14ac:dyDescent="0.2">
      <c r="A159" s="2" t="s">
        <v>510</v>
      </c>
      <c r="B159" s="2" t="s">
        <v>1091</v>
      </c>
      <c r="H159" s="2">
        <v>2031</v>
      </c>
      <c r="I159" s="2">
        <v>100</v>
      </c>
      <c r="J159" s="2" t="s">
        <v>1092</v>
      </c>
      <c r="O159" s="2" t="s">
        <v>741</v>
      </c>
      <c r="P159" s="2" t="s">
        <v>1090</v>
      </c>
    </row>
    <row r="160" spans="1:16" x14ac:dyDescent="0.2">
      <c r="A160" s="2" t="s">
        <v>510</v>
      </c>
      <c r="B160" s="2" t="s">
        <v>1094</v>
      </c>
      <c r="H160" s="2">
        <v>2031</v>
      </c>
      <c r="I160" s="2">
        <v>100</v>
      </c>
      <c r="J160" s="2" t="s">
        <v>1095</v>
      </c>
      <c r="O160" s="2" t="s">
        <v>976</v>
      </c>
      <c r="P160" s="2" t="s">
        <v>1093</v>
      </c>
    </row>
    <row r="161" spans="1:16" x14ac:dyDescent="0.2">
      <c r="A161" s="2" t="s">
        <v>510</v>
      </c>
      <c r="B161" s="2" t="s">
        <v>1097</v>
      </c>
      <c r="H161" s="2">
        <v>2031</v>
      </c>
      <c r="I161" s="2">
        <v>100</v>
      </c>
      <c r="J161" s="2" t="s">
        <v>1098</v>
      </c>
      <c r="O161" s="2" t="s">
        <v>976</v>
      </c>
      <c r="P161" s="2" t="s">
        <v>1096</v>
      </c>
    </row>
    <row r="162" spans="1:16" x14ac:dyDescent="0.2">
      <c r="A162" s="2" t="s">
        <v>510</v>
      </c>
      <c r="B162" s="2" t="s">
        <v>1100</v>
      </c>
      <c r="H162" s="2">
        <v>2031</v>
      </c>
      <c r="I162" s="2">
        <v>100</v>
      </c>
      <c r="J162" s="2" t="s">
        <v>1101</v>
      </c>
      <c r="O162" s="2" t="s">
        <v>976</v>
      </c>
      <c r="P162" s="2" t="s">
        <v>1099</v>
      </c>
    </row>
    <row r="163" spans="1:16" x14ac:dyDescent="0.2">
      <c r="A163" s="2" t="s">
        <v>510</v>
      </c>
      <c r="B163" s="2" t="s">
        <v>1103</v>
      </c>
      <c r="H163" s="2">
        <v>2031</v>
      </c>
      <c r="I163" s="2">
        <v>100</v>
      </c>
      <c r="J163" s="2" t="s">
        <v>1104</v>
      </c>
      <c r="O163" s="2" t="s">
        <v>976</v>
      </c>
      <c r="P163" s="2" t="s">
        <v>1102</v>
      </c>
    </row>
    <row r="164" spans="1:16" x14ac:dyDescent="0.2">
      <c r="A164" s="2" t="s">
        <v>510</v>
      </c>
      <c r="B164" s="2" t="s">
        <v>1106</v>
      </c>
      <c r="H164" s="2">
        <v>2031</v>
      </c>
      <c r="I164" s="2">
        <v>100</v>
      </c>
      <c r="J164" s="2" t="s">
        <v>1107</v>
      </c>
      <c r="O164" s="2" t="s">
        <v>976</v>
      </c>
      <c r="P164" s="2" t="s">
        <v>1105</v>
      </c>
    </row>
    <row r="165" spans="1:16" x14ac:dyDescent="0.2">
      <c r="A165" s="2" t="s">
        <v>510</v>
      </c>
      <c r="B165" s="2" t="s">
        <v>1109</v>
      </c>
      <c r="H165" s="2">
        <v>2031</v>
      </c>
      <c r="I165" s="2">
        <v>100</v>
      </c>
      <c r="J165" s="2" t="s">
        <v>1110</v>
      </c>
      <c r="O165" s="2" t="s">
        <v>980</v>
      </c>
      <c r="P165" s="2" t="s">
        <v>1108</v>
      </c>
    </row>
    <row r="166" spans="1:16" x14ac:dyDescent="0.2">
      <c r="A166" s="2" t="s">
        <v>510</v>
      </c>
      <c r="B166" s="2" t="s">
        <v>1112</v>
      </c>
      <c r="H166" s="2">
        <v>2031</v>
      </c>
      <c r="I166" s="2">
        <v>100</v>
      </c>
      <c r="J166" s="2" t="s">
        <v>1113</v>
      </c>
      <c r="O166" s="2" t="s">
        <v>980</v>
      </c>
      <c r="P166" s="2" t="s">
        <v>1111</v>
      </c>
    </row>
    <row r="167" spans="1:16" x14ac:dyDescent="0.2">
      <c r="A167" s="2" t="s">
        <v>510</v>
      </c>
      <c r="B167" s="2" t="s">
        <v>1116</v>
      </c>
      <c r="H167" s="2">
        <v>2031</v>
      </c>
      <c r="I167" s="2">
        <v>100</v>
      </c>
      <c r="J167" s="2" t="s">
        <v>1117</v>
      </c>
      <c r="O167" s="2" t="s">
        <v>1115</v>
      </c>
      <c r="P167" s="2" t="s">
        <v>1114</v>
      </c>
    </row>
    <row r="168" spans="1:16" x14ac:dyDescent="0.2">
      <c r="A168" s="2" t="s">
        <v>510</v>
      </c>
      <c r="B168" s="2" t="s">
        <v>1119</v>
      </c>
      <c r="H168" s="2">
        <v>2031</v>
      </c>
      <c r="I168" s="2">
        <v>100</v>
      </c>
      <c r="J168" s="2" t="s">
        <v>1120</v>
      </c>
      <c r="O168" s="2" t="s">
        <v>737</v>
      </c>
      <c r="P168" s="2" t="s">
        <v>1118</v>
      </c>
    </row>
    <row r="169" spans="1:16" x14ac:dyDescent="0.2">
      <c r="A169" s="2" t="s">
        <v>510</v>
      </c>
      <c r="B169" s="2" t="s">
        <v>1122</v>
      </c>
      <c r="H169" s="2">
        <v>2031</v>
      </c>
      <c r="I169" s="2">
        <v>100</v>
      </c>
      <c r="J169" s="2" t="s">
        <v>1123</v>
      </c>
      <c r="O169" s="2" t="s">
        <v>737</v>
      </c>
      <c r="P169" s="2" t="s">
        <v>1121</v>
      </c>
    </row>
    <row r="170" spans="1:16" x14ac:dyDescent="0.2">
      <c r="A170" s="2" t="s">
        <v>510</v>
      </c>
      <c r="B170" s="2" t="s">
        <v>1126</v>
      </c>
      <c r="H170" s="2">
        <v>2031</v>
      </c>
      <c r="I170" s="2">
        <v>100</v>
      </c>
      <c r="J170" s="2" t="s">
        <v>1127</v>
      </c>
      <c r="O170" s="2" t="s">
        <v>1125</v>
      </c>
      <c r="P170" s="2" t="s">
        <v>1124</v>
      </c>
    </row>
    <row r="171" spans="1:16" x14ac:dyDescent="0.2">
      <c r="A171" s="2" t="s">
        <v>510</v>
      </c>
      <c r="B171" s="2" t="s">
        <v>1130</v>
      </c>
      <c r="H171" s="2">
        <v>2031</v>
      </c>
      <c r="I171" s="2">
        <v>100</v>
      </c>
      <c r="J171" s="2" t="s">
        <v>1131</v>
      </c>
      <c r="O171" s="2" t="s">
        <v>1129</v>
      </c>
      <c r="P171" s="2" t="s">
        <v>1128</v>
      </c>
    </row>
    <row r="172" spans="1:16" x14ac:dyDescent="0.2">
      <c r="A172" s="2" t="s">
        <v>510</v>
      </c>
      <c r="B172" s="2" t="s">
        <v>1133</v>
      </c>
      <c r="H172" s="2">
        <v>2031</v>
      </c>
      <c r="I172" s="2">
        <v>100</v>
      </c>
      <c r="J172" s="2" t="s">
        <v>1134</v>
      </c>
      <c r="O172" s="2" t="s">
        <v>733</v>
      </c>
      <c r="P172" s="2" t="s">
        <v>1132</v>
      </c>
    </row>
    <row r="173" spans="1:16" x14ac:dyDescent="0.2">
      <c r="A173" s="2" t="s">
        <v>510</v>
      </c>
      <c r="B173" s="2" t="s">
        <v>1136</v>
      </c>
      <c r="H173" s="2">
        <v>2031</v>
      </c>
      <c r="I173" s="2">
        <v>100</v>
      </c>
      <c r="J173" s="2" t="s">
        <v>1137</v>
      </c>
      <c r="O173" s="2" t="s">
        <v>1046</v>
      </c>
      <c r="P173" s="2" t="s">
        <v>1135</v>
      </c>
    </row>
    <row r="174" spans="1:16" x14ac:dyDescent="0.2">
      <c r="A174" s="2" t="s">
        <v>510</v>
      </c>
      <c r="B174" s="2" t="s">
        <v>1139</v>
      </c>
      <c r="H174" s="2">
        <v>2031</v>
      </c>
      <c r="I174" s="2">
        <v>100</v>
      </c>
      <c r="J174" s="2" t="s">
        <v>1140</v>
      </c>
      <c r="O174" s="2" t="s">
        <v>999</v>
      </c>
      <c r="P174" s="2" t="s">
        <v>1138</v>
      </c>
    </row>
    <row r="175" spans="1:16" x14ac:dyDescent="0.2">
      <c r="A175" s="2" t="s">
        <v>510</v>
      </c>
      <c r="B175" s="2" t="s">
        <v>1143</v>
      </c>
      <c r="H175" s="2">
        <v>2031</v>
      </c>
      <c r="I175" s="2">
        <v>100</v>
      </c>
      <c r="J175" s="2" t="s">
        <v>1144</v>
      </c>
      <c r="O175" s="2" t="s">
        <v>1142</v>
      </c>
      <c r="P175" s="2" t="s">
        <v>1141</v>
      </c>
    </row>
    <row r="176" spans="1:16" x14ac:dyDescent="0.2">
      <c r="A176" s="2" t="s">
        <v>510</v>
      </c>
      <c r="B176" s="2" t="s">
        <v>1147</v>
      </c>
      <c r="H176" s="2">
        <v>2031</v>
      </c>
      <c r="I176" s="2">
        <v>100</v>
      </c>
      <c r="J176" s="2" t="s">
        <v>1148</v>
      </c>
      <c r="O176" s="2" t="s">
        <v>1146</v>
      </c>
      <c r="P176" s="2" t="s">
        <v>1145</v>
      </c>
    </row>
    <row r="177" spans="1:16" x14ac:dyDescent="0.2">
      <c r="A177" s="2" t="s">
        <v>510</v>
      </c>
      <c r="B177" s="2" t="s">
        <v>1150</v>
      </c>
      <c r="H177" s="2">
        <v>2031</v>
      </c>
      <c r="I177" s="2">
        <v>100</v>
      </c>
      <c r="J177" s="2" t="s">
        <v>1151</v>
      </c>
      <c r="O177" s="2" t="s">
        <v>613</v>
      </c>
      <c r="P177" s="2" t="s">
        <v>1149</v>
      </c>
    </row>
    <row r="178" spans="1:16" x14ac:dyDescent="0.2">
      <c r="A178" s="2" t="s">
        <v>510</v>
      </c>
      <c r="B178" s="2" t="s">
        <v>1153</v>
      </c>
      <c r="H178" s="2">
        <v>2031</v>
      </c>
      <c r="I178" s="2">
        <v>100</v>
      </c>
      <c r="J178" s="2" t="s">
        <v>1154</v>
      </c>
      <c r="O178" s="2" t="s">
        <v>601</v>
      </c>
      <c r="P178" s="2" t="s">
        <v>1152</v>
      </c>
    </row>
    <row r="179" spans="1:16" x14ac:dyDescent="0.2">
      <c r="A179" s="2" t="s">
        <v>510</v>
      </c>
      <c r="B179" s="2" t="s">
        <v>1157</v>
      </c>
      <c r="H179" s="2">
        <v>2031</v>
      </c>
      <c r="I179" s="2">
        <v>100</v>
      </c>
      <c r="J179" s="2" t="s">
        <v>1158</v>
      </c>
      <c r="O179" s="2" t="s">
        <v>1156</v>
      </c>
      <c r="P179" s="2" t="s">
        <v>1155</v>
      </c>
    </row>
    <row r="180" spans="1:16" x14ac:dyDescent="0.2">
      <c r="A180" s="2" t="s">
        <v>510</v>
      </c>
      <c r="B180" s="2" t="s">
        <v>1161</v>
      </c>
      <c r="H180" s="2">
        <v>2031</v>
      </c>
      <c r="I180" s="2">
        <v>100</v>
      </c>
      <c r="J180" s="2" t="s">
        <v>1162</v>
      </c>
      <c r="O180" s="2" t="s">
        <v>1160</v>
      </c>
      <c r="P180" s="2" t="s">
        <v>1159</v>
      </c>
    </row>
    <row r="181" spans="1:16" x14ac:dyDescent="0.2">
      <c r="A181" s="2" t="s">
        <v>510</v>
      </c>
      <c r="B181" s="2" t="s">
        <v>1165</v>
      </c>
      <c r="H181" s="2">
        <v>2031</v>
      </c>
      <c r="I181" s="2">
        <v>100</v>
      </c>
      <c r="J181" s="2" t="s">
        <v>1166</v>
      </c>
      <c r="O181" s="2" t="s">
        <v>1164</v>
      </c>
      <c r="P181" s="2" t="s">
        <v>1163</v>
      </c>
    </row>
    <row r="182" spans="1:16" x14ac:dyDescent="0.2">
      <c r="A182" s="2" t="s">
        <v>510</v>
      </c>
      <c r="B182" s="2" t="s">
        <v>1169</v>
      </c>
      <c r="H182" s="2">
        <v>2031</v>
      </c>
      <c r="I182" s="2">
        <v>100</v>
      </c>
      <c r="J182" s="2" t="s">
        <v>1170</v>
      </c>
      <c r="O182" s="2" t="s">
        <v>1168</v>
      </c>
      <c r="P182" s="2" t="s">
        <v>1167</v>
      </c>
    </row>
    <row r="183" spans="1:16" x14ac:dyDescent="0.2">
      <c r="A183" s="2" t="s">
        <v>510</v>
      </c>
      <c r="B183" s="2" t="s">
        <v>1173</v>
      </c>
      <c r="H183" s="2">
        <v>2031</v>
      </c>
      <c r="I183" s="2">
        <v>100</v>
      </c>
      <c r="J183" s="2" t="s">
        <v>1174</v>
      </c>
      <c r="O183" s="2" t="s">
        <v>1172</v>
      </c>
      <c r="P183" s="2" t="s">
        <v>1171</v>
      </c>
    </row>
    <row r="184" spans="1:16" x14ac:dyDescent="0.2">
      <c r="A184" s="2" t="s">
        <v>510</v>
      </c>
      <c r="B184" s="2" t="s">
        <v>1177</v>
      </c>
      <c r="H184" s="2">
        <v>2031</v>
      </c>
      <c r="I184" s="2">
        <v>100</v>
      </c>
      <c r="J184" s="2" t="s">
        <v>1178</v>
      </c>
      <c r="O184" s="2" t="s">
        <v>1176</v>
      </c>
      <c r="P184" s="2" t="s">
        <v>1175</v>
      </c>
    </row>
    <row r="185" spans="1:16" x14ac:dyDescent="0.2">
      <c r="A185" s="2" t="s">
        <v>510</v>
      </c>
      <c r="B185" s="2" t="s">
        <v>1181</v>
      </c>
      <c r="H185" s="2">
        <v>2031</v>
      </c>
      <c r="I185" s="2">
        <v>100</v>
      </c>
      <c r="J185" s="2" t="s">
        <v>1182</v>
      </c>
      <c r="O185" s="2" t="s">
        <v>1180</v>
      </c>
      <c r="P185" s="2" t="s">
        <v>1179</v>
      </c>
    </row>
    <row r="186" spans="1:16" x14ac:dyDescent="0.2">
      <c r="A186" s="2" t="s">
        <v>510</v>
      </c>
      <c r="B186" s="2" t="s">
        <v>1184</v>
      </c>
      <c r="H186" s="2">
        <v>2031</v>
      </c>
      <c r="I186" s="2">
        <v>100</v>
      </c>
      <c r="J186" s="2" t="s">
        <v>1185</v>
      </c>
      <c r="O186" s="2" t="s">
        <v>597</v>
      </c>
      <c r="P186" s="2" t="s">
        <v>1183</v>
      </c>
    </row>
    <row r="187" spans="1:16" x14ac:dyDescent="0.2">
      <c r="A187" s="2" t="s">
        <v>510</v>
      </c>
      <c r="B187" s="2" t="s">
        <v>1188</v>
      </c>
      <c r="H187" s="2">
        <v>2031</v>
      </c>
      <c r="I187" s="2">
        <v>100</v>
      </c>
      <c r="J187" s="2" t="s">
        <v>1189</v>
      </c>
      <c r="O187" s="2" t="s">
        <v>1187</v>
      </c>
      <c r="P187" s="2" t="s">
        <v>1186</v>
      </c>
    </row>
    <row r="188" spans="1:16" x14ac:dyDescent="0.2">
      <c r="A188" s="2" t="s">
        <v>510</v>
      </c>
      <c r="B188" s="2" t="s">
        <v>1192</v>
      </c>
      <c r="H188" s="2">
        <v>2031</v>
      </c>
      <c r="I188" s="2">
        <v>100</v>
      </c>
      <c r="J188" s="2" t="s">
        <v>1193</v>
      </c>
      <c r="O188" s="2" t="s">
        <v>1191</v>
      </c>
      <c r="P188" s="2" t="s">
        <v>1190</v>
      </c>
    </row>
    <row r="189" spans="1:16" x14ac:dyDescent="0.2">
      <c r="A189" s="2" t="s">
        <v>510</v>
      </c>
      <c r="B189" s="2" t="s">
        <v>1196</v>
      </c>
      <c r="H189" s="2">
        <v>2031</v>
      </c>
      <c r="I189" s="2">
        <v>100</v>
      </c>
      <c r="J189" s="2" t="s">
        <v>1197</v>
      </c>
      <c r="O189" s="2" t="s">
        <v>1195</v>
      </c>
      <c r="P189" s="2" t="s">
        <v>1194</v>
      </c>
    </row>
    <row r="190" spans="1:16" x14ac:dyDescent="0.2">
      <c r="A190" s="2" t="s">
        <v>510</v>
      </c>
      <c r="B190" s="2" t="s">
        <v>1200</v>
      </c>
      <c r="H190" s="2">
        <v>2031</v>
      </c>
      <c r="I190" s="2">
        <v>100</v>
      </c>
      <c r="J190" s="2" t="s">
        <v>1201</v>
      </c>
      <c r="O190" s="2" t="s">
        <v>1199</v>
      </c>
      <c r="P190" s="2" t="s">
        <v>1198</v>
      </c>
    </row>
    <row r="191" spans="1:16" x14ac:dyDescent="0.2">
      <c r="A191" s="2" t="s">
        <v>510</v>
      </c>
      <c r="B191" s="2" t="s">
        <v>1204</v>
      </c>
      <c r="H191" s="2">
        <v>2031</v>
      </c>
      <c r="I191" s="2">
        <v>100</v>
      </c>
      <c r="J191" s="2" t="s">
        <v>1205</v>
      </c>
      <c r="O191" s="2" t="s">
        <v>1203</v>
      </c>
      <c r="P191" s="2" t="s">
        <v>1202</v>
      </c>
    </row>
    <row r="192" spans="1:16" x14ac:dyDescent="0.2">
      <c r="A192" s="2" t="s">
        <v>510</v>
      </c>
      <c r="B192" s="2" t="s">
        <v>1208</v>
      </c>
      <c r="H192" s="2">
        <v>2031</v>
      </c>
      <c r="I192" s="2">
        <v>100</v>
      </c>
      <c r="J192" s="2" t="s">
        <v>1209</v>
      </c>
      <c r="O192" s="2" t="s">
        <v>1207</v>
      </c>
      <c r="P192" s="2" t="s">
        <v>1206</v>
      </c>
    </row>
    <row r="193" spans="1:16" x14ac:dyDescent="0.2">
      <c r="A193" s="2" t="s">
        <v>510</v>
      </c>
      <c r="B193" s="2" t="s">
        <v>1211</v>
      </c>
      <c r="H193" s="2">
        <v>2031</v>
      </c>
      <c r="I193" s="2">
        <v>100</v>
      </c>
      <c r="J193" s="2" t="s">
        <v>1212</v>
      </c>
      <c r="O193" s="2" t="s">
        <v>573</v>
      </c>
      <c r="P193" s="2" t="s">
        <v>1210</v>
      </c>
    </row>
    <row r="194" spans="1:16" x14ac:dyDescent="0.2">
      <c r="A194" s="2" t="s">
        <v>510</v>
      </c>
      <c r="B194" s="2" t="s">
        <v>1215</v>
      </c>
      <c r="H194" s="2">
        <v>2031</v>
      </c>
      <c r="I194" s="2">
        <v>100</v>
      </c>
      <c r="J194" s="2" t="s">
        <v>1216</v>
      </c>
      <c r="O194" s="2" t="s">
        <v>1214</v>
      </c>
      <c r="P194" s="2" t="s">
        <v>1213</v>
      </c>
    </row>
    <row r="195" spans="1:16" x14ac:dyDescent="0.2">
      <c r="A195" s="2" t="s">
        <v>510</v>
      </c>
      <c r="B195" s="2" t="s">
        <v>1219</v>
      </c>
      <c r="H195" s="2">
        <v>2031</v>
      </c>
      <c r="I195" s="2">
        <v>100</v>
      </c>
      <c r="J195" s="2" t="s">
        <v>1220</v>
      </c>
      <c r="O195" s="2" t="s">
        <v>1218</v>
      </c>
      <c r="P195" s="2" t="s">
        <v>1217</v>
      </c>
    </row>
    <row r="196" spans="1:16" x14ac:dyDescent="0.2">
      <c r="A196" s="2" t="s">
        <v>510</v>
      </c>
      <c r="B196" s="2" t="s">
        <v>1222</v>
      </c>
      <c r="H196" s="2">
        <v>2031</v>
      </c>
      <c r="I196" s="2">
        <v>100</v>
      </c>
      <c r="J196" s="2" t="s">
        <v>1223</v>
      </c>
      <c r="O196" s="2" t="s">
        <v>561</v>
      </c>
      <c r="P196" s="2" t="s">
        <v>1221</v>
      </c>
    </row>
    <row r="197" spans="1:16" x14ac:dyDescent="0.2">
      <c r="A197" s="2" t="s">
        <v>510</v>
      </c>
      <c r="B197" s="2" t="s">
        <v>1226</v>
      </c>
      <c r="H197" s="2">
        <v>2031</v>
      </c>
      <c r="I197" s="2">
        <v>100</v>
      </c>
      <c r="J197" s="2" t="s">
        <v>1227</v>
      </c>
      <c r="O197" s="2" t="s">
        <v>1225</v>
      </c>
      <c r="P197" s="2" t="s">
        <v>1224</v>
      </c>
    </row>
    <row r="198" spans="1:16" x14ac:dyDescent="0.2">
      <c r="A198" s="2" t="s">
        <v>510</v>
      </c>
      <c r="B198" s="2" t="s">
        <v>1230</v>
      </c>
      <c r="H198" s="2">
        <v>2031</v>
      </c>
      <c r="I198" s="2">
        <v>100</v>
      </c>
      <c r="J198" s="2" t="s">
        <v>1231</v>
      </c>
      <c r="O198" s="2" t="s">
        <v>1229</v>
      </c>
      <c r="P198" s="2" t="s">
        <v>1228</v>
      </c>
    </row>
    <row r="199" spans="1:16" x14ac:dyDescent="0.2">
      <c r="A199" s="2" t="s">
        <v>510</v>
      </c>
      <c r="B199" s="2" t="s">
        <v>1234</v>
      </c>
      <c r="H199" s="2">
        <v>2031</v>
      </c>
      <c r="I199" s="2">
        <v>100</v>
      </c>
      <c r="J199" s="2" t="s">
        <v>1235</v>
      </c>
      <c r="O199" s="2" t="s">
        <v>1233</v>
      </c>
      <c r="P199" s="2" t="s">
        <v>1232</v>
      </c>
    </row>
    <row r="200" spans="1:16" x14ac:dyDescent="0.2">
      <c r="A200" s="2" t="s">
        <v>510</v>
      </c>
      <c r="B200" s="2" t="s">
        <v>1238</v>
      </c>
      <c r="H200" s="2">
        <v>2031</v>
      </c>
      <c r="I200" s="2">
        <v>100</v>
      </c>
      <c r="J200" s="2" t="s">
        <v>1239</v>
      </c>
      <c r="O200" s="2" t="s">
        <v>1237</v>
      </c>
      <c r="P200" s="2" t="s">
        <v>1236</v>
      </c>
    </row>
    <row r="201" spans="1:16" x14ac:dyDescent="0.2">
      <c r="A201" s="2" t="s">
        <v>510</v>
      </c>
      <c r="B201" s="2" t="s">
        <v>1242</v>
      </c>
      <c r="H201" s="2">
        <v>2031</v>
      </c>
      <c r="I201" s="2">
        <v>100</v>
      </c>
      <c r="J201" s="2" t="s">
        <v>1243</v>
      </c>
      <c r="O201" s="2" t="s">
        <v>1241</v>
      </c>
      <c r="P201" s="2" t="s">
        <v>1240</v>
      </c>
    </row>
    <row r="202" spans="1:16" x14ac:dyDescent="0.2">
      <c r="A202" s="2" t="s">
        <v>510</v>
      </c>
      <c r="B202" s="2" t="s">
        <v>1246</v>
      </c>
      <c r="H202" s="2">
        <v>2031</v>
      </c>
      <c r="I202" s="2">
        <v>100</v>
      </c>
      <c r="J202" s="2" t="s">
        <v>1247</v>
      </c>
      <c r="O202" s="2" t="s">
        <v>1245</v>
      </c>
      <c r="P202" s="2" t="s">
        <v>1244</v>
      </c>
    </row>
    <row r="203" spans="1:16" x14ac:dyDescent="0.2">
      <c r="A203" s="2" t="s">
        <v>510</v>
      </c>
      <c r="B203" s="2" t="s">
        <v>1250</v>
      </c>
      <c r="H203" s="2">
        <v>2031</v>
      </c>
      <c r="I203" s="2">
        <v>100</v>
      </c>
      <c r="J203" s="2" t="s">
        <v>1251</v>
      </c>
      <c r="O203" s="2" t="s">
        <v>1249</v>
      </c>
      <c r="P203" s="2" t="s">
        <v>1248</v>
      </c>
    </row>
    <row r="204" spans="1:16" x14ac:dyDescent="0.2">
      <c r="A204" s="2" t="s">
        <v>510</v>
      </c>
      <c r="B204" s="2" t="s">
        <v>1254</v>
      </c>
      <c r="H204" s="2">
        <v>2031</v>
      </c>
      <c r="I204" s="2">
        <v>100</v>
      </c>
      <c r="J204" s="2" t="s">
        <v>1255</v>
      </c>
      <c r="O204" s="2" t="s">
        <v>1253</v>
      </c>
      <c r="P204" s="2" t="s">
        <v>1252</v>
      </c>
    </row>
    <row r="205" spans="1:16" x14ac:dyDescent="0.2">
      <c r="A205" s="2" t="s">
        <v>510</v>
      </c>
      <c r="B205" s="2" t="s">
        <v>1258</v>
      </c>
      <c r="H205" s="2">
        <v>2031</v>
      </c>
      <c r="I205" s="2">
        <v>100</v>
      </c>
      <c r="J205" s="2" t="s">
        <v>1259</v>
      </c>
      <c r="O205" s="2" t="s">
        <v>1257</v>
      </c>
      <c r="P205" s="2" t="s">
        <v>1256</v>
      </c>
    </row>
    <row r="206" spans="1:16" x14ac:dyDescent="0.2">
      <c r="A206" s="2" t="s">
        <v>510</v>
      </c>
      <c r="B206" s="2" t="s">
        <v>1262</v>
      </c>
      <c r="H206" s="2">
        <v>2031</v>
      </c>
      <c r="I206" s="2">
        <v>100</v>
      </c>
      <c r="J206" s="2" t="s">
        <v>1263</v>
      </c>
      <c r="O206" s="2" t="s">
        <v>1261</v>
      </c>
      <c r="P206" s="2" t="s">
        <v>1260</v>
      </c>
    </row>
    <row r="207" spans="1:16" x14ac:dyDescent="0.2">
      <c r="A207" s="2" t="s">
        <v>510</v>
      </c>
      <c r="B207" s="2" t="s">
        <v>1266</v>
      </c>
      <c r="H207" s="2">
        <v>2031</v>
      </c>
      <c r="I207" s="2">
        <v>100</v>
      </c>
      <c r="J207" s="2" t="s">
        <v>1267</v>
      </c>
      <c r="O207" s="2" t="s">
        <v>1265</v>
      </c>
      <c r="P207" s="2" t="s">
        <v>1264</v>
      </c>
    </row>
    <row r="208" spans="1:16" x14ac:dyDescent="0.2">
      <c r="A208" s="2" t="s">
        <v>510</v>
      </c>
      <c r="B208" s="2" t="s">
        <v>1270</v>
      </c>
      <c r="H208" s="2">
        <v>2031</v>
      </c>
      <c r="I208" s="2">
        <v>100</v>
      </c>
      <c r="J208" s="2" t="s">
        <v>1271</v>
      </c>
      <c r="O208" s="2" t="s">
        <v>1269</v>
      </c>
      <c r="P208" s="2" t="s">
        <v>1268</v>
      </c>
    </row>
    <row r="209" spans="1:16" x14ac:dyDescent="0.2">
      <c r="A209" s="2" t="s">
        <v>510</v>
      </c>
      <c r="B209" s="2" t="s">
        <v>1274</v>
      </c>
      <c r="H209" s="2">
        <v>2031</v>
      </c>
      <c r="I209" s="2">
        <v>100</v>
      </c>
      <c r="J209" s="2" t="s">
        <v>1275</v>
      </c>
      <c r="O209" s="2" t="s">
        <v>1273</v>
      </c>
      <c r="P209" s="2" t="s">
        <v>1272</v>
      </c>
    </row>
    <row r="210" spans="1:16" x14ac:dyDescent="0.2">
      <c r="A210" s="2" t="s">
        <v>510</v>
      </c>
      <c r="B210" s="2" t="s">
        <v>1277</v>
      </c>
      <c r="H210" s="2">
        <v>2031</v>
      </c>
      <c r="I210" s="2">
        <v>100</v>
      </c>
      <c r="J210" s="2" t="s">
        <v>1278</v>
      </c>
      <c r="O210" s="2" t="s">
        <v>1273</v>
      </c>
      <c r="P210" s="2" t="s">
        <v>1276</v>
      </c>
    </row>
    <row r="211" spans="1:16" x14ac:dyDescent="0.2">
      <c r="A211" s="2" t="s">
        <v>510</v>
      </c>
      <c r="B211" s="2" t="s">
        <v>1281</v>
      </c>
      <c r="H211" s="2">
        <v>2031</v>
      </c>
      <c r="I211" s="2">
        <v>100</v>
      </c>
      <c r="J211" s="2" t="s">
        <v>1282</v>
      </c>
      <c r="O211" s="2" t="s">
        <v>1280</v>
      </c>
      <c r="P211" s="2" t="s">
        <v>1279</v>
      </c>
    </row>
    <row r="212" spans="1:16" x14ac:dyDescent="0.2">
      <c r="A212" s="2" t="s">
        <v>510</v>
      </c>
      <c r="B212" s="2" t="s">
        <v>1284</v>
      </c>
      <c r="H212" s="2">
        <v>2031</v>
      </c>
      <c r="I212" s="2">
        <v>100</v>
      </c>
      <c r="J212" s="2" t="s">
        <v>1285</v>
      </c>
      <c r="O212" s="2" t="s">
        <v>1280</v>
      </c>
      <c r="P212" s="2" t="s">
        <v>1283</v>
      </c>
    </row>
    <row r="213" spans="1:16" x14ac:dyDescent="0.2">
      <c r="A213" s="2" t="s">
        <v>510</v>
      </c>
      <c r="B213" s="2" t="s">
        <v>1288</v>
      </c>
      <c r="H213" s="2">
        <v>2031</v>
      </c>
      <c r="I213" s="2">
        <v>100</v>
      </c>
      <c r="J213" s="2" t="s">
        <v>1289</v>
      </c>
      <c r="O213" s="2" t="s">
        <v>1287</v>
      </c>
      <c r="P213" s="2" t="s">
        <v>1286</v>
      </c>
    </row>
    <row r="214" spans="1:16" x14ac:dyDescent="0.2">
      <c r="A214" s="2" t="s">
        <v>510</v>
      </c>
      <c r="B214" s="2" t="s">
        <v>1291</v>
      </c>
      <c r="H214" s="2">
        <v>2031</v>
      </c>
      <c r="I214" s="2">
        <v>100</v>
      </c>
      <c r="J214" s="2" t="s">
        <v>1292</v>
      </c>
      <c r="O214" s="2" t="s">
        <v>1287</v>
      </c>
      <c r="P214" s="2" t="s">
        <v>1290</v>
      </c>
    </row>
    <row r="215" spans="1:16" x14ac:dyDescent="0.2">
      <c r="A215" s="2" t="s">
        <v>510</v>
      </c>
      <c r="B215" s="2" t="s">
        <v>1295</v>
      </c>
      <c r="H215" s="2">
        <v>2031</v>
      </c>
      <c r="I215" s="2">
        <v>100</v>
      </c>
      <c r="J215" s="2" t="s">
        <v>1296</v>
      </c>
      <c r="O215" s="2" t="s">
        <v>1294</v>
      </c>
      <c r="P215" s="2" t="s">
        <v>1293</v>
      </c>
    </row>
    <row r="216" spans="1:16" x14ac:dyDescent="0.2">
      <c r="A216" s="2" t="s">
        <v>510</v>
      </c>
      <c r="B216" s="2" t="s">
        <v>1299</v>
      </c>
      <c r="H216" s="2">
        <v>2031</v>
      </c>
      <c r="I216" s="2">
        <v>100</v>
      </c>
      <c r="J216" s="2" t="s">
        <v>1300</v>
      </c>
      <c r="O216" s="2" t="s">
        <v>1298</v>
      </c>
      <c r="P216" s="2" t="s">
        <v>1297</v>
      </c>
    </row>
    <row r="217" spans="1:16" x14ac:dyDescent="0.2">
      <c r="A217" s="2" t="s">
        <v>510</v>
      </c>
      <c r="B217" s="2" t="s">
        <v>1302</v>
      </c>
      <c r="H217" s="2">
        <v>2031</v>
      </c>
      <c r="I217" s="2">
        <v>100</v>
      </c>
      <c r="J217" s="2" t="s">
        <v>1303</v>
      </c>
      <c r="O217" s="2" t="s">
        <v>1298</v>
      </c>
      <c r="P217" s="2" t="s">
        <v>1301</v>
      </c>
    </row>
    <row r="218" spans="1:16" x14ac:dyDescent="0.2">
      <c r="A218" s="2" t="s">
        <v>510</v>
      </c>
      <c r="B218" s="2" t="s">
        <v>1305</v>
      </c>
      <c r="H218" s="2">
        <v>2031</v>
      </c>
      <c r="I218" s="2">
        <v>100</v>
      </c>
      <c r="J218" s="2" t="s">
        <v>1306</v>
      </c>
      <c r="O218" s="2" t="s">
        <v>1265</v>
      </c>
      <c r="P218" s="2" t="s">
        <v>1304</v>
      </c>
    </row>
    <row r="219" spans="1:16" x14ac:dyDescent="0.2">
      <c r="A219" s="2" t="s">
        <v>510</v>
      </c>
      <c r="B219" s="2" t="s">
        <v>1309</v>
      </c>
      <c r="H219" s="2">
        <v>2031</v>
      </c>
      <c r="I219" s="2">
        <v>100</v>
      </c>
      <c r="J219" s="2" t="s">
        <v>1310</v>
      </c>
      <c r="O219" s="2" t="s">
        <v>1308</v>
      </c>
      <c r="P219" s="2" t="s">
        <v>1307</v>
      </c>
    </row>
    <row r="220" spans="1:16" x14ac:dyDescent="0.2">
      <c r="A220" s="2" t="s">
        <v>515</v>
      </c>
      <c r="B220" s="2" t="s">
        <v>1313</v>
      </c>
      <c r="H220" s="2">
        <v>2031</v>
      </c>
      <c r="I220" s="2">
        <v>100</v>
      </c>
      <c r="J220" s="2" t="s">
        <v>1314</v>
      </c>
      <c r="O220" s="2" t="s">
        <v>1312</v>
      </c>
      <c r="P220" s="2" t="s">
        <v>1311</v>
      </c>
    </row>
    <row r="221" spans="1:16" x14ac:dyDescent="0.2">
      <c r="A221" s="2" t="s">
        <v>515</v>
      </c>
      <c r="B221" s="2" t="s">
        <v>1316</v>
      </c>
      <c r="H221" s="2">
        <v>2031</v>
      </c>
      <c r="I221" s="2">
        <v>100</v>
      </c>
      <c r="J221" s="2" t="s">
        <v>1317</v>
      </c>
      <c r="O221" s="2" t="s">
        <v>1312</v>
      </c>
      <c r="P221" s="2" t="s">
        <v>1315</v>
      </c>
    </row>
    <row r="222" spans="1:16" x14ac:dyDescent="0.2">
      <c r="A222" s="2" t="s">
        <v>515</v>
      </c>
      <c r="B222" s="2" t="s">
        <v>1320</v>
      </c>
      <c r="H222" s="2">
        <v>2031</v>
      </c>
      <c r="I222" s="2">
        <v>100</v>
      </c>
      <c r="J222" s="2" t="s">
        <v>1321</v>
      </c>
      <c r="O222" s="2" t="s">
        <v>1319</v>
      </c>
      <c r="P222" s="2" t="s">
        <v>1318</v>
      </c>
    </row>
    <row r="223" spans="1:16" x14ac:dyDescent="0.2">
      <c r="A223" s="2" t="s">
        <v>515</v>
      </c>
      <c r="B223" s="2" t="s">
        <v>1323</v>
      </c>
      <c r="H223" s="2">
        <v>2031</v>
      </c>
      <c r="I223" s="2">
        <v>100</v>
      </c>
      <c r="J223" s="2" t="s">
        <v>1324</v>
      </c>
      <c r="O223" s="2" t="s">
        <v>1257</v>
      </c>
      <c r="P223" s="2" t="s">
        <v>1322</v>
      </c>
    </row>
    <row r="224" spans="1:16" x14ac:dyDescent="0.2">
      <c r="A224" s="2" t="s">
        <v>515</v>
      </c>
      <c r="B224" s="2" t="s">
        <v>1326</v>
      </c>
      <c r="H224" s="2">
        <v>2031</v>
      </c>
      <c r="I224" s="2">
        <v>100</v>
      </c>
      <c r="J224" s="2" t="s">
        <v>1327</v>
      </c>
      <c r="O224" s="2" t="s">
        <v>1257</v>
      </c>
      <c r="P224" s="2" t="s">
        <v>1325</v>
      </c>
    </row>
    <row r="225" spans="1:16" x14ac:dyDescent="0.2">
      <c r="A225" s="2" t="s">
        <v>515</v>
      </c>
      <c r="B225" s="2" t="s">
        <v>1329</v>
      </c>
      <c r="H225" s="2">
        <v>2031</v>
      </c>
      <c r="I225" s="2">
        <v>100</v>
      </c>
      <c r="J225" s="2" t="s">
        <v>1330</v>
      </c>
      <c r="O225" s="2" t="s">
        <v>1253</v>
      </c>
      <c r="P225" s="2" t="s">
        <v>1328</v>
      </c>
    </row>
    <row r="226" spans="1:16" x14ac:dyDescent="0.2">
      <c r="A226" s="2" t="s">
        <v>515</v>
      </c>
      <c r="B226" s="2" t="s">
        <v>1333</v>
      </c>
      <c r="H226" s="2">
        <v>2031</v>
      </c>
      <c r="I226" s="2">
        <v>100</v>
      </c>
      <c r="J226" s="2" t="s">
        <v>1334</v>
      </c>
      <c r="O226" s="2" t="s">
        <v>1332</v>
      </c>
      <c r="P226" s="2" t="s">
        <v>1331</v>
      </c>
    </row>
    <row r="227" spans="1:16" x14ac:dyDescent="0.2">
      <c r="A227" s="2" t="s">
        <v>515</v>
      </c>
      <c r="B227" s="2" t="s">
        <v>1336</v>
      </c>
      <c r="H227" s="2">
        <v>2031</v>
      </c>
      <c r="I227" s="2">
        <v>100</v>
      </c>
      <c r="J227" s="2" t="s">
        <v>1337</v>
      </c>
      <c r="O227" s="2" t="s">
        <v>1332</v>
      </c>
      <c r="P227" s="2" t="s">
        <v>1335</v>
      </c>
    </row>
    <row r="228" spans="1:16" x14ac:dyDescent="0.2">
      <c r="A228" s="2" t="s">
        <v>515</v>
      </c>
      <c r="B228" s="2" t="s">
        <v>1339</v>
      </c>
      <c r="H228" s="2">
        <v>2031</v>
      </c>
      <c r="I228" s="2">
        <v>100</v>
      </c>
      <c r="J228" s="2" t="s">
        <v>1340</v>
      </c>
      <c r="O228" s="2" t="s">
        <v>1249</v>
      </c>
      <c r="P228" s="2" t="s">
        <v>1338</v>
      </c>
    </row>
    <row r="229" spans="1:16" x14ac:dyDescent="0.2">
      <c r="A229" s="2" t="s">
        <v>515</v>
      </c>
      <c r="B229" s="2" t="s">
        <v>1342</v>
      </c>
      <c r="H229" s="2">
        <v>2031</v>
      </c>
      <c r="I229" s="2">
        <v>100</v>
      </c>
      <c r="J229" s="2" t="s">
        <v>1343</v>
      </c>
      <c r="O229" s="2" t="s">
        <v>1249</v>
      </c>
      <c r="P229" s="2" t="s">
        <v>1341</v>
      </c>
    </row>
    <row r="230" spans="1:16" x14ac:dyDescent="0.2">
      <c r="A230" s="2" t="s">
        <v>515</v>
      </c>
      <c r="B230" s="2" t="s">
        <v>1345</v>
      </c>
      <c r="H230" s="2">
        <v>2031</v>
      </c>
      <c r="I230" s="2">
        <v>100</v>
      </c>
      <c r="J230" s="2" t="s">
        <v>1346</v>
      </c>
      <c r="O230" s="2" t="s">
        <v>1245</v>
      </c>
      <c r="P230" s="2" t="s">
        <v>1344</v>
      </c>
    </row>
    <row r="231" spans="1:16" x14ac:dyDescent="0.2">
      <c r="A231" s="2" t="s">
        <v>515</v>
      </c>
      <c r="B231" s="2" t="s">
        <v>1348</v>
      </c>
      <c r="H231" s="2">
        <v>2031</v>
      </c>
      <c r="I231" s="2">
        <v>100</v>
      </c>
      <c r="J231" s="2" t="s">
        <v>1349</v>
      </c>
      <c r="O231" s="2" t="s">
        <v>1245</v>
      </c>
      <c r="P231" s="2" t="s">
        <v>1347</v>
      </c>
    </row>
    <row r="232" spans="1:16" x14ac:dyDescent="0.2">
      <c r="A232" s="2" t="s">
        <v>515</v>
      </c>
      <c r="B232" s="2" t="s">
        <v>1352</v>
      </c>
      <c r="H232" s="2">
        <v>2031</v>
      </c>
      <c r="I232" s="2">
        <v>100</v>
      </c>
      <c r="J232" s="2" t="s">
        <v>1353</v>
      </c>
      <c r="O232" s="2" t="s">
        <v>1351</v>
      </c>
      <c r="P232" s="2" t="s">
        <v>1350</v>
      </c>
    </row>
    <row r="233" spans="1:16" x14ac:dyDescent="0.2">
      <c r="A233" s="2" t="s">
        <v>515</v>
      </c>
      <c r="B233" s="2" t="s">
        <v>1355</v>
      </c>
      <c r="H233" s="2">
        <v>2031</v>
      </c>
      <c r="I233" s="2">
        <v>100</v>
      </c>
      <c r="J233" s="2" t="s">
        <v>1356</v>
      </c>
      <c r="O233" s="2" t="s">
        <v>1241</v>
      </c>
      <c r="P233" s="2" t="s">
        <v>1354</v>
      </c>
    </row>
    <row r="234" spans="1:16" x14ac:dyDescent="0.2">
      <c r="A234" s="2" t="s">
        <v>515</v>
      </c>
      <c r="B234" s="2" t="s">
        <v>1358</v>
      </c>
      <c r="H234" s="2">
        <v>2031</v>
      </c>
      <c r="I234" s="2">
        <v>100</v>
      </c>
      <c r="J234" s="2" t="s">
        <v>1359</v>
      </c>
      <c r="O234" s="2" t="s">
        <v>1241</v>
      </c>
      <c r="P234" s="2" t="s">
        <v>1357</v>
      </c>
    </row>
    <row r="235" spans="1:16" x14ac:dyDescent="0.2">
      <c r="A235" s="2" t="s">
        <v>515</v>
      </c>
      <c r="B235" s="2" t="s">
        <v>1362</v>
      </c>
      <c r="H235" s="2">
        <v>2031</v>
      </c>
      <c r="I235" s="2">
        <v>100</v>
      </c>
      <c r="J235" s="2" t="s">
        <v>1363</v>
      </c>
      <c r="O235" s="2" t="s">
        <v>1361</v>
      </c>
      <c r="P235" s="2" t="s">
        <v>1360</v>
      </c>
    </row>
    <row r="236" spans="1:16" x14ac:dyDescent="0.2">
      <c r="A236" s="2" t="s">
        <v>515</v>
      </c>
      <c r="B236" s="2" t="s">
        <v>1365</v>
      </c>
      <c r="H236" s="2">
        <v>2031</v>
      </c>
      <c r="I236" s="2">
        <v>100</v>
      </c>
      <c r="J236" s="2" t="s">
        <v>1366</v>
      </c>
      <c r="O236" s="2" t="s">
        <v>1361</v>
      </c>
      <c r="P236" s="2" t="s">
        <v>1364</v>
      </c>
    </row>
    <row r="237" spans="1:16" x14ac:dyDescent="0.2">
      <c r="A237" s="2" t="s">
        <v>510</v>
      </c>
      <c r="B237" s="2" t="s">
        <v>1368</v>
      </c>
      <c r="H237" s="2">
        <v>2031</v>
      </c>
      <c r="I237" s="2">
        <v>100</v>
      </c>
      <c r="J237" s="2" t="s">
        <v>1369</v>
      </c>
      <c r="O237" s="2" t="s">
        <v>1361</v>
      </c>
      <c r="P237" s="2" t="s">
        <v>1367</v>
      </c>
    </row>
    <row r="238" spans="1:16" x14ac:dyDescent="0.2">
      <c r="A238" s="2" t="s">
        <v>510</v>
      </c>
      <c r="B238" s="2" t="s">
        <v>1371</v>
      </c>
      <c r="H238" s="2">
        <v>2031</v>
      </c>
      <c r="I238" s="2">
        <v>100</v>
      </c>
      <c r="J238" s="2" t="s">
        <v>1372</v>
      </c>
      <c r="O238" s="2" t="s">
        <v>1237</v>
      </c>
      <c r="P238" s="2" t="s">
        <v>1370</v>
      </c>
    </row>
    <row r="239" spans="1:16" x14ac:dyDescent="0.2">
      <c r="A239" s="2" t="s">
        <v>510</v>
      </c>
      <c r="B239" s="2" t="s">
        <v>1374</v>
      </c>
      <c r="H239" s="2">
        <v>2031</v>
      </c>
      <c r="I239" s="2">
        <v>100</v>
      </c>
      <c r="J239" s="2" t="s">
        <v>1375</v>
      </c>
      <c r="O239" s="2" t="s">
        <v>1237</v>
      </c>
      <c r="P239" s="2" t="s">
        <v>1373</v>
      </c>
    </row>
    <row r="240" spans="1:16" x14ac:dyDescent="0.2">
      <c r="A240" s="2" t="s">
        <v>510</v>
      </c>
      <c r="B240" s="2" t="s">
        <v>1378</v>
      </c>
      <c r="H240" s="2">
        <v>2031</v>
      </c>
      <c r="I240" s="2">
        <v>100</v>
      </c>
      <c r="J240" s="2" t="s">
        <v>1379</v>
      </c>
      <c r="O240" s="2" t="s">
        <v>1377</v>
      </c>
      <c r="P240" s="2" t="s">
        <v>1376</v>
      </c>
    </row>
    <row r="241" spans="1:16" x14ac:dyDescent="0.2">
      <c r="A241" s="2" t="s">
        <v>510</v>
      </c>
      <c r="B241" s="2" t="s">
        <v>1382</v>
      </c>
      <c r="H241" s="2">
        <v>2031</v>
      </c>
      <c r="I241" s="2">
        <v>100</v>
      </c>
      <c r="J241" s="2" t="s">
        <v>1383</v>
      </c>
      <c r="O241" s="2" t="s">
        <v>1381</v>
      </c>
      <c r="P241" s="2" t="s">
        <v>1380</v>
      </c>
    </row>
    <row r="242" spans="1:16" x14ac:dyDescent="0.2">
      <c r="A242" s="2" t="s">
        <v>510</v>
      </c>
      <c r="B242" s="2" t="s">
        <v>1386</v>
      </c>
      <c r="H242" s="2">
        <v>2031</v>
      </c>
      <c r="I242" s="2">
        <v>100</v>
      </c>
      <c r="J242" s="2" t="s">
        <v>1387</v>
      </c>
      <c r="O242" s="2" t="s">
        <v>1385</v>
      </c>
      <c r="P242" s="2" t="s">
        <v>1384</v>
      </c>
    </row>
    <row r="243" spans="1:16" x14ac:dyDescent="0.2">
      <c r="A243" s="2" t="s">
        <v>510</v>
      </c>
      <c r="B243" s="2" t="s">
        <v>1389</v>
      </c>
      <c r="H243" s="2">
        <v>2031</v>
      </c>
      <c r="I243" s="2">
        <v>100</v>
      </c>
      <c r="J243" s="2" t="s">
        <v>1390</v>
      </c>
      <c r="O243" s="2" t="s">
        <v>533</v>
      </c>
      <c r="P243" s="2" t="s">
        <v>1388</v>
      </c>
    </row>
    <row r="244" spans="1:16" x14ac:dyDescent="0.2">
      <c r="A244" s="2" t="s">
        <v>510</v>
      </c>
      <c r="B244" s="2" t="s">
        <v>1392</v>
      </c>
      <c r="H244" s="2">
        <v>2031</v>
      </c>
      <c r="I244" s="2">
        <v>100</v>
      </c>
      <c r="J244" s="2" t="s">
        <v>1393</v>
      </c>
      <c r="O244" s="2" t="s">
        <v>533</v>
      </c>
      <c r="P244" s="2" t="s">
        <v>1391</v>
      </c>
    </row>
    <row r="245" spans="1:16" x14ac:dyDescent="0.2">
      <c r="A245" s="2" t="s">
        <v>510</v>
      </c>
      <c r="B245" s="2" t="s">
        <v>1396</v>
      </c>
      <c r="H245" s="2">
        <v>2031</v>
      </c>
      <c r="I245" s="2">
        <v>100</v>
      </c>
      <c r="J245" s="2" t="s">
        <v>1397</v>
      </c>
      <c r="O245" s="2" t="s">
        <v>1395</v>
      </c>
      <c r="P245" s="2" t="s">
        <v>1394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0"/>
  <sheetViews>
    <sheetView zoomScaleNormal="100" workbookViewId="0">
      <selection activeCell="G1" sqref="G1:O1048576"/>
    </sheetView>
  </sheetViews>
  <sheetFormatPr defaultRowHeight="14.25" x14ac:dyDescent="0.2"/>
  <cols>
    <col min="1" max="1" width="36.125" customWidth="1"/>
    <col min="7" max="15" width="9" style="1"/>
  </cols>
  <sheetData>
    <row r="1" spans="1:15" x14ac:dyDescent="0.2">
      <c r="A1" t="s">
        <v>0</v>
      </c>
      <c r="B1" t="s">
        <v>1</v>
      </c>
      <c r="C1" t="s">
        <v>2</v>
      </c>
    </row>
    <row r="2" spans="1:15" x14ac:dyDescent="0.2">
      <c r="A2" t="s">
        <v>3</v>
      </c>
      <c r="B2" t="s">
        <v>4</v>
      </c>
      <c r="G2" s="1" t="str">
        <f>MID(A2,8,8)</f>
        <v>104.7273</v>
      </c>
      <c r="H2" s="1" t="str">
        <f>MID(A2,18,8)</f>
        <v xml:space="preserve"> 17.0179</v>
      </c>
      <c r="J2" s="1" t="str">
        <f>MID(B2,1,3)</f>
        <v>LT1</v>
      </c>
      <c r="L2" s="1" t="str">
        <f>MID(B2,5,2)</f>
        <v>SG</v>
      </c>
      <c r="M2" s="1">
        <v>2031</v>
      </c>
      <c r="N2" s="1">
        <v>100</v>
      </c>
      <c r="O2" s="1" t="str">
        <f>MID(B2,13,5)</f>
        <v>0+015</v>
      </c>
    </row>
    <row r="3" spans="1:15" x14ac:dyDescent="0.2">
      <c r="A3" t="s">
        <v>5</v>
      </c>
      <c r="B3" t="s">
        <v>6</v>
      </c>
      <c r="G3" s="1" t="str">
        <f t="shared" ref="G3:G66" si="0">MID(A3,8,8)</f>
        <v>104.7274</v>
      </c>
      <c r="H3" s="1" t="str">
        <f t="shared" ref="H3:H66" si="1">MID(A3,18,8)</f>
        <v xml:space="preserve"> 17.0180</v>
      </c>
      <c r="I3" s="1" t="str">
        <f>MID(B3,1,3)</f>
        <v>CL1</v>
      </c>
      <c r="K3" s="1" t="str">
        <f>MID(B3,5,2)</f>
        <v>DB</v>
      </c>
      <c r="M3" s="1">
        <v>2031</v>
      </c>
      <c r="N3" s="1">
        <v>100</v>
      </c>
      <c r="O3" s="1" t="str">
        <f t="shared" ref="O3:O12" si="2">MID(B3,13,5)</f>
        <v>0+015</v>
      </c>
    </row>
    <row r="4" spans="1:15" x14ac:dyDescent="0.2">
      <c r="A4" t="s">
        <v>7</v>
      </c>
      <c r="B4" t="s">
        <v>8</v>
      </c>
      <c r="G4" s="1" t="str">
        <f t="shared" si="0"/>
        <v>104.7271</v>
      </c>
      <c r="H4" s="1" t="str">
        <f t="shared" si="1"/>
        <v xml:space="preserve"> 17.0182</v>
      </c>
      <c r="J4" s="1" t="str">
        <f t="shared" ref="J4:J12" si="3">MID(B4,1,3)</f>
        <v>LT2</v>
      </c>
      <c r="L4" s="1" t="str">
        <f t="shared" ref="L4:L12" si="4">MID(B4,5,2)</f>
        <v>SG</v>
      </c>
      <c r="M4" s="1">
        <v>2031</v>
      </c>
      <c r="N4" s="1">
        <v>100</v>
      </c>
      <c r="O4" s="1" t="str">
        <f t="shared" si="2"/>
        <v>0+055</v>
      </c>
    </row>
    <row r="5" spans="1:15" x14ac:dyDescent="0.2">
      <c r="A5" t="s">
        <v>9</v>
      </c>
      <c r="B5" t="s">
        <v>10</v>
      </c>
      <c r="G5" s="1" t="str">
        <f t="shared" si="0"/>
        <v>104.7272</v>
      </c>
      <c r="H5" s="1" t="str">
        <f>MID(A5,18,7)</f>
        <v>17.0182</v>
      </c>
      <c r="I5" s="1" t="str">
        <f>MID(B5,1,3)</f>
        <v>CL2</v>
      </c>
      <c r="K5" s="1" t="str">
        <f>MID(B5,5,2)</f>
        <v>DB</v>
      </c>
      <c r="M5" s="1">
        <v>2031</v>
      </c>
      <c r="N5" s="1">
        <v>100</v>
      </c>
      <c r="O5" s="1" t="str">
        <f t="shared" si="2"/>
        <v>0+050</v>
      </c>
    </row>
    <row r="6" spans="1:15" x14ac:dyDescent="0.2">
      <c r="A6" t="s">
        <v>11</v>
      </c>
      <c r="B6" t="s">
        <v>12</v>
      </c>
      <c r="G6" s="1" t="str">
        <f t="shared" si="0"/>
        <v>104.7266</v>
      </c>
      <c r="H6" s="1" t="str">
        <f t="shared" si="1"/>
        <v xml:space="preserve"> 17.0184</v>
      </c>
      <c r="J6" s="1" t="str">
        <f t="shared" si="3"/>
        <v>LT3</v>
      </c>
      <c r="L6" s="1" t="str">
        <f t="shared" si="4"/>
        <v>SG</v>
      </c>
      <c r="M6" s="1">
        <v>2031</v>
      </c>
      <c r="N6" s="1">
        <v>100</v>
      </c>
      <c r="O6" s="1" t="str">
        <f t="shared" si="2"/>
        <v>0+100</v>
      </c>
    </row>
    <row r="7" spans="1:15" x14ac:dyDescent="0.2">
      <c r="A7" t="s">
        <v>13</v>
      </c>
      <c r="B7" t="s">
        <v>14</v>
      </c>
      <c r="G7" s="1" t="str">
        <f t="shared" si="0"/>
        <v>104.7263</v>
      </c>
      <c r="H7" s="1" t="str">
        <f t="shared" si="1"/>
        <v xml:space="preserve"> 17.0186</v>
      </c>
      <c r="J7" s="1" t="str">
        <f t="shared" si="3"/>
        <v>LT4</v>
      </c>
      <c r="L7" s="1" t="str">
        <f t="shared" si="4"/>
        <v>SG</v>
      </c>
      <c r="M7" s="1">
        <v>2031</v>
      </c>
      <c r="N7" s="1">
        <v>100</v>
      </c>
      <c r="O7" s="1" t="str">
        <f t="shared" si="2"/>
        <v>0+135</v>
      </c>
    </row>
    <row r="8" spans="1:15" x14ac:dyDescent="0.2">
      <c r="A8" t="s">
        <v>15</v>
      </c>
      <c r="B8" t="s">
        <v>16</v>
      </c>
      <c r="G8" s="1" t="str">
        <f t="shared" si="0"/>
        <v>104.7259</v>
      </c>
      <c r="H8" s="1" t="str">
        <f t="shared" si="1"/>
        <v xml:space="preserve"> 17.0188</v>
      </c>
      <c r="J8" s="1" t="str">
        <f t="shared" si="3"/>
        <v>LT5</v>
      </c>
      <c r="L8" s="1" t="str">
        <f t="shared" si="4"/>
        <v>SG</v>
      </c>
      <c r="M8" s="1">
        <v>2031</v>
      </c>
      <c r="N8" s="1">
        <v>100</v>
      </c>
      <c r="O8" s="1" t="str">
        <f t="shared" si="2"/>
        <v>0+185</v>
      </c>
    </row>
    <row r="9" spans="1:15" x14ac:dyDescent="0.2">
      <c r="A9" t="s">
        <v>17</v>
      </c>
      <c r="B9" t="s">
        <v>18</v>
      </c>
      <c r="G9" s="1" t="str">
        <f t="shared" si="0"/>
        <v>104.7255</v>
      </c>
      <c r="H9" s="1" t="str">
        <f t="shared" si="1"/>
        <v xml:space="preserve"> 17.0191</v>
      </c>
      <c r="J9" s="1" t="str">
        <f t="shared" si="3"/>
        <v>LT6</v>
      </c>
      <c r="L9" s="1" t="str">
        <f t="shared" si="4"/>
        <v>SG</v>
      </c>
      <c r="M9" s="1">
        <v>2031</v>
      </c>
      <c r="N9" s="1">
        <v>100</v>
      </c>
      <c r="O9" s="1" t="str">
        <f t="shared" si="2"/>
        <v>0+235</v>
      </c>
    </row>
    <row r="10" spans="1:15" x14ac:dyDescent="0.2">
      <c r="A10" t="s">
        <v>19</v>
      </c>
      <c r="B10" t="s">
        <v>20</v>
      </c>
      <c r="G10" s="1" t="str">
        <f t="shared" si="0"/>
        <v>104.7251</v>
      </c>
      <c r="H10" s="1" t="str">
        <f t="shared" si="1"/>
        <v xml:space="preserve"> 17.0193</v>
      </c>
      <c r="J10" s="1" t="str">
        <f t="shared" si="3"/>
        <v>LT7</v>
      </c>
      <c r="L10" s="1" t="str">
        <f t="shared" si="4"/>
        <v>SG</v>
      </c>
      <c r="M10" s="1">
        <v>2031</v>
      </c>
      <c r="N10" s="1">
        <v>100</v>
      </c>
      <c r="O10" s="1" t="str">
        <f t="shared" si="2"/>
        <v>0+285</v>
      </c>
    </row>
    <row r="11" spans="1:15" x14ac:dyDescent="0.2">
      <c r="A11" t="s">
        <v>21</v>
      </c>
      <c r="B11" t="s">
        <v>22</v>
      </c>
      <c r="G11" s="1" t="str">
        <f t="shared" si="0"/>
        <v>104.7246</v>
      </c>
      <c r="H11" s="1" t="str">
        <f>MID(A11,18,7)</f>
        <v>17.0195</v>
      </c>
      <c r="J11" s="1" t="str">
        <f t="shared" si="3"/>
        <v>LT8</v>
      </c>
      <c r="L11" s="1" t="str">
        <f t="shared" si="4"/>
        <v>SG</v>
      </c>
      <c r="M11" s="1">
        <v>2031</v>
      </c>
      <c r="N11" s="1">
        <v>100</v>
      </c>
      <c r="O11" s="1" t="str">
        <f t="shared" si="2"/>
        <v>0+335</v>
      </c>
    </row>
    <row r="12" spans="1:15" x14ac:dyDescent="0.2">
      <c r="A12" t="s">
        <v>23</v>
      </c>
      <c r="B12" t="s">
        <v>24</v>
      </c>
      <c r="G12" s="1" t="str">
        <f t="shared" si="0"/>
        <v>104.7242</v>
      </c>
      <c r="H12" s="1" t="str">
        <f t="shared" si="1"/>
        <v xml:space="preserve"> 17.0197</v>
      </c>
      <c r="J12" s="1" t="str">
        <f t="shared" si="3"/>
        <v>LT9</v>
      </c>
      <c r="L12" s="1" t="str">
        <f t="shared" si="4"/>
        <v>SG</v>
      </c>
      <c r="M12" s="1">
        <v>2031</v>
      </c>
      <c r="N12" s="1">
        <v>100</v>
      </c>
      <c r="O12" s="1" t="str">
        <f t="shared" si="2"/>
        <v>0+385</v>
      </c>
    </row>
    <row r="13" spans="1:15" x14ac:dyDescent="0.2">
      <c r="A13" t="s">
        <v>25</v>
      </c>
      <c r="B13" t="s">
        <v>26</v>
      </c>
      <c r="G13" s="1" t="str">
        <f t="shared" si="0"/>
        <v>104.7238</v>
      </c>
      <c r="H13" s="1" t="str">
        <f>MID(A13,18,7)</f>
        <v>17.0200</v>
      </c>
      <c r="J13" s="1" t="str">
        <f>MID(B13,1,4)</f>
        <v>LT10</v>
      </c>
      <c r="L13" s="1" t="str">
        <f>MID(B13,6,2)</f>
        <v>SG</v>
      </c>
      <c r="M13" s="1">
        <v>2031</v>
      </c>
      <c r="N13" s="1">
        <v>100</v>
      </c>
      <c r="O13" s="1" t="str">
        <f>MID(B13,14,5)</f>
        <v>0+435</v>
      </c>
    </row>
    <row r="14" spans="1:15" x14ac:dyDescent="0.2">
      <c r="A14" t="s">
        <v>27</v>
      </c>
      <c r="B14" t="s">
        <v>28</v>
      </c>
      <c r="G14" s="1" t="str">
        <f t="shared" si="0"/>
        <v>104.7234</v>
      </c>
      <c r="H14" s="1" t="str">
        <f t="shared" si="1"/>
        <v xml:space="preserve"> 17.0202</v>
      </c>
      <c r="J14" s="1" t="str">
        <f t="shared" ref="J14:J77" si="5">MID(B14,1,4)</f>
        <v>LT11</v>
      </c>
      <c r="L14" s="1" t="str">
        <f t="shared" ref="L14:L77" si="6">MID(B14,6,2)</f>
        <v>SG</v>
      </c>
      <c r="M14" s="1">
        <v>2031</v>
      </c>
      <c r="N14" s="1">
        <v>100</v>
      </c>
      <c r="O14" s="1" t="str">
        <f t="shared" ref="O14:O77" si="7">MID(B14,14,5)</f>
        <v>0+485</v>
      </c>
    </row>
    <row r="15" spans="1:15" x14ac:dyDescent="0.2">
      <c r="A15" t="s">
        <v>29</v>
      </c>
      <c r="B15" t="s">
        <v>30</v>
      </c>
      <c r="G15" s="1" t="str">
        <f t="shared" si="0"/>
        <v>104.7229</v>
      </c>
      <c r="H15" s="1" t="str">
        <f t="shared" si="1"/>
        <v xml:space="preserve"> 17.0204</v>
      </c>
      <c r="J15" s="1" t="str">
        <f t="shared" si="5"/>
        <v>LT12</v>
      </c>
      <c r="L15" s="1" t="str">
        <f t="shared" si="6"/>
        <v>SG</v>
      </c>
      <c r="M15" s="1">
        <v>2031</v>
      </c>
      <c r="N15" s="1">
        <v>100</v>
      </c>
      <c r="O15" s="1" t="str">
        <f t="shared" si="7"/>
        <v>0+535</v>
      </c>
    </row>
    <row r="16" spans="1:15" x14ac:dyDescent="0.2">
      <c r="A16" t="s">
        <v>31</v>
      </c>
      <c r="B16" t="s">
        <v>32</v>
      </c>
      <c r="G16" s="1" t="str">
        <f t="shared" si="0"/>
        <v>104.7225</v>
      </c>
      <c r="H16" s="1" t="str">
        <f t="shared" si="1"/>
        <v xml:space="preserve"> 17.0207</v>
      </c>
      <c r="J16" s="1" t="str">
        <f t="shared" si="5"/>
        <v>LT13</v>
      </c>
      <c r="L16" s="1" t="str">
        <f t="shared" si="6"/>
        <v>SG</v>
      </c>
      <c r="M16" s="1">
        <v>2031</v>
      </c>
      <c r="N16" s="1">
        <v>100</v>
      </c>
      <c r="O16" s="1" t="str">
        <f t="shared" si="7"/>
        <v>0+585</v>
      </c>
    </row>
    <row r="17" spans="1:15" x14ac:dyDescent="0.2">
      <c r="A17" t="s">
        <v>33</v>
      </c>
      <c r="B17" t="s">
        <v>34</v>
      </c>
      <c r="G17" s="1" t="str">
        <f t="shared" si="0"/>
        <v>104.7221</v>
      </c>
      <c r="H17" s="1" t="str">
        <f t="shared" si="1"/>
        <v xml:space="preserve"> 17.0209</v>
      </c>
      <c r="J17" s="1" t="str">
        <f t="shared" si="5"/>
        <v>LT14</v>
      </c>
      <c r="L17" s="1" t="str">
        <f t="shared" si="6"/>
        <v>SG</v>
      </c>
      <c r="M17" s="1">
        <v>2031</v>
      </c>
      <c r="N17" s="1">
        <v>100</v>
      </c>
      <c r="O17" s="1" t="str">
        <f t="shared" si="7"/>
        <v>0+635</v>
      </c>
    </row>
    <row r="18" spans="1:15" x14ac:dyDescent="0.2">
      <c r="A18" t="s">
        <v>35</v>
      </c>
      <c r="B18" t="s">
        <v>36</v>
      </c>
      <c r="G18" s="1" t="str">
        <f t="shared" si="0"/>
        <v>104.7217</v>
      </c>
      <c r="H18" s="1" t="str">
        <f t="shared" si="1"/>
        <v xml:space="preserve"> 17.0211</v>
      </c>
      <c r="J18" s="1" t="str">
        <f t="shared" si="5"/>
        <v>LT15</v>
      </c>
      <c r="L18" s="1" t="str">
        <f t="shared" si="6"/>
        <v>SG</v>
      </c>
      <c r="M18" s="1">
        <v>2031</v>
      </c>
      <c r="N18" s="1">
        <v>100</v>
      </c>
      <c r="O18" s="1" t="str">
        <f t="shared" si="7"/>
        <v>0+685</v>
      </c>
    </row>
    <row r="19" spans="1:15" x14ac:dyDescent="0.2">
      <c r="A19" t="s">
        <v>37</v>
      </c>
      <c r="B19" t="s">
        <v>38</v>
      </c>
      <c r="G19" s="1" t="str">
        <f t="shared" si="0"/>
        <v>104.7212</v>
      </c>
      <c r="H19" s="1" t="str">
        <f t="shared" si="1"/>
        <v xml:space="preserve"> 17.0214</v>
      </c>
      <c r="J19" s="1" t="str">
        <f t="shared" si="5"/>
        <v>LT16</v>
      </c>
      <c r="L19" s="1" t="str">
        <f t="shared" si="6"/>
        <v>SG</v>
      </c>
      <c r="M19" s="1">
        <v>2031</v>
      </c>
      <c r="N19" s="1">
        <v>100</v>
      </c>
      <c r="O19" s="1" t="str">
        <f t="shared" si="7"/>
        <v>0+735</v>
      </c>
    </row>
    <row r="20" spans="1:15" x14ac:dyDescent="0.2">
      <c r="A20" t="s">
        <v>39</v>
      </c>
      <c r="B20" t="s">
        <v>40</v>
      </c>
      <c r="G20" s="1" t="str">
        <f t="shared" si="0"/>
        <v>104.7208</v>
      </c>
      <c r="H20" s="1" t="str">
        <f t="shared" si="1"/>
        <v xml:space="preserve"> 17.0216</v>
      </c>
      <c r="J20" s="1" t="str">
        <f t="shared" si="5"/>
        <v>LT17</v>
      </c>
      <c r="L20" s="1" t="str">
        <f t="shared" si="6"/>
        <v>SG</v>
      </c>
      <c r="M20" s="1">
        <v>2031</v>
      </c>
      <c r="N20" s="1">
        <v>100</v>
      </c>
      <c r="O20" s="1" t="str">
        <f t="shared" si="7"/>
        <v>0+785</v>
      </c>
    </row>
    <row r="21" spans="1:15" x14ac:dyDescent="0.2">
      <c r="A21" t="s">
        <v>41</v>
      </c>
      <c r="B21" t="s">
        <v>42</v>
      </c>
      <c r="G21" s="1" t="str">
        <f t="shared" si="0"/>
        <v>104.7204</v>
      </c>
      <c r="H21" s="1" t="str">
        <f>MID(A21,18,7)</f>
        <v>17.0218</v>
      </c>
      <c r="J21" s="1" t="str">
        <f t="shared" si="5"/>
        <v>LT18</v>
      </c>
      <c r="L21" s="1" t="str">
        <f t="shared" si="6"/>
        <v>SG</v>
      </c>
      <c r="M21" s="1">
        <v>2031</v>
      </c>
      <c r="N21" s="1">
        <v>100</v>
      </c>
      <c r="O21" s="1" t="str">
        <f t="shared" si="7"/>
        <v>0+935</v>
      </c>
    </row>
    <row r="22" spans="1:15" x14ac:dyDescent="0.2">
      <c r="A22" t="s">
        <v>43</v>
      </c>
      <c r="B22" t="s">
        <v>44</v>
      </c>
      <c r="G22" s="1" t="str">
        <f t="shared" si="0"/>
        <v>104.7199</v>
      </c>
      <c r="H22" s="1" t="str">
        <f>MID(A22,18,7)</f>
        <v>17.0221</v>
      </c>
      <c r="J22" s="1" t="str">
        <f t="shared" si="5"/>
        <v>LT19</v>
      </c>
      <c r="L22" s="1" t="str">
        <f t="shared" si="6"/>
        <v>SG</v>
      </c>
      <c r="M22" s="1">
        <v>2031</v>
      </c>
      <c r="N22" s="1">
        <v>100</v>
      </c>
      <c r="O22" s="1" t="str">
        <f t="shared" si="7"/>
        <v>0+985</v>
      </c>
    </row>
    <row r="23" spans="1:15" x14ac:dyDescent="0.2">
      <c r="A23" t="s">
        <v>45</v>
      </c>
      <c r="B23" t="s">
        <v>46</v>
      </c>
      <c r="G23" s="1" t="str">
        <f t="shared" si="0"/>
        <v>104.7195</v>
      </c>
      <c r="H23" s="1" t="str">
        <f t="shared" si="1"/>
        <v xml:space="preserve"> 17.0223</v>
      </c>
      <c r="J23" s="1" t="str">
        <f t="shared" si="5"/>
        <v>LT20</v>
      </c>
      <c r="L23" s="1" t="str">
        <f t="shared" si="6"/>
        <v>SG</v>
      </c>
      <c r="M23" s="1">
        <v>2031</v>
      </c>
      <c r="N23" s="1">
        <v>100</v>
      </c>
      <c r="O23" s="1" t="str">
        <f t="shared" si="7"/>
        <v>1+035</v>
      </c>
    </row>
    <row r="24" spans="1:15" x14ac:dyDescent="0.2">
      <c r="A24" t="s">
        <v>47</v>
      </c>
      <c r="B24" t="s">
        <v>48</v>
      </c>
      <c r="G24" s="1" t="str">
        <f t="shared" si="0"/>
        <v>104.7191</v>
      </c>
      <c r="H24" s="1" t="str">
        <f t="shared" si="1"/>
        <v xml:space="preserve"> 17.0226</v>
      </c>
      <c r="J24" s="1" t="str">
        <f t="shared" si="5"/>
        <v>LT21</v>
      </c>
      <c r="L24" s="1" t="str">
        <f t="shared" si="6"/>
        <v>SG</v>
      </c>
      <c r="M24" s="1">
        <v>2031</v>
      </c>
      <c r="N24" s="1">
        <v>100</v>
      </c>
      <c r="O24" s="1" t="str">
        <f t="shared" si="7"/>
        <v>1+085</v>
      </c>
    </row>
    <row r="25" spans="1:15" x14ac:dyDescent="0.2">
      <c r="A25" t="s">
        <v>49</v>
      </c>
      <c r="B25" t="s">
        <v>50</v>
      </c>
      <c r="G25" s="1" t="str">
        <f t="shared" si="0"/>
        <v>104.7164</v>
      </c>
      <c r="H25" s="1" t="str">
        <f t="shared" si="1"/>
        <v xml:space="preserve"> 17.0247</v>
      </c>
      <c r="J25" s="1" t="str">
        <f t="shared" si="5"/>
        <v>LT23</v>
      </c>
      <c r="L25" s="1" t="str">
        <f t="shared" si="6"/>
        <v>SG</v>
      </c>
      <c r="M25" s="1">
        <v>2031</v>
      </c>
      <c r="N25" s="1">
        <v>100</v>
      </c>
      <c r="O25" s="1" t="str">
        <f t="shared" si="7"/>
        <v>1+450</v>
      </c>
    </row>
    <row r="26" spans="1:15" x14ac:dyDescent="0.2">
      <c r="A26" t="s">
        <v>51</v>
      </c>
      <c r="B26" t="s">
        <v>52</v>
      </c>
      <c r="G26" s="1" t="str">
        <f t="shared" si="0"/>
        <v>104.7167</v>
      </c>
      <c r="H26" s="1" t="str">
        <f>MID(A26,18,7)</f>
        <v>17.0245</v>
      </c>
      <c r="J26" s="1" t="str">
        <f t="shared" si="5"/>
        <v>LT22</v>
      </c>
      <c r="L26" s="1" t="str">
        <f t="shared" si="6"/>
        <v>SG</v>
      </c>
      <c r="M26" s="1">
        <v>2031</v>
      </c>
      <c r="N26" s="1">
        <v>100</v>
      </c>
      <c r="O26" s="1" t="str">
        <f t="shared" si="7"/>
        <v>1+400</v>
      </c>
    </row>
    <row r="27" spans="1:15" x14ac:dyDescent="0.2">
      <c r="A27" t="s">
        <v>53</v>
      </c>
      <c r="B27" t="s">
        <v>54</v>
      </c>
      <c r="G27" s="1" t="str">
        <f t="shared" si="0"/>
        <v>104.7161</v>
      </c>
      <c r="H27" s="1" t="str">
        <f t="shared" si="1"/>
        <v xml:space="preserve"> 17.0249</v>
      </c>
      <c r="J27" s="1" t="str">
        <f t="shared" si="5"/>
        <v>LT24</v>
      </c>
      <c r="L27" s="1" t="str">
        <f t="shared" si="6"/>
        <v>SG</v>
      </c>
      <c r="M27" s="1">
        <v>2031</v>
      </c>
      <c r="N27" s="1">
        <v>100</v>
      </c>
      <c r="O27" s="1" t="str">
        <f t="shared" si="7"/>
        <v>1+500</v>
      </c>
    </row>
    <row r="28" spans="1:15" x14ac:dyDescent="0.2">
      <c r="A28" t="s">
        <v>55</v>
      </c>
      <c r="B28" t="s">
        <v>56</v>
      </c>
      <c r="G28" s="1" t="str">
        <f t="shared" si="0"/>
        <v>104.7159</v>
      </c>
      <c r="H28" s="1" t="str">
        <f t="shared" si="1"/>
        <v xml:space="preserve"> 17.0251</v>
      </c>
      <c r="J28" s="1" t="str">
        <f t="shared" si="5"/>
        <v>LT25</v>
      </c>
      <c r="L28" s="1" t="str">
        <f t="shared" si="6"/>
        <v>SG</v>
      </c>
      <c r="M28" s="1">
        <v>2031</v>
      </c>
      <c r="N28" s="1">
        <v>100</v>
      </c>
      <c r="O28" s="1" t="str">
        <f t="shared" si="7"/>
        <v>1+550</v>
      </c>
    </row>
    <row r="29" spans="1:15" x14ac:dyDescent="0.2">
      <c r="A29" t="s">
        <v>57</v>
      </c>
      <c r="B29" t="s">
        <v>58</v>
      </c>
      <c r="G29" s="1" t="str">
        <f t="shared" si="0"/>
        <v>104.7156</v>
      </c>
      <c r="H29" s="1" t="str">
        <f>MID(A29,18,7)</f>
        <v>17.0253</v>
      </c>
      <c r="J29" s="1" t="str">
        <f t="shared" si="5"/>
        <v>LT26</v>
      </c>
      <c r="L29" s="1" t="str">
        <f t="shared" si="6"/>
        <v>SG</v>
      </c>
      <c r="M29" s="1">
        <v>2031</v>
      </c>
      <c r="N29" s="1">
        <v>100</v>
      </c>
      <c r="O29" s="1" t="str">
        <f t="shared" si="7"/>
        <v>1+600</v>
      </c>
    </row>
    <row r="30" spans="1:15" x14ac:dyDescent="0.2">
      <c r="A30" t="s">
        <v>59</v>
      </c>
      <c r="B30" t="s">
        <v>60</v>
      </c>
      <c r="G30" s="1" t="str">
        <f t="shared" si="0"/>
        <v>104.7153</v>
      </c>
      <c r="H30" s="1" t="str">
        <f>MID(A30,18,7)</f>
        <v>17.0255</v>
      </c>
      <c r="J30" s="1" t="str">
        <f t="shared" si="5"/>
        <v>LT27</v>
      </c>
      <c r="L30" s="1" t="str">
        <f t="shared" si="6"/>
        <v>SG</v>
      </c>
      <c r="M30" s="1">
        <v>2031</v>
      </c>
      <c r="N30" s="1">
        <v>100</v>
      </c>
      <c r="O30" s="1" t="str">
        <f t="shared" si="7"/>
        <v>1+650</v>
      </c>
    </row>
    <row r="31" spans="1:15" x14ac:dyDescent="0.2">
      <c r="A31" t="s">
        <v>61</v>
      </c>
      <c r="B31" t="s">
        <v>62</v>
      </c>
      <c r="G31" s="1" t="str">
        <f t="shared" si="0"/>
        <v>104.7151</v>
      </c>
      <c r="H31" s="1" t="str">
        <f>MID(A31,17,7)</f>
        <v>17.0257</v>
      </c>
      <c r="J31" s="1" t="str">
        <f t="shared" si="5"/>
        <v>LT28</v>
      </c>
      <c r="L31" s="1" t="str">
        <f t="shared" si="6"/>
        <v>SG</v>
      </c>
      <c r="M31" s="1">
        <v>2031</v>
      </c>
      <c r="N31" s="1">
        <v>100</v>
      </c>
      <c r="O31" s="1" t="str">
        <f t="shared" si="7"/>
        <v>1+700</v>
      </c>
    </row>
    <row r="32" spans="1:15" x14ac:dyDescent="0.2">
      <c r="A32" t="s">
        <v>63</v>
      </c>
      <c r="B32" t="s">
        <v>64</v>
      </c>
      <c r="G32" s="1" t="str">
        <f t="shared" si="0"/>
        <v>104.7148</v>
      </c>
      <c r="H32" s="1" t="str">
        <f t="shared" si="1"/>
        <v xml:space="preserve"> 17.0259</v>
      </c>
      <c r="J32" s="1" t="str">
        <f t="shared" si="5"/>
        <v>LT29</v>
      </c>
      <c r="L32" s="1" t="str">
        <f t="shared" si="6"/>
        <v>SG</v>
      </c>
      <c r="M32" s="1">
        <v>2031</v>
      </c>
      <c r="N32" s="1">
        <v>100</v>
      </c>
      <c r="O32" s="1" t="str">
        <f t="shared" si="7"/>
        <v>1+750</v>
      </c>
    </row>
    <row r="33" spans="1:15" x14ac:dyDescent="0.2">
      <c r="A33" t="s">
        <v>65</v>
      </c>
      <c r="B33" t="s">
        <v>66</v>
      </c>
      <c r="G33" s="1" t="str">
        <f t="shared" si="0"/>
        <v>104.7143</v>
      </c>
      <c r="H33" s="1" t="str">
        <f t="shared" si="1"/>
        <v xml:space="preserve"> 17.0263</v>
      </c>
      <c r="J33" s="1" t="str">
        <f t="shared" si="5"/>
        <v>LT30</v>
      </c>
      <c r="L33" s="1" t="str">
        <f t="shared" si="6"/>
        <v>SG</v>
      </c>
      <c r="M33" s="1">
        <v>2031</v>
      </c>
      <c r="N33" s="1">
        <v>100</v>
      </c>
      <c r="O33" s="1" t="str">
        <f t="shared" si="7"/>
        <v>1+820</v>
      </c>
    </row>
    <row r="34" spans="1:15" x14ac:dyDescent="0.2">
      <c r="A34" t="s">
        <v>67</v>
      </c>
      <c r="B34" t="s">
        <v>68</v>
      </c>
      <c r="G34" s="1" t="str">
        <f t="shared" si="0"/>
        <v>104.7138</v>
      </c>
      <c r="H34" s="1" t="str">
        <f t="shared" si="1"/>
        <v xml:space="preserve"> 17.0267</v>
      </c>
      <c r="J34" s="1" t="str">
        <f t="shared" si="5"/>
        <v>LT31</v>
      </c>
      <c r="L34" s="1" t="str">
        <f t="shared" si="6"/>
        <v>SG</v>
      </c>
      <c r="M34" s="1">
        <v>2031</v>
      </c>
      <c r="N34" s="1">
        <v>100</v>
      </c>
      <c r="O34" s="1" t="str">
        <f t="shared" si="7"/>
        <v>1+890</v>
      </c>
    </row>
    <row r="35" spans="1:15" x14ac:dyDescent="0.2">
      <c r="A35" t="s">
        <v>69</v>
      </c>
      <c r="B35" t="s">
        <v>70</v>
      </c>
      <c r="G35" s="1" t="str">
        <f t="shared" si="0"/>
        <v>104.7135</v>
      </c>
      <c r="H35" s="1" t="str">
        <f t="shared" si="1"/>
        <v xml:space="preserve"> 17.0269</v>
      </c>
      <c r="J35" s="1" t="str">
        <f t="shared" si="5"/>
        <v>LT32</v>
      </c>
      <c r="L35" s="1" t="str">
        <f t="shared" si="6"/>
        <v>SG</v>
      </c>
      <c r="M35" s="1">
        <v>2031</v>
      </c>
      <c r="N35" s="1">
        <v>100</v>
      </c>
      <c r="O35" s="1" t="str">
        <f t="shared" si="7"/>
        <v>1+925</v>
      </c>
    </row>
    <row r="36" spans="1:15" x14ac:dyDescent="0.2">
      <c r="A36" t="s">
        <v>71</v>
      </c>
      <c r="B36" t="s">
        <v>72</v>
      </c>
      <c r="G36" s="1" t="str">
        <f t="shared" si="0"/>
        <v>104.7132</v>
      </c>
      <c r="H36" s="1" t="str">
        <f>MID(A36,18,7)</f>
        <v>17.0271</v>
      </c>
      <c r="J36" s="1" t="str">
        <f t="shared" si="5"/>
        <v>LT33</v>
      </c>
      <c r="L36" s="1" t="str">
        <f t="shared" si="6"/>
        <v>SG</v>
      </c>
      <c r="M36" s="1">
        <v>2031</v>
      </c>
      <c r="N36" s="1">
        <v>100</v>
      </c>
      <c r="O36" s="1" t="str">
        <f t="shared" si="7"/>
        <v>1+965</v>
      </c>
    </row>
    <row r="37" spans="1:15" x14ac:dyDescent="0.2">
      <c r="A37" t="s">
        <v>73</v>
      </c>
      <c r="B37" t="s">
        <v>74</v>
      </c>
      <c r="G37" s="1" t="str">
        <f t="shared" si="0"/>
        <v>104.7129</v>
      </c>
      <c r="H37" s="1" t="str">
        <f t="shared" si="1"/>
        <v xml:space="preserve"> 17.0273</v>
      </c>
      <c r="J37" s="1" t="str">
        <f t="shared" si="5"/>
        <v>LT34</v>
      </c>
      <c r="L37" s="1" t="str">
        <f t="shared" si="6"/>
        <v>SG</v>
      </c>
      <c r="M37" s="1">
        <v>2031</v>
      </c>
      <c r="N37" s="1">
        <v>100</v>
      </c>
      <c r="O37" s="1" t="str">
        <f t="shared" si="7"/>
        <v>2+010</v>
      </c>
    </row>
    <row r="38" spans="1:15" x14ac:dyDescent="0.2">
      <c r="A38" t="s">
        <v>75</v>
      </c>
      <c r="B38" t="s">
        <v>76</v>
      </c>
      <c r="G38" s="1" t="str">
        <f t="shared" si="0"/>
        <v>104.7127</v>
      </c>
      <c r="H38" s="1" t="str">
        <f t="shared" si="1"/>
        <v xml:space="preserve"> 17.0275</v>
      </c>
      <c r="J38" s="1" t="str">
        <f t="shared" si="5"/>
        <v>LT35</v>
      </c>
      <c r="L38" s="1" t="str">
        <f t="shared" si="6"/>
        <v>SG</v>
      </c>
      <c r="M38" s="1">
        <v>2031</v>
      </c>
      <c r="N38" s="1">
        <v>100</v>
      </c>
      <c r="O38" s="1" t="str">
        <f t="shared" si="7"/>
        <v>2+050</v>
      </c>
    </row>
    <row r="39" spans="1:15" x14ac:dyDescent="0.2">
      <c r="A39" t="s">
        <v>77</v>
      </c>
      <c r="B39" t="s">
        <v>78</v>
      </c>
      <c r="G39" s="1" t="str">
        <f t="shared" si="0"/>
        <v>104.7124</v>
      </c>
      <c r="H39" s="1" t="str">
        <f t="shared" si="1"/>
        <v xml:space="preserve"> 17.0277</v>
      </c>
      <c r="J39" s="1" t="str">
        <f t="shared" si="5"/>
        <v>LT36</v>
      </c>
      <c r="L39" s="1" t="str">
        <f t="shared" si="6"/>
        <v>SG</v>
      </c>
      <c r="M39" s="1">
        <v>2031</v>
      </c>
      <c r="N39" s="1">
        <v>100</v>
      </c>
      <c r="O39" s="1" t="str">
        <f t="shared" si="7"/>
        <v>2+090</v>
      </c>
    </row>
    <row r="40" spans="1:15" x14ac:dyDescent="0.2">
      <c r="A40" t="s">
        <v>79</v>
      </c>
      <c r="B40" t="s">
        <v>80</v>
      </c>
      <c r="G40" s="1" t="str">
        <f t="shared" si="0"/>
        <v>104.7121</v>
      </c>
      <c r="H40" s="1" t="str">
        <f>MID(A40,18,7)</f>
        <v>17.0279</v>
      </c>
      <c r="J40" s="1" t="str">
        <f>MID(B40,1,4)</f>
        <v>LT37</v>
      </c>
      <c r="L40" s="1" t="str">
        <f t="shared" si="6"/>
        <v>SG</v>
      </c>
      <c r="M40" s="1">
        <v>2031</v>
      </c>
      <c r="N40" s="1">
        <v>100</v>
      </c>
      <c r="O40" s="1" t="str">
        <f t="shared" si="7"/>
        <v>2+130</v>
      </c>
    </row>
    <row r="41" spans="1:15" x14ac:dyDescent="0.2">
      <c r="A41" t="s">
        <v>81</v>
      </c>
      <c r="B41" t="s">
        <v>82</v>
      </c>
      <c r="G41" s="1" t="str">
        <f t="shared" si="0"/>
        <v>104.7119</v>
      </c>
      <c r="H41" s="1" t="str">
        <f t="shared" si="1"/>
        <v xml:space="preserve"> 17.0281</v>
      </c>
      <c r="J41" s="1" t="str">
        <f t="shared" si="5"/>
        <v>LT38</v>
      </c>
      <c r="L41" s="1" t="str">
        <f t="shared" si="6"/>
        <v>SG</v>
      </c>
      <c r="M41" s="1">
        <v>2031</v>
      </c>
      <c r="N41" s="1">
        <v>100</v>
      </c>
      <c r="O41" s="1" t="str">
        <f t="shared" si="7"/>
        <v>2+160</v>
      </c>
    </row>
    <row r="42" spans="1:15" x14ac:dyDescent="0.2">
      <c r="A42" t="s">
        <v>83</v>
      </c>
      <c r="B42" t="s">
        <v>84</v>
      </c>
      <c r="G42" s="1" t="str">
        <f t="shared" si="0"/>
        <v>104.7112</v>
      </c>
      <c r="H42" s="1" t="str">
        <f t="shared" si="1"/>
        <v xml:space="preserve"> 17.0287</v>
      </c>
      <c r="J42" s="1" t="str">
        <f t="shared" si="5"/>
        <v>LT39</v>
      </c>
      <c r="L42" s="1" t="str">
        <f t="shared" si="6"/>
        <v>SG</v>
      </c>
      <c r="M42" s="1">
        <v>2031</v>
      </c>
      <c r="N42" s="1">
        <v>100</v>
      </c>
      <c r="O42" s="1" t="str">
        <f t="shared" si="7"/>
        <v>2+260</v>
      </c>
    </row>
    <row r="43" spans="1:15" x14ac:dyDescent="0.2">
      <c r="A43" t="s">
        <v>85</v>
      </c>
      <c r="B43" t="s">
        <v>86</v>
      </c>
      <c r="G43" s="1" t="str">
        <f t="shared" si="0"/>
        <v>104.7107</v>
      </c>
      <c r="H43" s="1" t="str">
        <f t="shared" si="1"/>
        <v xml:space="preserve"> 17.0290</v>
      </c>
      <c r="J43" s="1" t="str">
        <f t="shared" si="5"/>
        <v>LT40</v>
      </c>
      <c r="L43" s="1" t="str">
        <f t="shared" si="6"/>
        <v>SG</v>
      </c>
      <c r="M43" s="1">
        <v>2031</v>
      </c>
      <c r="N43" s="1">
        <v>100</v>
      </c>
      <c r="O43" s="1" t="str">
        <f t="shared" si="7"/>
        <v>2+320</v>
      </c>
    </row>
    <row r="44" spans="1:15" x14ac:dyDescent="0.2">
      <c r="A44" t="s">
        <v>87</v>
      </c>
      <c r="B44" t="s">
        <v>88</v>
      </c>
      <c r="G44" s="1" t="str">
        <f t="shared" si="0"/>
        <v>104.7102</v>
      </c>
      <c r="H44" s="1" t="str">
        <f t="shared" si="1"/>
        <v xml:space="preserve"> 17.0294</v>
      </c>
      <c r="J44" s="1" t="str">
        <f t="shared" si="5"/>
        <v>LT41</v>
      </c>
      <c r="L44" s="1" t="str">
        <f t="shared" si="6"/>
        <v>SG</v>
      </c>
      <c r="M44" s="1">
        <v>2031</v>
      </c>
      <c r="N44" s="1">
        <v>100</v>
      </c>
      <c r="O44" s="1" t="str">
        <f t="shared" si="7"/>
        <v>2+380</v>
      </c>
    </row>
    <row r="45" spans="1:15" x14ac:dyDescent="0.2">
      <c r="A45" t="s">
        <v>89</v>
      </c>
      <c r="B45" t="s">
        <v>90</v>
      </c>
      <c r="G45" s="1" t="str">
        <f t="shared" si="0"/>
        <v>104.7097</v>
      </c>
      <c r="H45" s="1" t="str">
        <f t="shared" si="1"/>
        <v xml:space="preserve"> 17.0298</v>
      </c>
      <c r="J45" s="1" t="str">
        <f t="shared" si="5"/>
        <v>LT42</v>
      </c>
      <c r="L45" s="1" t="str">
        <f t="shared" si="6"/>
        <v>SG</v>
      </c>
      <c r="M45" s="1">
        <v>2031</v>
      </c>
      <c r="N45" s="1">
        <v>100</v>
      </c>
      <c r="O45" s="1" t="str">
        <f t="shared" si="7"/>
        <v>2+450</v>
      </c>
    </row>
    <row r="46" spans="1:15" x14ac:dyDescent="0.2">
      <c r="A46" t="s">
        <v>91</v>
      </c>
      <c r="B46" t="s">
        <v>92</v>
      </c>
      <c r="G46" s="1" t="str">
        <f t="shared" si="0"/>
        <v>104.7092</v>
      </c>
      <c r="H46" s="1" t="str">
        <f t="shared" si="1"/>
        <v xml:space="preserve"> 17.0302</v>
      </c>
      <c r="J46" s="1" t="str">
        <f t="shared" si="5"/>
        <v>LT43</v>
      </c>
      <c r="L46" s="1" t="str">
        <f t="shared" si="6"/>
        <v>SG</v>
      </c>
      <c r="M46" s="1">
        <v>2031</v>
      </c>
      <c r="N46" s="1">
        <v>100</v>
      </c>
      <c r="O46" s="1" t="str">
        <f t="shared" si="7"/>
        <v>2+520</v>
      </c>
    </row>
    <row r="47" spans="1:15" x14ac:dyDescent="0.2">
      <c r="A47" t="s">
        <v>93</v>
      </c>
      <c r="B47" t="s">
        <v>94</v>
      </c>
      <c r="G47" s="1" t="str">
        <f t="shared" si="0"/>
        <v>104.7089</v>
      </c>
      <c r="H47" s="1" t="str">
        <f t="shared" si="1"/>
        <v xml:space="preserve"> 17.0305</v>
      </c>
      <c r="J47" s="1" t="str">
        <f t="shared" si="5"/>
        <v>LT44</v>
      </c>
      <c r="L47" s="1" t="str">
        <f t="shared" si="6"/>
        <v>SG</v>
      </c>
      <c r="M47" s="1">
        <v>2031</v>
      </c>
      <c r="N47" s="1">
        <v>100</v>
      </c>
      <c r="O47" s="1" t="str">
        <f>MID(B47,14,5)</f>
        <v>2+590</v>
      </c>
    </row>
    <row r="48" spans="1:15" x14ac:dyDescent="0.2">
      <c r="A48" t="s">
        <v>95</v>
      </c>
      <c r="B48" t="s">
        <v>96</v>
      </c>
      <c r="G48" s="1" t="str">
        <f t="shared" si="0"/>
        <v>104.7065</v>
      </c>
      <c r="H48" s="1" t="str">
        <f t="shared" si="1"/>
        <v xml:space="preserve"> 17.0325</v>
      </c>
      <c r="J48" s="1" t="str">
        <f t="shared" si="5"/>
        <v>LT45</v>
      </c>
      <c r="L48" s="1" t="str">
        <f t="shared" si="6"/>
        <v>SG</v>
      </c>
      <c r="M48" s="1">
        <v>2031</v>
      </c>
      <c r="N48" s="1">
        <v>100</v>
      </c>
      <c r="O48" s="1" t="str">
        <f t="shared" si="7"/>
        <v>2+750</v>
      </c>
    </row>
    <row r="49" spans="1:15" x14ac:dyDescent="0.2">
      <c r="A49" t="s">
        <v>97</v>
      </c>
      <c r="B49" t="s">
        <v>98</v>
      </c>
      <c r="G49" s="1" t="str">
        <f t="shared" si="0"/>
        <v>104.7062</v>
      </c>
      <c r="H49" s="1" t="str">
        <f t="shared" si="1"/>
        <v xml:space="preserve"> 17.0328</v>
      </c>
      <c r="J49" s="1" t="str">
        <f t="shared" si="5"/>
        <v>LT46</v>
      </c>
      <c r="L49" s="1" t="str">
        <f t="shared" si="6"/>
        <v>SG</v>
      </c>
      <c r="M49" s="1">
        <v>2031</v>
      </c>
      <c r="N49" s="1">
        <v>100</v>
      </c>
      <c r="O49" s="1" t="str">
        <f t="shared" si="7"/>
        <v>2+800</v>
      </c>
    </row>
    <row r="50" spans="1:15" x14ac:dyDescent="0.2">
      <c r="A50" t="s">
        <v>99</v>
      </c>
      <c r="B50" t="s">
        <v>100</v>
      </c>
      <c r="G50" s="1" t="str">
        <f t="shared" si="0"/>
        <v>104.7058</v>
      </c>
      <c r="H50" s="1" t="str">
        <f t="shared" si="1"/>
        <v xml:space="preserve"> 17.0331</v>
      </c>
      <c r="J50" s="1" t="str">
        <f t="shared" si="5"/>
        <v>LT47</v>
      </c>
      <c r="L50" s="1" t="str">
        <f t="shared" si="6"/>
        <v>SG</v>
      </c>
      <c r="M50" s="1">
        <v>2031</v>
      </c>
      <c r="N50" s="1">
        <v>100</v>
      </c>
      <c r="O50" s="1" t="str">
        <f t="shared" si="7"/>
        <v>2+850</v>
      </c>
    </row>
    <row r="51" spans="1:15" x14ac:dyDescent="0.2">
      <c r="A51" t="s">
        <v>101</v>
      </c>
      <c r="B51" t="s">
        <v>102</v>
      </c>
      <c r="G51" s="1" t="str">
        <f t="shared" si="0"/>
        <v>104.7054</v>
      </c>
      <c r="H51" s="1" t="str">
        <f t="shared" si="1"/>
        <v xml:space="preserve"> 17.0333</v>
      </c>
      <c r="J51" s="1" t="str">
        <f t="shared" si="5"/>
        <v>LT48</v>
      </c>
      <c r="L51" s="1" t="str">
        <f t="shared" si="6"/>
        <v>SG</v>
      </c>
      <c r="M51" s="1">
        <v>2031</v>
      </c>
      <c r="N51" s="1">
        <v>100</v>
      </c>
      <c r="O51" s="1" t="str">
        <f t="shared" si="7"/>
        <v>2+900</v>
      </c>
    </row>
    <row r="52" spans="1:15" x14ac:dyDescent="0.2">
      <c r="A52" t="s">
        <v>103</v>
      </c>
      <c r="B52" t="s">
        <v>104</v>
      </c>
      <c r="G52" s="1" t="str">
        <f t="shared" si="0"/>
        <v>104.7051</v>
      </c>
      <c r="H52" s="1" t="str">
        <f t="shared" si="1"/>
        <v xml:space="preserve"> 17.0336</v>
      </c>
      <c r="J52" s="1" t="str">
        <f t="shared" si="5"/>
        <v>LT49</v>
      </c>
      <c r="L52" s="1" t="str">
        <f t="shared" si="6"/>
        <v>SG</v>
      </c>
      <c r="M52" s="1">
        <v>2031</v>
      </c>
      <c r="N52" s="1">
        <v>100</v>
      </c>
      <c r="O52" s="1" t="str">
        <f t="shared" si="7"/>
        <v>2+950</v>
      </c>
    </row>
    <row r="53" spans="1:15" x14ac:dyDescent="0.2">
      <c r="A53" t="s">
        <v>105</v>
      </c>
      <c r="B53" t="s">
        <v>106</v>
      </c>
      <c r="G53" s="1" t="str">
        <f t="shared" si="0"/>
        <v>104.7047</v>
      </c>
      <c r="H53" s="1" t="str">
        <f t="shared" si="1"/>
        <v xml:space="preserve"> 17.0339</v>
      </c>
      <c r="J53" s="1" t="str">
        <f t="shared" si="5"/>
        <v>LT50</v>
      </c>
      <c r="L53" s="1" t="str">
        <f t="shared" si="6"/>
        <v>SG</v>
      </c>
      <c r="M53" s="1">
        <v>2031</v>
      </c>
      <c r="N53" s="1">
        <v>100</v>
      </c>
      <c r="O53" s="1" t="str">
        <f t="shared" si="7"/>
        <v>3+000</v>
      </c>
    </row>
    <row r="54" spans="1:15" x14ac:dyDescent="0.2">
      <c r="A54" t="s">
        <v>107</v>
      </c>
      <c r="B54" t="s">
        <v>108</v>
      </c>
      <c r="G54" s="1" t="str">
        <f t="shared" si="0"/>
        <v>104.7043</v>
      </c>
      <c r="H54" s="1" t="str">
        <f t="shared" si="1"/>
        <v xml:space="preserve"> 17.0343</v>
      </c>
      <c r="J54" s="1" t="str">
        <f t="shared" si="5"/>
        <v>LT51</v>
      </c>
      <c r="L54" s="1" t="str">
        <f t="shared" si="6"/>
        <v>SG</v>
      </c>
      <c r="M54" s="1">
        <v>2031</v>
      </c>
      <c r="N54" s="1">
        <v>100</v>
      </c>
      <c r="O54" s="1" t="str">
        <f t="shared" si="7"/>
        <v>3+050</v>
      </c>
    </row>
    <row r="55" spans="1:15" x14ac:dyDescent="0.2">
      <c r="A55" t="s">
        <v>109</v>
      </c>
      <c r="B55" t="s">
        <v>110</v>
      </c>
      <c r="G55" s="1" t="str">
        <f t="shared" si="0"/>
        <v>104.7039</v>
      </c>
      <c r="H55" s="1" t="str">
        <f t="shared" si="1"/>
        <v xml:space="preserve"> 17.0346</v>
      </c>
      <c r="J55" s="1" t="str">
        <f t="shared" si="5"/>
        <v>LT52</v>
      </c>
      <c r="L55" s="1" t="str">
        <f t="shared" si="6"/>
        <v>SG</v>
      </c>
      <c r="M55" s="1">
        <v>2031</v>
      </c>
      <c r="N55" s="1">
        <v>100</v>
      </c>
      <c r="O55" s="1" t="str">
        <f t="shared" si="7"/>
        <v>3+100</v>
      </c>
    </row>
    <row r="56" spans="1:15" x14ac:dyDescent="0.2">
      <c r="A56" t="s">
        <v>111</v>
      </c>
      <c r="B56" t="s">
        <v>112</v>
      </c>
      <c r="G56" s="1" t="str">
        <f t="shared" si="0"/>
        <v>104.6949</v>
      </c>
      <c r="H56" s="1" t="str">
        <f t="shared" si="1"/>
        <v xml:space="preserve"> 17.0419</v>
      </c>
      <c r="J56" s="1" t="str">
        <f>MID(B56,1,4)</f>
        <v>LT53</v>
      </c>
      <c r="L56" s="1" t="str">
        <f t="shared" si="6"/>
        <v>SG</v>
      </c>
      <c r="M56" s="1">
        <v>2031</v>
      </c>
      <c r="N56" s="1">
        <v>100</v>
      </c>
      <c r="O56" s="1" t="str">
        <f t="shared" si="7"/>
        <v>4+350</v>
      </c>
    </row>
    <row r="57" spans="1:15" x14ac:dyDescent="0.2">
      <c r="A57" t="s">
        <v>113</v>
      </c>
      <c r="B57" t="s">
        <v>114</v>
      </c>
      <c r="G57" s="1" t="str">
        <f t="shared" si="0"/>
        <v>104.6945</v>
      </c>
      <c r="H57" s="1" t="str">
        <f t="shared" si="1"/>
        <v xml:space="preserve"> 17.0422</v>
      </c>
      <c r="J57" s="1" t="str">
        <f t="shared" si="5"/>
        <v>LT54</v>
      </c>
      <c r="L57" s="1" t="str">
        <f t="shared" si="6"/>
        <v>SG</v>
      </c>
      <c r="M57" s="1">
        <v>2031</v>
      </c>
      <c r="N57" s="1">
        <v>100</v>
      </c>
      <c r="O57" s="1" t="str">
        <f t="shared" si="7"/>
        <v>4+400</v>
      </c>
    </row>
    <row r="58" spans="1:15" x14ac:dyDescent="0.2">
      <c r="A58" t="s">
        <v>115</v>
      </c>
      <c r="B58" t="s">
        <v>116</v>
      </c>
      <c r="G58" s="1" t="str">
        <f t="shared" si="0"/>
        <v>104.6942</v>
      </c>
      <c r="H58" s="1" t="str">
        <f t="shared" si="1"/>
        <v xml:space="preserve"> 17.0425</v>
      </c>
      <c r="J58" s="1" t="str">
        <f t="shared" si="5"/>
        <v>LT55</v>
      </c>
      <c r="L58" s="1" t="str">
        <f t="shared" si="6"/>
        <v>SG</v>
      </c>
      <c r="M58" s="1">
        <v>2031</v>
      </c>
      <c r="N58" s="1">
        <v>100</v>
      </c>
      <c r="O58" s="1" t="str">
        <f t="shared" si="7"/>
        <v>4+450</v>
      </c>
    </row>
    <row r="59" spans="1:15" x14ac:dyDescent="0.2">
      <c r="A59" t="s">
        <v>117</v>
      </c>
      <c r="B59" t="s">
        <v>118</v>
      </c>
      <c r="G59" s="1" t="str">
        <f t="shared" si="0"/>
        <v>104.6939</v>
      </c>
      <c r="H59" s="1" t="str">
        <f t="shared" si="1"/>
        <v xml:space="preserve"> 17.0427</v>
      </c>
      <c r="J59" s="1" t="str">
        <f t="shared" si="5"/>
        <v>LT56</v>
      </c>
      <c r="L59" s="1" t="str">
        <f t="shared" si="6"/>
        <v>SG</v>
      </c>
      <c r="M59" s="1">
        <v>2031</v>
      </c>
      <c r="N59" s="1">
        <v>100</v>
      </c>
      <c r="O59" s="1" t="str">
        <f t="shared" si="7"/>
        <v>4+500</v>
      </c>
    </row>
    <row r="60" spans="1:15" x14ac:dyDescent="0.2">
      <c r="A60" t="s">
        <v>119</v>
      </c>
      <c r="B60" t="s">
        <v>120</v>
      </c>
      <c r="G60" s="1" t="str">
        <f t="shared" si="0"/>
        <v>104.6936</v>
      </c>
      <c r="H60" s="1" t="str">
        <f t="shared" si="1"/>
        <v xml:space="preserve"> 17.0430</v>
      </c>
      <c r="J60" s="1" t="str">
        <f t="shared" si="5"/>
        <v>LT57</v>
      </c>
      <c r="L60" s="1" t="str">
        <f t="shared" si="6"/>
        <v>SG</v>
      </c>
      <c r="M60" s="1">
        <v>2031</v>
      </c>
      <c r="N60" s="1">
        <v>100</v>
      </c>
      <c r="O60" s="1" t="str">
        <f t="shared" si="7"/>
        <v>4+550</v>
      </c>
    </row>
    <row r="61" spans="1:15" x14ac:dyDescent="0.2">
      <c r="A61" t="s">
        <v>121</v>
      </c>
      <c r="B61" t="s">
        <v>122</v>
      </c>
      <c r="G61" s="1" t="str">
        <f t="shared" si="0"/>
        <v>104.6932</v>
      </c>
      <c r="H61" s="1" t="str">
        <f t="shared" si="1"/>
        <v xml:space="preserve"> 17.0432</v>
      </c>
      <c r="J61" s="1" t="str">
        <f t="shared" si="5"/>
        <v>LT58</v>
      </c>
      <c r="L61" s="1" t="str">
        <f t="shared" si="6"/>
        <v>SG</v>
      </c>
      <c r="M61" s="1">
        <v>2031</v>
      </c>
      <c r="N61" s="1">
        <v>100</v>
      </c>
      <c r="O61" s="1" t="str">
        <f t="shared" si="7"/>
        <v>4+600</v>
      </c>
    </row>
    <row r="62" spans="1:15" x14ac:dyDescent="0.2">
      <c r="A62" t="s">
        <v>123</v>
      </c>
      <c r="B62" t="s">
        <v>124</v>
      </c>
      <c r="G62" s="1" t="str">
        <f t="shared" si="0"/>
        <v>104.6929</v>
      </c>
      <c r="H62" s="1" t="str">
        <f t="shared" si="1"/>
        <v xml:space="preserve"> 17.0435</v>
      </c>
      <c r="J62" s="1" t="str">
        <f t="shared" si="5"/>
        <v>LT59</v>
      </c>
      <c r="L62" s="1" t="str">
        <f t="shared" si="6"/>
        <v>SG</v>
      </c>
      <c r="M62" s="1">
        <v>2031</v>
      </c>
      <c r="N62" s="1">
        <v>100</v>
      </c>
      <c r="O62" s="1" t="str">
        <f t="shared" si="7"/>
        <v>4+650</v>
      </c>
    </row>
    <row r="63" spans="1:15" x14ac:dyDescent="0.2">
      <c r="A63" t="s">
        <v>125</v>
      </c>
      <c r="B63" t="s">
        <v>126</v>
      </c>
      <c r="G63" s="1" t="str">
        <f t="shared" si="0"/>
        <v>104.6925</v>
      </c>
      <c r="H63" s="1" t="str">
        <f t="shared" si="1"/>
        <v xml:space="preserve"> 17.0439</v>
      </c>
      <c r="J63" s="1" t="str">
        <f t="shared" si="5"/>
        <v>LT60</v>
      </c>
      <c r="L63" s="1" t="str">
        <f t="shared" si="6"/>
        <v>SG</v>
      </c>
      <c r="M63" s="1">
        <v>2031</v>
      </c>
      <c r="N63" s="1">
        <v>100</v>
      </c>
      <c r="O63" s="1" t="str">
        <f t="shared" si="7"/>
        <v>4+700</v>
      </c>
    </row>
    <row r="64" spans="1:15" x14ac:dyDescent="0.2">
      <c r="A64" t="s">
        <v>127</v>
      </c>
      <c r="B64" t="s">
        <v>128</v>
      </c>
      <c r="G64" s="1" t="str">
        <f t="shared" si="0"/>
        <v>104.6921</v>
      </c>
      <c r="H64" s="1" t="str">
        <f t="shared" si="1"/>
        <v xml:space="preserve"> 17.0441</v>
      </c>
      <c r="J64" s="1" t="str">
        <f t="shared" si="5"/>
        <v>LT61</v>
      </c>
      <c r="L64" s="1" t="str">
        <f t="shared" si="6"/>
        <v>SG</v>
      </c>
      <c r="M64" s="1">
        <v>2031</v>
      </c>
      <c r="N64" s="1">
        <v>100</v>
      </c>
      <c r="O64" s="1" t="str">
        <f t="shared" si="7"/>
        <v>4+750</v>
      </c>
    </row>
    <row r="65" spans="1:15" x14ac:dyDescent="0.2">
      <c r="A65" t="s">
        <v>129</v>
      </c>
      <c r="B65" t="s">
        <v>130</v>
      </c>
      <c r="G65" s="1" t="str">
        <f t="shared" si="0"/>
        <v>104.6917</v>
      </c>
      <c r="H65" s="1" t="str">
        <f>MID(A65,18,7)</f>
        <v>17.0445</v>
      </c>
      <c r="J65" s="1" t="str">
        <f t="shared" si="5"/>
        <v>LT62</v>
      </c>
      <c r="L65" s="1" t="str">
        <f t="shared" si="6"/>
        <v>SG</v>
      </c>
      <c r="M65" s="1">
        <v>2031</v>
      </c>
      <c r="N65" s="1">
        <v>100</v>
      </c>
      <c r="O65" s="1" t="str">
        <f t="shared" si="7"/>
        <v>4+800</v>
      </c>
    </row>
    <row r="66" spans="1:15" x14ac:dyDescent="0.2">
      <c r="A66" t="s">
        <v>131</v>
      </c>
      <c r="B66" t="s">
        <v>132</v>
      </c>
      <c r="G66" s="1" t="str">
        <f t="shared" si="0"/>
        <v>104.6914</v>
      </c>
      <c r="H66" s="1" t="str">
        <f t="shared" si="1"/>
        <v xml:space="preserve"> 17.0447</v>
      </c>
      <c r="J66" s="1" t="str">
        <f t="shared" si="5"/>
        <v>LT63</v>
      </c>
      <c r="L66" s="1" t="str">
        <f t="shared" si="6"/>
        <v>SG</v>
      </c>
      <c r="M66" s="1">
        <v>2031</v>
      </c>
      <c r="N66" s="1">
        <v>100</v>
      </c>
      <c r="O66" s="1" t="str">
        <f t="shared" si="7"/>
        <v>4+850</v>
      </c>
    </row>
    <row r="67" spans="1:15" x14ac:dyDescent="0.2">
      <c r="A67" t="s">
        <v>133</v>
      </c>
      <c r="B67" t="s">
        <v>134</v>
      </c>
      <c r="G67" s="1" t="str">
        <f t="shared" ref="G67:G130" si="8">MID(A67,8,8)</f>
        <v>104.6910</v>
      </c>
      <c r="H67" s="1" t="str">
        <f t="shared" ref="H67:H128" si="9">MID(A67,18,8)</f>
        <v xml:space="preserve"> 17.0451</v>
      </c>
      <c r="J67" s="1" t="str">
        <f>MID(B67,1,4)</f>
        <v>LT64</v>
      </c>
      <c r="L67" s="1" t="str">
        <f t="shared" si="6"/>
        <v>SG</v>
      </c>
      <c r="M67" s="1">
        <v>2031</v>
      </c>
      <c r="N67" s="1">
        <v>100</v>
      </c>
      <c r="O67" s="1" t="str">
        <f>MID(B67,14,5)</f>
        <v>4+900</v>
      </c>
    </row>
    <row r="68" spans="1:15" x14ac:dyDescent="0.2">
      <c r="A68" t="s">
        <v>135</v>
      </c>
      <c r="B68" t="s">
        <v>136</v>
      </c>
      <c r="G68" s="1" t="str">
        <f t="shared" si="8"/>
        <v>104.6906</v>
      </c>
      <c r="H68" s="1" t="str">
        <f t="shared" si="9"/>
        <v xml:space="preserve"> 17.0454</v>
      </c>
      <c r="J68" s="1" t="str">
        <f t="shared" si="5"/>
        <v>LT65</v>
      </c>
      <c r="L68" s="1" t="str">
        <f t="shared" si="6"/>
        <v>SG</v>
      </c>
      <c r="M68" s="1">
        <v>2031</v>
      </c>
      <c r="N68" s="1">
        <v>100</v>
      </c>
      <c r="O68" s="1" t="str">
        <f t="shared" si="7"/>
        <v>4+950</v>
      </c>
    </row>
    <row r="69" spans="1:15" x14ac:dyDescent="0.2">
      <c r="A69" t="s">
        <v>137</v>
      </c>
      <c r="B69" t="s">
        <v>138</v>
      </c>
      <c r="G69" s="1" t="str">
        <f t="shared" si="8"/>
        <v>104.6902</v>
      </c>
      <c r="H69" s="1" t="str">
        <f t="shared" si="9"/>
        <v xml:space="preserve"> 17.0457</v>
      </c>
      <c r="J69" s="1" t="str">
        <f t="shared" si="5"/>
        <v>LT66</v>
      </c>
      <c r="L69" s="1" t="str">
        <f t="shared" si="6"/>
        <v>SG</v>
      </c>
      <c r="M69" s="1">
        <v>2031</v>
      </c>
      <c r="N69" s="1">
        <v>100</v>
      </c>
      <c r="O69" s="1" t="str">
        <f t="shared" si="7"/>
        <v>5+010</v>
      </c>
    </row>
    <row r="70" spans="1:15" x14ac:dyDescent="0.2">
      <c r="A70" t="s">
        <v>139</v>
      </c>
      <c r="B70" t="s">
        <v>140</v>
      </c>
      <c r="G70" s="1" t="str">
        <f t="shared" si="8"/>
        <v>104.6898</v>
      </c>
      <c r="H70" s="1" t="str">
        <f t="shared" si="9"/>
        <v xml:space="preserve"> 17.0460</v>
      </c>
      <c r="J70" s="1" t="str">
        <f t="shared" si="5"/>
        <v>LT67</v>
      </c>
      <c r="L70" s="1" t="str">
        <f t="shared" si="6"/>
        <v>SG</v>
      </c>
      <c r="M70" s="1">
        <v>2031</v>
      </c>
      <c r="N70" s="1">
        <v>100</v>
      </c>
      <c r="O70" s="1" t="str">
        <f t="shared" si="7"/>
        <v>5+050</v>
      </c>
    </row>
    <row r="71" spans="1:15" x14ac:dyDescent="0.2">
      <c r="A71" t="s">
        <v>141</v>
      </c>
      <c r="B71" t="s">
        <v>142</v>
      </c>
      <c r="G71" s="1" t="str">
        <f t="shared" si="8"/>
        <v>104.6895</v>
      </c>
      <c r="H71" s="1" t="str">
        <f t="shared" si="9"/>
        <v xml:space="preserve"> 17.0463</v>
      </c>
      <c r="J71" s="1" t="str">
        <f t="shared" si="5"/>
        <v>LT68</v>
      </c>
      <c r="L71" s="1" t="str">
        <f t="shared" si="6"/>
        <v>SG</v>
      </c>
      <c r="M71" s="1">
        <v>2031</v>
      </c>
      <c r="N71" s="1">
        <v>100</v>
      </c>
      <c r="O71" s="1" t="str">
        <f t="shared" si="7"/>
        <v>5+100</v>
      </c>
    </row>
    <row r="72" spans="1:15" x14ac:dyDescent="0.2">
      <c r="A72" t="s">
        <v>143</v>
      </c>
      <c r="B72" t="s">
        <v>144</v>
      </c>
      <c r="G72" s="1" t="str">
        <f t="shared" si="8"/>
        <v>104.6891</v>
      </c>
      <c r="H72" s="1" t="str">
        <f t="shared" si="9"/>
        <v xml:space="preserve"> 17.0466</v>
      </c>
      <c r="J72" s="1" t="str">
        <f t="shared" si="5"/>
        <v>LT69</v>
      </c>
      <c r="L72" s="1" t="str">
        <f t="shared" si="6"/>
        <v>SG</v>
      </c>
      <c r="M72" s="1">
        <v>2031</v>
      </c>
      <c r="N72" s="1">
        <v>100</v>
      </c>
      <c r="O72" s="1" t="str">
        <f t="shared" si="7"/>
        <v>5+150</v>
      </c>
    </row>
    <row r="73" spans="1:15" x14ac:dyDescent="0.2">
      <c r="A73" t="s">
        <v>145</v>
      </c>
      <c r="B73" t="s">
        <v>146</v>
      </c>
      <c r="G73" s="1" t="str">
        <f t="shared" si="8"/>
        <v>104.6888</v>
      </c>
      <c r="H73" s="1" t="str">
        <f t="shared" si="9"/>
        <v xml:space="preserve"> 17.0469</v>
      </c>
      <c r="J73" s="1" t="str">
        <f t="shared" si="5"/>
        <v>LT70</v>
      </c>
      <c r="L73" s="1" t="str">
        <f t="shared" si="6"/>
        <v>SG</v>
      </c>
      <c r="M73" s="1">
        <v>2031</v>
      </c>
      <c r="N73" s="1">
        <v>100</v>
      </c>
      <c r="O73" s="1" t="str">
        <f t="shared" si="7"/>
        <v>5+200</v>
      </c>
    </row>
    <row r="74" spans="1:15" x14ac:dyDescent="0.2">
      <c r="A74" t="s">
        <v>147</v>
      </c>
      <c r="B74" t="s">
        <v>148</v>
      </c>
      <c r="G74" s="1" t="str">
        <f t="shared" si="8"/>
        <v>104.6884</v>
      </c>
      <c r="H74" s="1" t="str">
        <f t="shared" si="9"/>
        <v xml:space="preserve"> 17.0472</v>
      </c>
      <c r="J74" s="1" t="str">
        <f t="shared" si="5"/>
        <v>LT71</v>
      </c>
      <c r="L74" s="1" t="str">
        <f t="shared" si="6"/>
        <v>SG</v>
      </c>
      <c r="M74" s="1">
        <v>2031</v>
      </c>
      <c r="N74" s="1">
        <v>100</v>
      </c>
      <c r="O74" s="1" t="str">
        <f t="shared" si="7"/>
        <v>5+250</v>
      </c>
    </row>
    <row r="75" spans="1:15" x14ac:dyDescent="0.2">
      <c r="A75" t="s">
        <v>149</v>
      </c>
      <c r="B75" t="s">
        <v>150</v>
      </c>
      <c r="G75" s="1" t="str">
        <f t="shared" si="8"/>
        <v>104.6880</v>
      </c>
      <c r="H75" s="1" t="str">
        <f>MID(A75,18,7)</f>
        <v>17.0475</v>
      </c>
      <c r="J75" s="1" t="str">
        <f t="shared" si="5"/>
        <v>LT72</v>
      </c>
      <c r="L75" s="1" t="str">
        <f t="shared" si="6"/>
        <v>SG</v>
      </c>
      <c r="M75" s="1">
        <v>2031</v>
      </c>
      <c r="N75" s="1">
        <v>100</v>
      </c>
      <c r="O75" s="1" t="str">
        <f t="shared" si="7"/>
        <v>5+300</v>
      </c>
    </row>
    <row r="76" spans="1:15" x14ac:dyDescent="0.2">
      <c r="A76" t="s">
        <v>151</v>
      </c>
      <c r="B76" t="s">
        <v>152</v>
      </c>
      <c r="G76" s="1" t="str">
        <f t="shared" si="8"/>
        <v>104.6876</v>
      </c>
      <c r="H76" s="1" t="str">
        <f t="shared" si="9"/>
        <v xml:space="preserve"> 17.0478</v>
      </c>
      <c r="J76" s="1" t="str">
        <f t="shared" si="5"/>
        <v>LT73</v>
      </c>
      <c r="L76" s="1" t="str">
        <f t="shared" si="6"/>
        <v>SG</v>
      </c>
      <c r="M76" s="1">
        <v>2031</v>
      </c>
      <c r="N76" s="1">
        <v>100</v>
      </c>
      <c r="O76" s="1" t="str">
        <f t="shared" si="7"/>
        <v>5+350</v>
      </c>
    </row>
    <row r="77" spans="1:15" x14ac:dyDescent="0.2">
      <c r="A77" t="s">
        <v>153</v>
      </c>
      <c r="B77" t="s">
        <v>154</v>
      </c>
      <c r="G77" s="1" t="str">
        <f t="shared" si="8"/>
        <v>104.6873</v>
      </c>
      <c r="H77" s="1" t="str">
        <f t="shared" si="9"/>
        <v xml:space="preserve"> 17.0481</v>
      </c>
      <c r="J77" s="1" t="str">
        <f t="shared" si="5"/>
        <v>LT74</v>
      </c>
      <c r="L77" s="1" t="str">
        <f t="shared" si="6"/>
        <v>SG</v>
      </c>
      <c r="M77" s="1">
        <v>2031</v>
      </c>
      <c r="N77" s="1">
        <v>100</v>
      </c>
      <c r="O77" s="1" t="str">
        <f t="shared" si="7"/>
        <v>5+400</v>
      </c>
    </row>
    <row r="78" spans="1:15" x14ac:dyDescent="0.2">
      <c r="A78" t="s">
        <v>155</v>
      </c>
      <c r="B78" t="s">
        <v>156</v>
      </c>
      <c r="G78" s="1" t="str">
        <f t="shared" si="8"/>
        <v>104.6869</v>
      </c>
      <c r="H78" s="1" t="str">
        <f t="shared" si="9"/>
        <v xml:space="preserve"> 17.0484</v>
      </c>
      <c r="J78" s="1" t="str">
        <f t="shared" ref="J78:J85" si="10">MID(B78,1,4)</f>
        <v>LT75</v>
      </c>
      <c r="L78" s="1" t="str">
        <f t="shared" ref="L78:L103" si="11">MID(B78,6,2)</f>
        <v>SG</v>
      </c>
      <c r="M78" s="1">
        <v>2031</v>
      </c>
      <c r="N78" s="1">
        <v>100</v>
      </c>
      <c r="O78" s="1" t="str">
        <f t="shared" ref="O78:O88" si="12">MID(B78,14,5)</f>
        <v>5+450</v>
      </c>
    </row>
    <row r="79" spans="1:15" x14ac:dyDescent="0.2">
      <c r="A79" t="s">
        <v>157</v>
      </c>
      <c r="B79" t="s">
        <v>158</v>
      </c>
      <c r="G79" s="1" t="str">
        <f t="shared" si="8"/>
        <v>104.6865</v>
      </c>
      <c r="H79" s="1" t="str">
        <f t="shared" si="9"/>
        <v xml:space="preserve"> 17.0487</v>
      </c>
      <c r="J79" s="1" t="str">
        <f t="shared" si="10"/>
        <v>LT76</v>
      </c>
      <c r="L79" s="1" t="str">
        <f t="shared" si="11"/>
        <v>SG</v>
      </c>
      <c r="M79" s="1">
        <v>2031</v>
      </c>
      <c r="N79" s="1">
        <v>100</v>
      </c>
      <c r="O79" s="1" t="str">
        <f t="shared" si="12"/>
        <v>5+500</v>
      </c>
    </row>
    <row r="80" spans="1:15" x14ac:dyDescent="0.2">
      <c r="A80" t="s">
        <v>159</v>
      </c>
      <c r="B80" t="s">
        <v>160</v>
      </c>
      <c r="G80" s="1" t="str">
        <f t="shared" si="8"/>
        <v>104.6862</v>
      </c>
      <c r="H80" s="1" t="str">
        <f t="shared" si="9"/>
        <v xml:space="preserve"> 17.0490</v>
      </c>
      <c r="J80" s="1" t="str">
        <f t="shared" si="10"/>
        <v>LT77</v>
      </c>
      <c r="L80" s="1" t="str">
        <f t="shared" si="11"/>
        <v>SG</v>
      </c>
      <c r="M80" s="1">
        <v>2031</v>
      </c>
      <c r="N80" s="1">
        <v>100</v>
      </c>
      <c r="O80" s="1" t="str">
        <f t="shared" si="12"/>
        <v>5+550</v>
      </c>
    </row>
    <row r="81" spans="1:15" x14ac:dyDescent="0.2">
      <c r="A81" t="s">
        <v>161</v>
      </c>
      <c r="B81" t="s">
        <v>162</v>
      </c>
      <c r="G81" s="1" t="str">
        <f t="shared" si="8"/>
        <v>104.6857</v>
      </c>
      <c r="H81" s="1" t="str">
        <f t="shared" si="9"/>
        <v xml:space="preserve"> 17.0492</v>
      </c>
      <c r="J81" s="1" t="str">
        <f t="shared" si="10"/>
        <v>LT78</v>
      </c>
      <c r="L81" s="1" t="str">
        <f t="shared" si="11"/>
        <v>SG</v>
      </c>
      <c r="M81" s="1">
        <v>2031</v>
      </c>
      <c r="N81" s="1">
        <v>100</v>
      </c>
      <c r="O81" s="1" t="str">
        <f t="shared" si="12"/>
        <v>5+600</v>
      </c>
    </row>
    <row r="82" spans="1:15" x14ac:dyDescent="0.2">
      <c r="A82" t="s">
        <v>163</v>
      </c>
      <c r="B82" t="s">
        <v>164</v>
      </c>
      <c r="G82" s="1" t="str">
        <f t="shared" si="8"/>
        <v>104.6852</v>
      </c>
      <c r="H82" s="1" t="str">
        <f t="shared" si="9"/>
        <v xml:space="preserve"> 17.0493</v>
      </c>
      <c r="J82" s="1" t="str">
        <f t="shared" si="10"/>
        <v>LT79</v>
      </c>
      <c r="L82" s="1" t="str">
        <f t="shared" si="11"/>
        <v>SG</v>
      </c>
      <c r="M82" s="1">
        <v>2031</v>
      </c>
      <c r="N82" s="1">
        <v>100</v>
      </c>
      <c r="O82" s="1" t="str">
        <f t="shared" si="12"/>
        <v>5+650</v>
      </c>
    </row>
    <row r="83" spans="1:15" x14ac:dyDescent="0.2">
      <c r="A83" t="s">
        <v>165</v>
      </c>
      <c r="B83" t="s">
        <v>166</v>
      </c>
      <c r="G83" s="1" t="str">
        <f t="shared" si="8"/>
        <v>104.6848</v>
      </c>
      <c r="H83" s="1" t="str">
        <f t="shared" si="9"/>
        <v xml:space="preserve"> 17.0494</v>
      </c>
      <c r="J83" s="1" t="str">
        <f t="shared" si="10"/>
        <v>LT80</v>
      </c>
      <c r="L83" s="1" t="str">
        <f t="shared" si="11"/>
        <v>SG</v>
      </c>
      <c r="M83" s="1">
        <v>2031</v>
      </c>
      <c r="N83" s="1">
        <v>100</v>
      </c>
      <c r="O83" s="1" t="str">
        <f t="shared" si="12"/>
        <v>5+700</v>
      </c>
    </row>
    <row r="84" spans="1:15" x14ac:dyDescent="0.2">
      <c r="A84" t="s">
        <v>167</v>
      </c>
      <c r="B84" t="s">
        <v>168</v>
      </c>
      <c r="G84" s="1" t="str">
        <f t="shared" si="8"/>
        <v>104.6838</v>
      </c>
      <c r="H84" s="1" t="str">
        <f t="shared" si="9"/>
        <v xml:space="preserve"> 17.0496</v>
      </c>
      <c r="J84" s="1" t="str">
        <f t="shared" si="10"/>
        <v>LT81</v>
      </c>
      <c r="L84" s="1" t="str">
        <f t="shared" si="11"/>
        <v>SG</v>
      </c>
      <c r="M84" s="1">
        <v>2031</v>
      </c>
      <c r="N84" s="1">
        <v>100</v>
      </c>
      <c r="O84" s="1" t="str">
        <f t="shared" si="12"/>
        <v>5+800</v>
      </c>
    </row>
    <row r="85" spans="1:15" x14ac:dyDescent="0.2">
      <c r="A85" t="s">
        <v>169</v>
      </c>
      <c r="B85" t="s">
        <v>170</v>
      </c>
      <c r="G85" s="1" t="str">
        <f t="shared" si="8"/>
        <v>104.6834</v>
      </c>
      <c r="H85" s="1" t="str">
        <f>MID(A85,17,7)</f>
        <v>17.0496</v>
      </c>
      <c r="J85" s="1" t="str">
        <f t="shared" si="10"/>
        <v>LT82</v>
      </c>
      <c r="L85" s="1" t="str">
        <f t="shared" si="11"/>
        <v>SG</v>
      </c>
      <c r="M85" s="1">
        <v>2031</v>
      </c>
      <c r="N85" s="1">
        <v>100</v>
      </c>
      <c r="O85" s="1" t="str">
        <f t="shared" si="12"/>
        <v>5+850</v>
      </c>
    </row>
    <row r="86" spans="1:15" x14ac:dyDescent="0.2">
      <c r="A86" t="s">
        <v>171</v>
      </c>
      <c r="B86" t="s">
        <v>172</v>
      </c>
      <c r="G86" s="1" t="str">
        <f t="shared" si="8"/>
        <v>104.6829</v>
      </c>
      <c r="H86" s="1" t="str">
        <f t="shared" si="9"/>
        <v xml:space="preserve"> 17.0498</v>
      </c>
      <c r="J86" s="1" t="str">
        <f>MID(B86,1,4)</f>
        <v>LT83</v>
      </c>
      <c r="L86" s="1" t="str">
        <f t="shared" si="11"/>
        <v>SG</v>
      </c>
      <c r="M86" s="1">
        <v>2031</v>
      </c>
      <c r="N86" s="1">
        <v>100</v>
      </c>
      <c r="O86" s="1" t="str">
        <f t="shared" si="12"/>
        <v>5+900</v>
      </c>
    </row>
    <row r="87" spans="1:15" x14ac:dyDescent="0.2">
      <c r="A87" t="s">
        <v>173</v>
      </c>
      <c r="B87" t="s">
        <v>174</v>
      </c>
      <c r="G87" s="1" t="str">
        <f t="shared" si="8"/>
        <v>104.6824</v>
      </c>
      <c r="H87" s="1" t="str">
        <f t="shared" si="9"/>
        <v xml:space="preserve"> 17.0499</v>
      </c>
      <c r="J87" s="1" t="str">
        <f t="shared" ref="J87:J100" si="13">MID(B87,1,4)</f>
        <v>LT84</v>
      </c>
      <c r="L87" s="1" t="str">
        <f t="shared" si="11"/>
        <v>SG</v>
      </c>
      <c r="M87" s="1">
        <v>2031</v>
      </c>
      <c r="N87" s="1">
        <v>100</v>
      </c>
      <c r="O87" s="1" t="str">
        <f t="shared" si="12"/>
        <v>5+950</v>
      </c>
    </row>
    <row r="88" spans="1:15" x14ac:dyDescent="0.2">
      <c r="A88" t="s">
        <v>175</v>
      </c>
      <c r="B88" t="s">
        <v>176</v>
      </c>
      <c r="G88" s="1" t="str">
        <f t="shared" si="8"/>
        <v>104.6820</v>
      </c>
      <c r="H88" s="1" t="str">
        <f t="shared" si="9"/>
        <v xml:space="preserve"> 17.0500</v>
      </c>
      <c r="J88" s="1" t="str">
        <f t="shared" si="13"/>
        <v>LT85</v>
      </c>
      <c r="L88" s="1" t="str">
        <f t="shared" si="11"/>
        <v>SG</v>
      </c>
      <c r="M88" s="1">
        <v>2031</v>
      </c>
      <c r="N88" s="1">
        <v>100</v>
      </c>
      <c r="O88" s="1" t="str">
        <f t="shared" si="12"/>
        <v>6+000</v>
      </c>
    </row>
    <row r="89" spans="1:15" x14ac:dyDescent="0.2">
      <c r="A89" t="s">
        <v>177</v>
      </c>
      <c r="B89" t="s">
        <v>178</v>
      </c>
      <c r="G89" s="1" t="str">
        <f t="shared" si="8"/>
        <v>104.6815</v>
      </c>
      <c r="H89" s="1" t="str">
        <f t="shared" si="9"/>
        <v xml:space="preserve"> 17.0501</v>
      </c>
      <c r="J89" s="1" t="str">
        <f t="shared" si="13"/>
        <v>LT86</v>
      </c>
      <c r="L89" s="1" t="str">
        <f t="shared" si="11"/>
        <v>SG</v>
      </c>
      <c r="M89" s="1">
        <v>2031</v>
      </c>
      <c r="N89" s="1">
        <v>100</v>
      </c>
      <c r="O89" s="1" t="str">
        <f>MID(B89,14,5)</f>
        <v>6+050</v>
      </c>
    </row>
    <row r="90" spans="1:15" x14ac:dyDescent="0.2">
      <c r="A90" t="s">
        <v>179</v>
      </c>
      <c r="B90" t="s">
        <v>180</v>
      </c>
      <c r="G90" s="1" t="str">
        <f t="shared" si="8"/>
        <v>104.6810</v>
      </c>
      <c r="H90" s="1" t="str">
        <f t="shared" si="9"/>
        <v xml:space="preserve"> 17.0501</v>
      </c>
      <c r="J90" s="1" t="str">
        <f t="shared" si="13"/>
        <v>LT87</v>
      </c>
      <c r="L90" s="1" t="str">
        <f t="shared" si="11"/>
        <v>SG</v>
      </c>
      <c r="M90" s="1">
        <v>2031</v>
      </c>
      <c r="N90" s="1">
        <v>100</v>
      </c>
      <c r="O90" s="1" t="str">
        <f t="shared" ref="O90:O103" si="14">MID(B90,14,5)</f>
        <v>6+100</v>
      </c>
    </row>
    <row r="91" spans="1:15" x14ac:dyDescent="0.2">
      <c r="A91" t="s">
        <v>181</v>
      </c>
      <c r="B91" t="s">
        <v>182</v>
      </c>
      <c r="G91" s="1" t="str">
        <f t="shared" si="8"/>
        <v>104.6802</v>
      </c>
      <c r="H91" s="1" t="str">
        <f t="shared" si="9"/>
        <v xml:space="preserve"> 17.0500</v>
      </c>
      <c r="J91" s="1" t="str">
        <f t="shared" si="13"/>
        <v>LT88</v>
      </c>
      <c r="L91" s="1" t="str">
        <f t="shared" si="11"/>
        <v>SG</v>
      </c>
      <c r="M91" s="1">
        <v>2031</v>
      </c>
      <c r="N91" s="1">
        <v>100</v>
      </c>
      <c r="O91" s="1" t="str">
        <f t="shared" si="14"/>
        <v>6+150</v>
      </c>
    </row>
    <row r="92" spans="1:15" x14ac:dyDescent="0.2">
      <c r="A92" t="s">
        <v>183</v>
      </c>
      <c r="B92" t="s">
        <v>184</v>
      </c>
      <c r="G92" s="1" t="str">
        <f t="shared" si="8"/>
        <v>104.6719</v>
      </c>
      <c r="H92" s="1" t="str">
        <f t="shared" si="9"/>
        <v xml:space="preserve"> 17.0454</v>
      </c>
      <c r="J92" s="1" t="str">
        <f t="shared" si="13"/>
        <v>LT89</v>
      </c>
      <c r="L92" s="1" t="str">
        <f t="shared" si="11"/>
        <v>SG</v>
      </c>
      <c r="M92" s="1">
        <v>2031</v>
      </c>
      <c r="N92" s="1">
        <v>100</v>
      </c>
      <c r="O92" s="1" t="str">
        <f t="shared" si="14"/>
        <v>7+300</v>
      </c>
    </row>
    <row r="93" spans="1:15" x14ac:dyDescent="0.2">
      <c r="J93" s="1" t="str">
        <f t="shared" si="13"/>
        <v/>
      </c>
      <c r="L93" s="1" t="str">
        <f t="shared" si="11"/>
        <v/>
      </c>
      <c r="M93" s="1">
        <v>2031</v>
      </c>
      <c r="N93" s="1">
        <v>100</v>
      </c>
      <c r="O93" s="1" t="str">
        <f t="shared" si="14"/>
        <v/>
      </c>
    </row>
    <row r="94" spans="1:15" x14ac:dyDescent="0.2">
      <c r="A94" t="s">
        <v>185</v>
      </c>
      <c r="B94" t="s">
        <v>186</v>
      </c>
      <c r="G94" s="1" t="str">
        <f t="shared" si="8"/>
        <v>104.6714</v>
      </c>
      <c r="H94" s="1" t="str">
        <f t="shared" si="9"/>
        <v xml:space="preserve"> 17.0453</v>
      </c>
      <c r="J94" s="1" t="str">
        <f t="shared" si="13"/>
        <v>LT90</v>
      </c>
      <c r="L94" s="1" t="str">
        <f t="shared" si="11"/>
        <v>SG</v>
      </c>
      <c r="M94" s="1">
        <v>2031</v>
      </c>
      <c r="N94" s="1">
        <v>100</v>
      </c>
      <c r="O94" s="1" t="str">
        <f t="shared" si="14"/>
        <v>7+350</v>
      </c>
    </row>
    <row r="95" spans="1:15" x14ac:dyDescent="0.2">
      <c r="A95" t="s">
        <v>187</v>
      </c>
      <c r="B95" t="s">
        <v>188</v>
      </c>
      <c r="G95" s="1" t="str">
        <f t="shared" si="8"/>
        <v>104.6709</v>
      </c>
      <c r="H95" s="1" t="str">
        <f t="shared" si="9"/>
        <v xml:space="preserve"> 17.0453</v>
      </c>
      <c r="J95" s="1" t="str">
        <f t="shared" si="13"/>
        <v>LT91</v>
      </c>
      <c r="L95" s="1" t="str">
        <f t="shared" si="11"/>
        <v>SG</v>
      </c>
      <c r="M95" s="1">
        <v>2031</v>
      </c>
      <c r="N95" s="1">
        <v>100</v>
      </c>
      <c r="O95" s="1" t="str">
        <f t="shared" si="14"/>
        <v>7+400</v>
      </c>
    </row>
    <row r="96" spans="1:15" x14ac:dyDescent="0.2">
      <c r="A96" t="s">
        <v>189</v>
      </c>
      <c r="B96" t="s">
        <v>190</v>
      </c>
      <c r="G96" s="1" t="str">
        <f t="shared" si="8"/>
        <v>104.6704</v>
      </c>
      <c r="H96" s="1" t="str">
        <f t="shared" si="9"/>
        <v xml:space="preserve"> 17.0453</v>
      </c>
      <c r="J96" s="1" t="str">
        <f t="shared" si="13"/>
        <v>LT92</v>
      </c>
      <c r="L96" s="1" t="str">
        <f t="shared" si="11"/>
        <v>SG</v>
      </c>
      <c r="M96" s="1">
        <v>2031</v>
      </c>
      <c r="N96" s="1">
        <v>100</v>
      </c>
      <c r="O96" s="1" t="str">
        <f t="shared" si="14"/>
        <v>7+450</v>
      </c>
    </row>
    <row r="97" spans="1:15" x14ac:dyDescent="0.2">
      <c r="A97" t="s">
        <v>191</v>
      </c>
      <c r="B97" t="s">
        <v>192</v>
      </c>
      <c r="G97" s="1" t="str">
        <f t="shared" si="8"/>
        <v>104.6699</v>
      </c>
      <c r="H97" s="1" t="str">
        <f>MID(A97,18,7)</f>
        <v>17.0453</v>
      </c>
      <c r="J97" s="1" t="str">
        <f t="shared" si="13"/>
        <v>LT93</v>
      </c>
      <c r="L97" s="1" t="str">
        <f t="shared" si="11"/>
        <v>SG</v>
      </c>
      <c r="M97" s="1">
        <v>2031</v>
      </c>
      <c r="N97" s="1">
        <v>100</v>
      </c>
      <c r="O97" s="1" t="str">
        <f t="shared" si="14"/>
        <v>7+500</v>
      </c>
    </row>
    <row r="98" spans="1:15" x14ac:dyDescent="0.2">
      <c r="A98" t="s">
        <v>193</v>
      </c>
      <c r="B98" t="s">
        <v>194</v>
      </c>
      <c r="G98" s="1" t="str">
        <f t="shared" si="8"/>
        <v>104.6694</v>
      </c>
      <c r="H98" s="1" t="str">
        <f t="shared" si="9"/>
        <v xml:space="preserve"> 17.0453</v>
      </c>
      <c r="J98" s="1" t="str">
        <f t="shared" si="13"/>
        <v>LT94</v>
      </c>
      <c r="L98" s="1" t="str">
        <f t="shared" si="11"/>
        <v>SG</v>
      </c>
      <c r="M98" s="1">
        <v>2031</v>
      </c>
      <c r="N98" s="1">
        <v>100</v>
      </c>
      <c r="O98" s="1" t="str">
        <f t="shared" si="14"/>
        <v>7+550</v>
      </c>
    </row>
    <row r="99" spans="1:15" x14ac:dyDescent="0.2">
      <c r="A99" t="s">
        <v>195</v>
      </c>
      <c r="B99" t="s">
        <v>196</v>
      </c>
      <c r="G99" s="1" t="str">
        <f t="shared" si="8"/>
        <v>104.6689</v>
      </c>
      <c r="H99" s="1" t="str">
        <f t="shared" si="9"/>
        <v xml:space="preserve"> 17.0453</v>
      </c>
      <c r="J99" s="1" t="str">
        <f t="shared" si="13"/>
        <v>LT95</v>
      </c>
      <c r="L99" s="1" t="str">
        <f t="shared" si="11"/>
        <v>SG</v>
      </c>
      <c r="M99" s="1">
        <v>2031</v>
      </c>
      <c r="N99" s="1">
        <v>100</v>
      </c>
      <c r="O99" s="1" t="str">
        <f t="shared" si="14"/>
        <v>7+600</v>
      </c>
    </row>
    <row r="100" spans="1:15" x14ac:dyDescent="0.2">
      <c r="A100" t="s">
        <v>197</v>
      </c>
      <c r="B100" t="s">
        <v>198</v>
      </c>
      <c r="G100" s="1" t="str">
        <f t="shared" si="8"/>
        <v>104.6675</v>
      </c>
      <c r="H100" s="1" t="str">
        <f t="shared" si="9"/>
        <v xml:space="preserve"> 17.0453</v>
      </c>
      <c r="J100" s="1" t="str">
        <f t="shared" si="13"/>
        <v>LT96</v>
      </c>
      <c r="L100" s="1" t="str">
        <f t="shared" si="11"/>
        <v>SG</v>
      </c>
      <c r="M100" s="1">
        <v>2031</v>
      </c>
      <c r="N100" s="1">
        <v>100</v>
      </c>
      <c r="O100" s="1" t="str">
        <f t="shared" si="14"/>
        <v>7+750</v>
      </c>
    </row>
    <row r="101" spans="1:15" x14ac:dyDescent="0.2">
      <c r="A101" t="s">
        <v>199</v>
      </c>
      <c r="B101" t="s">
        <v>200</v>
      </c>
      <c r="G101" s="1" t="str">
        <f t="shared" si="8"/>
        <v>104.6665</v>
      </c>
      <c r="H101" s="1" t="str">
        <f t="shared" si="9"/>
        <v xml:space="preserve"> 17.0453</v>
      </c>
      <c r="J101" s="1" t="str">
        <f>MID(B101,1,4)</f>
        <v>LT97</v>
      </c>
      <c r="L101" s="1" t="str">
        <f t="shared" si="11"/>
        <v>SG</v>
      </c>
      <c r="M101" s="1">
        <v>2031</v>
      </c>
      <c r="N101" s="1">
        <v>100</v>
      </c>
      <c r="O101" s="1" t="str">
        <f t="shared" si="14"/>
        <v>7+850</v>
      </c>
    </row>
    <row r="102" spans="1:15" x14ac:dyDescent="0.2">
      <c r="A102" t="s">
        <v>201</v>
      </c>
      <c r="B102" t="s">
        <v>202</v>
      </c>
      <c r="G102" s="1" t="str">
        <f t="shared" si="8"/>
        <v>104.6660</v>
      </c>
      <c r="H102" s="1" t="str">
        <f t="shared" si="9"/>
        <v xml:space="preserve"> 17.0453</v>
      </c>
      <c r="J102" s="1" t="str">
        <f t="shared" ref="J102:J103" si="15">MID(B102,1,4)</f>
        <v>LT98</v>
      </c>
      <c r="L102" s="1" t="str">
        <f t="shared" si="11"/>
        <v>SG</v>
      </c>
      <c r="M102" s="1">
        <v>2031</v>
      </c>
      <c r="N102" s="1">
        <v>100</v>
      </c>
      <c r="O102" s="1" t="str">
        <f t="shared" si="14"/>
        <v>7+900</v>
      </c>
    </row>
    <row r="103" spans="1:15" x14ac:dyDescent="0.2">
      <c r="A103" t="s">
        <v>203</v>
      </c>
      <c r="B103" t="s">
        <v>204</v>
      </c>
      <c r="G103" s="1" t="str">
        <f t="shared" si="8"/>
        <v>104.6656</v>
      </c>
      <c r="H103" s="1" t="str">
        <f t="shared" si="9"/>
        <v xml:space="preserve"> 17.0453</v>
      </c>
      <c r="J103" s="1" t="str">
        <f t="shared" si="15"/>
        <v>LT99</v>
      </c>
      <c r="L103" s="1" t="str">
        <f t="shared" si="11"/>
        <v>SG</v>
      </c>
      <c r="M103" s="1">
        <v>2031</v>
      </c>
      <c r="N103" s="1">
        <v>100</v>
      </c>
      <c r="O103" s="1" t="str">
        <f t="shared" si="14"/>
        <v>7+950</v>
      </c>
    </row>
    <row r="104" spans="1:15" x14ac:dyDescent="0.2">
      <c r="A104" t="s">
        <v>205</v>
      </c>
      <c r="B104" t="s">
        <v>206</v>
      </c>
      <c r="G104" s="1" t="str">
        <f t="shared" si="8"/>
        <v>104.6651</v>
      </c>
      <c r="H104" s="1" t="str">
        <f t="shared" si="9"/>
        <v xml:space="preserve"> 17.0453</v>
      </c>
      <c r="J104" s="1" t="str">
        <f>MID(B104,1,5)</f>
        <v>LT100</v>
      </c>
      <c r="L104" s="1" t="str">
        <f>MID(B104,7,2)</f>
        <v>SG</v>
      </c>
      <c r="M104" s="1">
        <v>2031</v>
      </c>
      <c r="N104" s="1">
        <v>100</v>
      </c>
      <c r="O104" s="1" t="str">
        <f>MID(B104,15,5)</f>
        <v>8+020</v>
      </c>
    </row>
    <row r="105" spans="1:15" x14ac:dyDescent="0.2">
      <c r="A105" t="s">
        <v>207</v>
      </c>
      <c r="B105" t="s">
        <v>208</v>
      </c>
      <c r="G105" s="1" t="str">
        <f t="shared" si="8"/>
        <v>104.6646</v>
      </c>
      <c r="H105" s="1" t="str">
        <f t="shared" si="9"/>
        <v xml:space="preserve"> 17.0453</v>
      </c>
      <c r="J105" s="1" t="str">
        <f t="shared" ref="J105:J168" si="16">MID(B105,1,5)</f>
        <v>LT101</v>
      </c>
      <c r="L105" s="1" t="str">
        <f t="shared" ref="L105:L168" si="17">MID(B105,7,2)</f>
        <v>SG</v>
      </c>
      <c r="M105" s="1">
        <v>2031</v>
      </c>
      <c r="N105" s="1">
        <v>100</v>
      </c>
      <c r="O105" s="1" t="str">
        <f t="shared" ref="O105:O119" si="18">MID(B105,15,5)</f>
        <v>8+050</v>
      </c>
    </row>
    <row r="106" spans="1:15" x14ac:dyDescent="0.2">
      <c r="A106" t="s">
        <v>209</v>
      </c>
      <c r="B106" t="s">
        <v>210</v>
      </c>
      <c r="G106" s="1" t="str">
        <f t="shared" si="8"/>
        <v>104.6641</v>
      </c>
      <c r="H106" s="1" t="str">
        <f t="shared" si="9"/>
        <v xml:space="preserve"> 17.0453</v>
      </c>
      <c r="J106" s="1" t="str">
        <f t="shared" si="16"/>
        <v>LT102</v>
      </c>
      <c r="L106" s="1" t="str">
        <f t="shared" si="17"/>
        <v>SG</v>
      </c>
      <c r="M106" s="1">
        <v>2031</v>
      </c>
      <c r="N106" s="1">
        <v>100</v>
      </c>
      <c r="O106" s="1" t="str">
        <f t="shared" si="18"/>
        <v>8+100</v>
      </c>
    </row>
    <row r="107" spans="1:15" x14ac:dyDescent="0.2">
      <c r="A107" t="s">
        <v>211</v>
      </c>
      <c r="B107" t="s">
        <v>212</v>
      </c>
      <c r="G107" s="1" t="str">
        <f t="shared" si="8"/>
        <v>104.6635</v>
      </c>
      <c r="H107" s="1" t="str">
        <f t="shared" si="9"/>
        <v xml:space="preserve"> 17.0453</v>
      </c>
      <c r="J107" s="1" t="str">
        <f t="shared" si="16"/>
        <v>LT103</v>
      </c>
      <c r="L107" s="1" t="str">
        <f t="shared" si="17"/>
        <v>SG</v>
      </c>
      <c r="M107" s="1">
        <v>2031</v>
      </c>
      <c r="N107" s="1">
        <v>100</v>
      </c>
      <c r="O107" s="1" t="str">
        <f t="shared" si="18"/>
        <v>8+150</v>
      </c>
    </row>
    <row r="108" spans="1:15" x14ac:dyDescent="0.2">
      <c r="A108" t="s">
        <v>213</v>
      </c>
      <c r="B108" t="s">
        <v>214</v>
      </c>
      <c r="G108" s="1" t="str">
        <f t="shared" si="8"/>
        <v>104.6631</v>
      </c>
      <c r="H108" s="1" t="str">
        <f t="shared" si="9"/>
        <v xml:space="preserve"> 17.0453</v>
      </c>
      <c r="J108" s="1" t="str">
        <f t="shared" si="16"/>
        <v>LT104</v>
      </c>
      <c r="L108" s="1" t="str">
        <f t="shared" si="17"/>
        <v>SG</v>
      </c>
      <c r="M108" s="1">
        <v>2031</v>
      </c>
      <c r="N108" s="1">
        <v>100</v>
      </c>
      <c r="O108" s="1" t="str">
        <f t="shared" si="18"/>
        <v>8+200</v>
      </c>
    </row>
    <row r="109" spans="1:15" x14ac:dyDescent="0.2">
      <c r="A109" t="s">
        <v>215</v>
      </c>
      <c r="B109" t="s">
        <v>216</v>
      </c>
      <c r="G109" s="1" t="str">
        <f t="shared" si="8"/>
        <v>104.6626</v>
      </c>
      <c r="H109" s="1" t="str">
        <f t="shared" si="9"/>
        <v xml:space="preserve"> 17.0453</v>
      </c>
      <c r="J109" s="1" t="str">
        <f t="shared" si="16"/>
        <v>LT105</v>
      </c>
      <c r="L109" s="1" t="str">
        <f t="shared" si="17"/>
        <v>SG</v>
      </c>
      <c r="M109" s="1">
        <v>2031</v>
      </c>
      <c r="N109" s="1">
        <v>100</v>
      </c>
      <c r="O109" s="1" t="str">
        <f t="shared" si="18"/>
        <v>8+250</v>
      </c>
    </row>
    <row r="110" spans="1:15" x14ac:dyDescent="0.2">
      <c r="A110" t="s">
        <v>217</v>
      </c>
      <c r="B110" t="s">
        <v>218</v>
      </c>
      <c r="G110" s="1" t="str">
        <f t="shared" si="8"/>
        <v>104.6621</v>
      </c>
      <c r="H110" s="1" t="str">
        <f t="shared" si="9"/>
        <v xml:space="preserve"> 17.0453</v>
      </c>
      <c r="J110" s="1" t="str">
        <f t="shared" si="16"/>
        <v>LT106</v>
      </c>
      <c r="L110" s="1" t="str">
        <f t="shared" si="17"/>
        <v>SG</v>
      </c>
      <c r="M110" s="1">
        <v>2031</v>
      </c>
      <c r="N110" s="1">
        <v>100</v>
      </c>
      <c r="O110" s="1" t="str">
        <f t="shared" si="18"/>
        <v>8+300</v>
      </c>
    </row>
    <row r="111" spans="1:15" x14ac:dyDescent="0.2">
      <c r="A111" t="s">
        <v>219</v>
      </c>
      <c r="B111" t="s">
        <v>220</v>
      </c>
      <c r="G111" s="1" t="str">
        <f t="shared" si="8"/>
        <v>104.6617</v>
      </c>
      <c r="H111" s="1" t="str">
        <f t="shared" si="9"/>
        <v xml:space="preserve"> 17.0453</v>
      </c>
      <c r="J111" s="1" t="str">
        <f t="shared" si="16"/>
        <v>LT107</v>
      </c>
      <c r="L111" s="1" t="str">
        <f t="shared" si="17"/>
        <v>SG</v>
      </c>
      <c r="M111" s="1">
        <v>2031</v>
      </c>
      <c r="N111" s="1">
        <v>100</v>
      </c>
      <c r="O111" s="1" t="str">
        <f t="shared" si="18"/>
        <v>8+350</v>
      </c>
    </row>
    <row r="112" spans="1:15" x14ac:dyDescent="0.2">
      <c r="A112" t="s">
        <v>221</v>
      </c>
      <c r="B112" t="s">
        <v>222</v>
      </c>
      <c r="G112" s="1" t="str">
        <f t="shared" si="8"/>
        <v>104.6612</v>
      </c>
      <c r="H112" s="1" t="str">
        <f t="shared" si="9"/>
        <v xml:space="preserve"> 17.0453</v>
      </c>
      <c r="J112" s="1" t="str">
        <f t="shared" si="16"/>
        <v>LT108</v>
      </c>
      <c r="L112" s="1" t="str">
        <f t="shared" si="17"/>
        <v>SG</v>
      </c>
      <c r="M112" s="1">
        <v>2031</v>
      </c>
      <c r="N112" s="1">
        <v>100</v>
      </c>
      <c r="O112" s="1" t="str">
        <f t="shared" si="18"/>
        <v>8+400</v>
      </c>
    </row>
    <row r="113" spans="1:15" x14ac:dyDescent="0.2">
      <c r="A113" t="s">
        <v>223</v>
      </c>
      <c r="B113" t="s">
        <v>224</v>
      </c>
      <c r="G113" s="1" t="str">
        <f t="shared" si="8"/>
        <v>104.6607</v>
      </c>
      <c r="H113" s="1" t="str">
        <f t="shared" si="9"/>
        <v xml:space="preserve"> 17.0453</v>
      </c>
      <c r="J113" s="1" t="str">
        <f t="shared" si="16"/>
        <v>LT109</v>
      </c>
      <c r="L113" s="1" t="str">
        <f t="shared" si="17"/>
        <v>SG</v>
      </c>
      <c r="M113" s="1">
        <v>2031</v>
      </c>
      <c r="N113" s="1">
        <v>100</v>
      </c>
      <c r="O113" s="1" t="str">
        <f t="shared" si="18"/>
        <v>8+450</v>
      </c>
    </row>
    <row r="114" spans="1:15" x14ac:dyDescent="0.2">
      <c r="A114" t="s">
        <v>225</v>
      </c>
      <c r="B114" t="s">
        <v>226</v>
      </c>
      <c r="G114" s="1" t="str">
        <f t="shared" si="8"/>
        <v>104.6602</v>
      </c>
      <c r="H114" s="1" t="str">
        <f t="shared" si="9"/>
        <v xml:space="preserve"> 17.0453</v>
      </c>
      <c r="J114" s="1" t="str">
        <f t="shared" si="16"/>
        <v>LT110</v>
      </c>
      <c r="L114" s="1" t="str">
        <f t="shared" si="17"/>
        <v>SG</v>
      </c>
      <c r="M114" s="1">
        <v>2031</v>
      </c>
      <c r="N114" s="1">
        <v>100</v>
      </c>
      <c r="O114" s="1" t="str">
        <f t="shared" si="18"/>
        <v>8+500</v>
      </c>
    </row>
    <row r="115" spans="1:15" x14ac:dyDescent="0.2">
      <c r="A115" t="s">
        <v>227</v>
      </c>
      <c r="B115" t="s">
        <v>228</v>
      </c>
      <c r="G115" s="1" t="str">
        <f t="shared" si="8"/>
        <v>104.6596</v>
      </c>
      <c r="H115" s="1" t="str">
        <f t="shared" si="9"/>
        <v xml:space="preserve"> 17.0453</v>
      </c>
      <c r="J115" s="1" t="str">
        <f t="shared" si="16"/>
        <v>LT111</v>
      </c>
      <c r="L115" s="1" t="str">
        <f t="shared" si="17"/>
        <v>SG</v>
      </c>
      <c r="M115" s="1">
        <v>2031</v>
      </c>
      <c r="N115" s="1">
        <v>100</v>
      </c>
      <c r="O115" s="1" t="str">
        <f t="shared" si="18"/>
        <v>8+550</v>
      </c>
    </row>
    <row r="116" spans="1:15" x14ac:dyDescent="0.2">
      <c r="A116" t="s">
        <v>229</v>
      </c>
      <c r="B116" t="s">
        <v>230</v>
      </c>
      <c r="G116" s="1" t="str">
        <f t="shared" si="8"/>
        <v>104.6592</v>
      </c>
      <c r="H116" s="1" t="str">
        <f t="shared" si="9"/>
        <v xml:space="preserve"> 17.0453</v>
      </c>
      <c r="J116" s="1" t="str">
        <f t="shared" si="16"/>
        <v>LT112</v>
      </c>
      <c r="L116" s="1" t="str">
        <f t="shared" si="17"/>
        <v>SG</v>
      </c>
      <c r="M116" s="1">
        <v>2031</v>
      </c>
      <c r="N116" s="1">
        <v>100</v>
      </c>
      <c r="O116" s="1" t="str">
        <f t="shared" si="18"/>
        <v>8+600</v>
      </c>
    </row>
    <row r="117" spans="1:15" x14ac:dyDescent="0.2">
      <c r="A117" t="s">
        <v>231</v>
      </c>
      <c r="B117" t="s">
        <v>232</v>
      </c>
      <c r="G117" s="1" t="str">
        <f t="shared" si="8"/>
        <v>104.6587</v>
      </c>
      <c r="H117" s="1" t="str">
        <f t="shared" si="9"/>
        <v xml:space="preserve"> 17.0453</v>
      </c>
      <c r="J117" s="1" t="str">
        <f t="shared" si="16"/>
        <v>LT113</v>
      </c>
      <c r="L117" s="1" t="str">
        <f t="shared" si="17"/>
        <v>SG</v>
      </c>
      <c r="M117" s="1">
        <v>2031</v>
      </c>
      <c r="N117" s="1">
        <v>100</v>
      </c>
      <c r="O117" s="1" t="str">
        <f t="shared" si="18"/>
        <v>8+650</v>
      </c>
    </row>
    <row r="118" spans="1:15" x14ac:dyDescent="0.2">
      <c r="A118" t="s">
        <v>233</v>
      </c>
      <c r="B118" t="s">
        <v>234</v>
      </c>
      <c r="G118" s="1" t="str">
        <f t="shared" si="8"/>
        <v>104.6471</v>
      </c>
      <c r="H118" s="1" t="str">
        <f t="shared" si="9"/>
        <v xml:space="preserve"> 17.0439</v>
      </c>
      <c r="J118" s="1" t="str">
        <f t="shared" si="16"/>
        <v>LT114</v>
      </c>
      <c r="L118" s="1" t="str">
        <f t="shared" si="17"/>
        <v>SG</v>
      </c>
      <c r="M118" s="1">
        <v>2031</v>
      </c>
      <c r="N118" s="1">
        <v>100</v>
      </c>
      <c r="O118" s="1" t="str">
        <f t="shared" si="18"/>
        <v>9+950</v>
      </c>
    </row>
    <row r="119" spans="1:15" x14ac:dyDescent="0.2">
      <c r="A119" t="s">
        <v>235</v>
      </c>
      <c r="B119" t="s">
        <v>236</v>
      </c>
      <c r="G119" s="1" t="str">
        <f t="shared" si="8"/>
        <v>104.6468</v>
      </c>
      <c r="H119" s="1" t="str">
        <f>MID(A119,18,7)</f>
        <v>17.0438</v>
      </c>
      <c r="J119" s="1" t="str">
        <f t="shared" si="16"/>
        <v>LT115</v>
      </c>
      <c r="L119" s="1" t="str">
        <f t="shared" si="17"/>
        <v>SG</v>
      </c>
      <c r="M119" s="1">
        <v>2031</v>
      </c>
      <c r="N119" s="1">
        <v>100</v>
      </c>
      <c r="O119" s="1" t="str">
        <f t="shared" si="18"/>
        <v>9+985</v>
      </c>
    </row>
    <row r="120" spans="1:15" x14ac:dyDescent="0.2">
      <c r="A120" t="s">
        <v>237</v>
      </c>
      <c r="B120" t="s">
        <v>238</v>
      </c>
      <c r="G120" s="1" t="str">
        <f t="shared" si="8"/>
        <v>104.6464</v>
      </c>
      <c r="H120" s="1" t="str">
        <f t="shared" si="9"/>
        <v xml:space="preserve"> 17.0437</v>
      </c>
      <c r="J120" s="1" t="str">
        <f t="shared" si="16"/>
        <v>LT116</v>
      </c>
      <c r="L120" s="1" t="str">
        <f t="shared" si="17"/>
        <v>SG</v>
      </c>
      <c r="M120" s="1">
        <v>2031</v>
      </c>
      <c r="N120" s="1">
        <v>100</v>
      </c>
      <c r="O120" s="1" t="str">
        <f>MID(B120,15,6)</f>
        <v>10+020</v>
      </c>
    </row>
    <row r="121" spans="1:15" x14ac:dyDescent="0.2">
      <c r="A121" t="s">
        <v>239</v>
      </c>
      <c r="B121" t="s">
        <v>240</v>
      </c>
      <c r="G121" s="1" t="str">
        <f t="shared" si="8"/>
        <v>104.6460</v>
      </c>
      <c r="H121" s="1" t="str">
        <f t="shared" si="9"/>
        <v xml:space="preserve"> 17.0436</v>
      </c>
      <c r="J121" s="1" t="str">
        <f t="shared" si="16"/>
        <v>LT117</v>
      </c>
      <c r="L121" s="1" t="str">
        <f t="shared" si="17"/>
        <v>SG</v>
      </c>
      <c r="M121" s="1">
        <v>2031</v>
      </c>
      <c r="N121" s="1">
        <v>100</v>
      </c>
      <c r="O121" s="1" t="str">
        <f t="shared" ref="O121:O184" si="19">MID(B121,15,6)</f>
        <v>10+050</v>
      </c>
    </row>
    <row r="122" spans="1:15" x14ac:dyDescent="0.2">
      <c r="A122" t="s">
        <v>241</v>
      </c>
      <c r="B122" t="s">
        <v>242</v>
      </c>
      <c r="G122" s="1" t="str">
        <f t="shared" si="8"/>
        <v>104.6457</v>
      </c>
      <c r="H122" s="1" t="str">
        <f t="shared" si="9"/>
        <v xml:space="preserve"> 17.0435</v>
      </c>
      <c r="J122" s="1" t="str">
        <f t="shared" si="16"/>
        <v>LT118</v>
      </c>
      <c r="L122" s="1" t="str">
        <f t="shared" si="17"/>
        <v>SG</v>
      </c>
      <c r="M122" s="1">
        <v>2031</v>
      </c>
      <c r="N122" s="1">
        <v>100</v>
      </c>
      <c r="O122" s="1" t="str">
        <f t="shared" si="19"/>
        <v>10+100</v>
      </c>
    </row>
    <row r="123" spans="1:15" x14ac:dyDescent="0.2">
      <c r="A123" t="s">
        <v>243</v>
      </c>
      <c r="B123" t="s">
        <v>244</v>
      </c>
      <c r="G123" s="1" t="str">
        <f t="shared" si="8"/>
        <v>104.6453</v>
      </c>
      <c r="H123" s="1" t="str">
        <f>MID(A123,18,7)</f>
        <v>17.0434</v>
      </c>
      <c r="J123" s="1" t="str">
        <f t="shared" si="16"/>
        <v>LT119</v>
      </c>
      <c r="L123" s="1" t="str">
        <f t="shared" si="17"/>
        <v>SG</v>
      </c>
      <c r="M123" s="1">
        <v>2031</v>
      </c>
      <c r="N123" s="1">
        <v>100</v>
      </c>
      <c r="O123" s="1" t="str">
        <f t="shared" si="19"/>
        <v>10+150</v>
      </c>
    </row>
    <row r="124" spans="1:15" x14ac:dyDescent="0.2">
      <c r="A124" t="s">
        <v>245</v>
      </c>
      <c r="B124" t="s">
        <v>246</v>
      </c>
      <c r="G124" s="1" t="str">
        <f t="shared" si="8"/>
        <v>104.6448</v>
      </c>
      <c r="H124" s="1" t="str">
        <f t="shared" si="9"/>
        <v xml:space="preserve"> 17.0433</v>
      </c>
      <c r="J124" s="1" t="str">
        <f t="shared" si="16"/>
        <v>LT120</v>
      </c>
      <c r="L124" s="1" t="str">
        <f t="shared" si="17"/>
        <v>SG</v>
      </c>
      <c r="M124" s="1">
        <v>2031</v>
      </c>
      <c r="N124" s="1">
        <v>100</v>
      </c>
      <c r="O124" s="1" t="str">
        <f t="shared" si="19"/>
        <v>10+200</v>
      </c>
    </row>
    <row r="125" spans="1:15" x14ac:dyDescent="0.2">
      <c r="A125" t="s">
        <v>247</v>
      </c>
      <c r="B125" t="s">
        <v>248</v>
      </c>
      <c r="G125" s="1" t="str">
        <f t="shared" si="8"/>
        <v>104.6445</v>
      </c>
      <c r="H125" s="1" t="str">
        <f t="shared" si="9"/>
        <v xml:space="preserve"> 17.0432</v>
      </c>
      <c r="J125" s="1" t="str">
        <f t="shared" si="16"/>
        <v>LT121</v>
      </c>
      <c r="L125" s="1" t="str">
        <f t="shared" si="17"/>
        <v>SG</v>
      </c>
      <c r="M125" s="1">
        <v>2031</v>
      </c>
      <c r="N125" s="1">
        <v>100</v>
      </c>
      <c r="O125" s="1" t="str">
        <f t="shared" si="19"/>
        <v>10+250</v>
      </c>
    </row>
    <row r="126" spans="1:15" x14ac:dyDescent="0.2">
      <c r="A126" t="s">
        <v>249</v>
      </c>
      <c r="B126" t="s">
        <v>250</v>
      </c>
      <c r="G126" s="1" t="str">
        <f t="shared" si="8"/>
        <v>104.6441</v>
      </c>
      <c r="H126" s="1" t="str">
        <f t="shared" si="9"/>
        <v xml:space="preserve"> 17.0430</v>
      </c>
      <c r="J126" s="1" t="str">
        <f t="shared" si="16"/>
        <v>LT122</v>
      </c>
      <c r="L126" s="1" t="str">
        <f t="shared" si="17"/>
        <v>SG</v>
      </c>
      <c r="M126" s="1">
        <v>2031</v>
      </c>
      <c r="N126" s="1">
        <v>100</v>
      </c>
      <c r="O126" s="1" t="str">
        <f t="shared" si="19"/>
        <v>10+300</v>
      </c>
    </row>
    <row r="127" spans="1:15" x14ac:dyDescent="0.2">
      <c r="A127" t="s">
        <v>251</v>
      </c>
      <c r="B127" t="s">
        <v>252</v>
      </c>
      <c r="G127" s="1" t="str">
        <f t="shared" si="8"/>
        <v>104.6437</v>
      </c>
      <c r="H127" s="1" t="str">
        <f t="shared" si="9"/>
        <v xml:space="preserve"> 17.0429</v>
      </c>
      <c r="J127" s="1" t="str">
        <f t="shared" si="16"/>
        <v>LT123</v>
      </c>
      <c r="L127" s="1" t="str">
        <f t="shared" si="17"/>
        <v>SG</v>
      </c>
      <c r="M127" s="1">
        <v>2031</v>
      </c>
      <c r="N127" s="1">
        <v>100</v>
      </c>
      <c r="O127" s="1" t="str">
        <f t="shared" si="19"/>
        <v>10+350</v>
      </c>
    </row>
    <row r="128" spans="1:15" x14ac:dyDescent="0.2">
      <c r="A128" t="s">
        <v>253</v>
      </c>
      <c r="B128" t="s">
        <v>254</v>
      </c>
      <c r="G128" s="1" t="str">
        <f t="shared" si="8"/>
        <v>104.6433</v>
      </c>
      <c r="H128" s="1" t="str">
        <f t="shared" si="9"/>
        <v xml:space="preserve"> 17.0428</v>
      </c>
      <c r="J128" s="1" t="str">
        <f t="shared" si="16"/>
        <v>LT124</v>
      </c>
      <c r="L128" s="1" t="str">
        <f t="shared" si="17"/>
        <v>SG</v>
      </c>
      <c r="M128" s="1">
        <v>2031</v>
      </c>
      <c r="N128" s="1">
        <v>100</v>
      </c>
      <c r="O128" s="1" t="str">
        <f t="shared" si="19"/>
        <v>10+400</v>
      </c>
    </row>
    <row r="129" spans="1:15" x14ac:dyDescent="0.2">
      <c r="A129" t="s">
        <v>255</v>
      </c>
      <c r="B129" t="s">
        <v>256</v>
      </c>
      <c r="G129" s="1" t="str">
        <f t="shared" si="8"/>
        <v>104.6429</v>
      </c>
      <c r="H129" s="1" t="str">
        <f>MID(A129,18,7)</f>
        <v>17.0426</v>
      </c>
      <c r="J129" s="1" t="str">
        <f t="shared" si="16"/>
        <v>LT125</v>
      </c>
      <c r="L129" s="1" t="str">
        <f t="shared" si="17"/>
        <v>SG</v>
      </c>
      <c r="M129" s="1">
        <v>2031</v>
      </c>
      <c r="N129" s="1">
        <v>100</v>
      </c>
      <c r="O129" s="1" t="str">
        <f t="shared" si="19"/>
        <v>10+450</v>
      </c>
    </row>
    <row r="130" spans="1:15" x14ac:dyDescent="0.2">
      <c r="A130" t="s">
        <v>257</v>
      </c>
      <c r="B130" t="s">
        <v>258</v>
      </c>
      <c r="G130" s="1" t="str">
        <f t="shared" si="8"/>
        <v>104.6425</v>
      </c>
      <c r="H130" s="1" t="str">
        <f>MID(A130,18,7)</f>
        <v>17.0425</v>
      </c>
      <c r="J130" s="1" t="str">
        <f t="shared" si="16"/>
        <v>LT126</v>
      </c>
      <c r="L130" s="1" t="str">
        <f t="shared" si="17"/>
        <v>SG</v>
      </c>
      <c r="M130" s="1">
        <v>2031</v>
      </c>
      <c r="N130" s="1">
        <v>100</v>
      </c>
      <c r="O130" s="1" t="str">
        <f t="shared" si="19"/>
        <v>10+500</v>
      </c>
    </row>
    <row r="131" spans="1:15" x14ac:dyDescent="0.2">
      <c r="A131" t="s">
        <v>259</v>
      </c>
      <c r="B131" t="s">
        <v>260</v>
      </c>
      <c r="G131" s="1" t="str">
        <f t="shared" ref="G131:G194" si="20">MID(A131,8,8)</f>
        <v>104.6421</v>
      </c>
      <c r="H131" s="1" t="str">
        <f t="shared" ref="H131:H194" si="21">MID(A131,18,8)</f>
        <v xml:space="preserve"> 17.0424</v>
      </c>
      <c r="J131" s="1" t="str">
        <f t="shared" si="16"/>
        <v>LT127</v>
      </c>
      <c r="L131" s="1" t="str">
        <f t="shared" si="17"/>
        <v>SG</v>
      </c>
      <c r="M131" s="1">
        <v>2031</v>
      </c>
      <c r="N131" s="1">
        <v>100</v>
      </c>
      <c r="O131" s="1" t="str">
        <f t="shared" si="19"/>
        <v>10+550</v>
      </c>
    </row>
    <row r="132" spans="1:15" x14ac:dyDescent="0.2">
      <c r="A132" t="s">
        <v>261</v>
      </c>
      <c r="B132" t="s">
        <v>262</v>
      </c>
      <c r="G132" s="1" t="str">
        <f t="shared" si="20"/>
        <v>104.6417</v>
      </c>
      <c r="H132" s="1" t="str">
        <f t="shared" si="21"/>
        <v xml:space="preserve"> 17.0422</v>
      </c>
      <c r="J132" s="1" t="str">
        <f t="shared" si="16"/>
        <v>LT128</v>
      </c>
      <c r="L132" s="1" t="str">
        <f t="shared" si="17"/>
        <v>SG</v>
      </c>
      <c r="M132" s="1">
        <v>2031</v>
      </c>
      <c r="N132" s="1">
        <v>100</v>
      </c>
      <c r="O132" s="1" t="str">
        <f t="shared" si="19"/>
        <v>10+600</v>
      </c>
    </row>
    <row r="133" spans="1:15" x14ac:dyDescent="0.2">
      <c r="A133" t="s">
        <v>263</v>
      </c>
      <c r="B133" t="s">
        <v>264</v>
      </c>
      <c r="G133" s="1" t="str">
        <f t="shared" si="20"/>
        <v>104.6413</v>
      </c>
      <c r="H133" s="1" t="str">
        <f t="shared" si="21"/>
        <v xml:space="preserve"> 17.0421</v>
      </c>
      <c r="J133" s="1" t="str">
        <f t="shared" si="16"/>
        <v>LT129</v>
      </c>
      <c r="L133" s="1" t="str">
        <f t="shared" si="17"/>
        <v>SG</v>
      </c>
      <c r="M133" s="1">
        <v>2031</v>
      </c>
      <c r="N133" s="1">
        <v>100</v>
      </c>
      <c r="O133" s="1" t="str">
        <f t="shared" si="19"/>
        <v>10+650</v>
      </c>
    </row>
    <row r="134" spans="1:15" x14ac:dyDescent="0.2">
      <c r="A134" t="s">
        <v>265</v>
      </c>
      <c r="B134" t="s">
        <v>266</v>
      </c>
      <c r="G134" s="1" t="str">
        <f t="shared" si="20"/>
        <v>104.6409</v>
      </c>
      <c r="H134" s="1" t="str">
        <f t="shared" si="21"/>
        <v xml:space="preserve"> 17.0420</v>
      </c>
      <c r="J134" s="1" t="str">
        <f t="shared" si="16"/>
        <v>LT130</v>
      </c>
      <c r="L134" s="1" t="str">
        <f t="shared" si="17"/>
        <v>SG</v>
      </c>
      <c r="M134" s="1">
        <v>2031</v>
      </c>
      <c r="N134" s="1">
        <v>100</v>
      </c>
      <c r="O134" s="1" t="str">
        <f t="shared" si="19"/>
        <v>10+700</v>
      </c>
    </row>
    <row r="135" spans="1:15" x14ac:dyDescent="0.2">
      <c r="A135" t="s">
        <v>267</v>
      </c>
      <c r="B135" t="s">
        <v>268</v>
      </c>
      <c r="G135" s="1" t="str">
        <f t="shared" si="20"/>
        <v>104.6405</v>
      </c>
      <c r="H135" s="1" t="str">
        <f t="shared" si="21"/>
        <v xml:space="preserve"> 17.0418</v>
      </c>
      <c r="J135" s="1" t="str">
        <f t="shared" si="16"/>
        <v>LT131</v>
      </c>
      <c r="L135" s="1" t="str">
        <f t="shared" si="17"/>
        <v>SG</v>
      </c>
      <c r="M135" s="1">
        <v>2031</v>
      </c>
      <c r="N135" s="1">
        <v>100</v>
      </c>
      <c r="O135" s="1" t="str">
        <f t="shared" si="19"/>
        <v>10+750</v>
      </c>
    </row>
    <row r="136" spans="1:15" x14ac:dyDescent="0.2">
      <c r="A136" t="s">
        <v>269</v>
      </c>
      <c r="B136" t="s">
        <v>270</v>
      </c>
      <c r="G136" s="1" t="str">
        <f t="shared" si="20"/>
        <v>104.6401</v>
      </c>
      <c r="H136" s="1" t="str">
        <f t="shared" si="21"/>
        <v xml:space="preserve"> 17.0417</v>
      </c>
      <c r="J136" s="1" t="str">
        <f t="shared" si="16"/>
        <v>LT132</v>
      </c>
      <c r="L136" s="1" t="str">
        <f t="shared" si="17"/>
        <v>SG</v>
      </c>
      <c r="M136" s="1">
        <v>2031</v>
      </c>
      <c r="N136" s="1">
        <v>100</v>
      </c>
      <c r="O136" s="1" t="str">
        <f t="shared" si="19"/>
        <v>10+800</v>
      </c>
    </row>
    <row r="137" spans="1:15" x14ac:dyDescent="0.2">
      <c r="A137" t="s">
        <v>271</v>
      </c>
      <c r="B137" t="s">
        <v>272</v>
      </c>
      <c r="G137" s="1" t="str">
        <f t="shared" si="20"/>
        <v>104.6397</v>
      </c>
      <c r="H137" s="1" t="str">
        <f t="shared" si="21"/>
        <v xml:space="preserve"> 17.0416</v>
      </c>
      <c r="J137" s="1" t="str">
        <f t="shared" si="16"/>
        <v>LT133</v>
      </c>
      <c r="L137" s="1" t="str">
        <f t="shared" si="17"/>
        <v>SG</v>
      </c>
      <c r="M137" s="1">
        <v>2031</v>
      </c>
      <c r="N137" s="1">
        <v>100</v>
      </c>
      <c r="O137" s="1" t="str">
        <f t="shared" si="19"/>
        <v>10+850</v>
      </c>
    </row>
    <row r="138" spans="1:15" x14ac:dyDescent="0.2">
      <c r="A138" t="s">
        <v>273</v>
      </c>
      <c r="B138" t="s">
        <v>274</v>
      </c>
      <c r="G138" s="1" t="str">
        <f t="shared" si="20"/>
        <v>104.6392</v>
      </c>
      <c r="H138" s="1" t="str">
        <f t="shared" si="21"/>
        <v xml:space="preserve"> 17.0415</v>
      </c>
      <c r="J138" s="1" t="str">
        <f t="shared" si="16"/>
        <v>LT134</v>
      </c>
      <c r="L138" s="1" t="str">
        <f t="shared" si="17"/>
        <v>SG</v>
      </c>
      <c r="M138" s="1">
        <v>2031</v>
      </c>
      <c r="N138" s="1">
        <v>100</v>
      </c>
      <c r="O138" s="1" t="str">
        <f t="shared" si="19"/>
        <v>10+900</v>
      </c>
    </row>
    <row r="139" spans="1:15" x14ac:dyDescent="0.2">
      <c r="A139" t="s">
        <v>275</v>
      </c>
      <c r="B139" t="s">
        <v>276</v>
      </c>
      <c r="G139" s="1" t="str">
        <f t="shared" si="20"/>
        <v>104.6388</v>
      </c>
      <c r="H139" s="1" t="str">
        <f>MID(A139,18,7)</f>
        <v>17.0416</v>
      </c>
      <c r="J139" s="1" t="str">
        <f t="shared" si="16"/>
        <v>LT135</v>
      </c>
      <c r="L139" s="1" t="str">
        <f t="shared" si="17"/>
        <v>SG</v>
      </c>
      <c r="M139" s="1">
        <v>2031</v>
      </c>
      <c r="N139" s="1">
        <v>100</v>
      </c>
      <c r="O139" s="1" t="str">
        <f t="shared" si="19"/>
        <v>10+950</v>
      </c>
    </row>
    <row r="140" spans="1:15" x14ac:dyDescent="0.2">
      <c r="A140" t="s">
        <v>277</v>
      </c>
      <c r="B140" t="s">
        <v>278</v>
      </c>
      <c r="G140" s="1" t="str">
        <f t="shared" si="20"/>
        <v>104.6384</v>
      </c>
      <c r="H140" s="1" t="str">
        <f t="shared" si="21"/>
        <v xml:space="preserve"> 17.0417</v>
      </c>
      <c r="J140" s="1" t="str">
        <f t="shared" si="16"/>
        <v>LT136</v>
      </c>
      <c r="L140" s="1" t="str">
        <f t="shared" si="17"/>
        <v>SG</v>
      </c>
      <c r="M140" s="1">
        <v>2031</v>
      </c>
      <c r="N140" s="1">
        <v>100</v>
      </c>
      <c r="O140" s="1" t="str">
        <f t="shared" si="19"/>
        <v>11+000</v>
      </c>
    </row>
    <row r="141" spans="1:15" x14ac:dyDescent="0.2">
      <c r="A141" t="s">
        <v>279</v>
      </c>
      <c r="B141" t="s">
        <v>280</v>
      </c>
      <c r="G141" s="1" t="str">
        <f t="shared" si="20"/>
        <v>104.6376</v>
      </c>
      <c r="H141" s="1" t="str">
        <f t="shared" si="21"/>
        <v xml:space="preserve"> 17.0418</v>
      </c>
      <c r="J141" s="1" t="str">
        <f t="shared" si="16"/>
        <v>LT137</v>
      </c>
      <c r="L141" s="1" t="str">
        <f t="shared" si="17"/>
        <v>SG</v>
      </c>
      <c r="M141" s="1">
        <v>2031</v>
      </c>
      <c r="N141" s="1">
        <v>100</v>
      </c>
      <c r="O141" s="1" t="str">
        <f t="shared" si="19"/>
        <v>11+100</v>
      </c>
    </row>
    <row r="142" spans="1:15" x14ac:dyDescent="0.2">
      <c r="A142" t="s">
        <v>281</v>
      </c>
      <c r="B142" t="s">
        <v>282</v>
      </c>
      <c r="G142" s="1" t="str">
        <f t="shared" si="20"/>
        <v>104.6371</v>
      </c>
      <c r="H142" s="1" t="str">
        <f>MID(A142,18,7)</f>
        <v>17.0419</v>
      </c>
      <c r="J142" s="1" t="str">
        <f t="shared" si="16"/>
        <v>LT138</v>
      </c>
      <c r="L142" s="1" t="str">
        <f t="shared" si="17"/>
        <v>SG</v>
      </c>
      <c r="M142" s="1">
        <v>2031</v>
      </c>
      <c r="N142" s="1">
        <v>100</v>
      </c>
      <c r="O142" s="1" t="str">
        <f t="shared" si="19"/>
        <v>11+150</v>
      </c>
    </row>
    <row r="143" spans="1:15" x14ac:dyDescent="0.2">
      <c r="A143" t="s">
        <v>283</v>
      </c>
      <c r="B143" t="s">
        <v>284</v>
      </c>
      <c r="G143" s="1" t="str">
        <f t="shared" si="20"/>
        <v>104.6367</v>
      </c>
      <c r="H143" s="1" t="str">
        <f t="shared" si="21"/>
        <v xml:space="preserve"> 17.0420</v>
      </c>
      <c r="J143" s="1" t="str">
        <f t="shared" si="16"/>
        <v>LT139</v>
      </c>
      <c r="L143" s="1" t="str">
        <f t="shared" si="17"/>
        <v>SG</v>
      </c>
      <c r="M143" s="1">
        <v>2031</v>
      </c>
      <c r="N143" s="1">
        <v>100</v>
      </c>
      <c r="O143" s="1" t="str">
        <f t="shared" si="19"/>
        <v>11+200</v>
      </c>
    </row>
    <row r="144" spans="1:15" x14ac:dyDescent="0.2">
      <c r="A144" t="s">
        <v>285</v>
      </c>
      <c r="B144" t="s">
        <v>286</v>
      </c>
      <c r="G144" s="1" t="str">
        <f t="shared" si="20"/>
        <v>104.6362</v>
      </c>
      <c r="H144" s="1" t="str">
        <f t="shared" si="21"/>
        <v xml:space="preserve"> 17.0421</v>
      </c>
      <c r="J144" s="1" t="str">
        <f t="shared" si="16"/>
        <v>LT140</v>
      </c>
      <c r="L144" s="1" t="str">
        <f t="shared" si="17"/>
        <v>SG</v>
      </c>
      <c r="M144" s="1">
        <v>2031</v>
      </c>
      <c r="N144" s="1">
        <v>100</v>
      </c>
      <c r="O144" s="1" t="str">
        <f t="shared" si="19"/>
        <v>11+250</v>
      </c>
    </row>
    <row r="145" spans="1:15" x14ac:dyDescent="0.2">
      <c r="A145" t="s">
        <v>287</v>
      </c>
      <c r="B145" t="s">
        <v>288</v>
      </c>
      <c r="G145" s="1" t="str">
        <f t="shared" si="20"/>
        <v>104.6358</v>
      </c>
      <c r="H145" s="1" t="str">
        <f t="shared" si="21"/>
        <v xml:space="preserve"> 17.0422</v>
      </c>
      <c r="J145" s="1" t="str">
        <f t="shared" si="16"/>
        <v>LT141</v>
      </c>
      <c r="L145" s="1" t="str">
        <f t="shared" si="17"/>
        <v>SG</v>
      </c>
      <c r="M145" s="1">
        <v>2031</v>
      </c>
      <c r="N145" s="1">
        <v>100</v>
      </c>
      <c r="O145" s="1" t="str">
        <f t="shared" si="19"/>
        <v>11+300</v>
      </c>
    </row>
    <row r="146" spans="1:15" x14ac:dyDescent="0.2">
      <c r="A146" t="s">
        <v>289</v>
      </c>
      <c r="B146" t="s">
        <v>290</v>
      </c>
      <c r="G146" s="1" t="str">
        <f t="shared" si="20"/>
        <v>104.6355</v>
      </c>
      <c r="H146" s="1" t="str">
        <f t="shared" si="21"/>
        <v xml:space="preserve"> 17.0423</v>
      </c>
      <c r="J146" s="1" t="str">
        <f>MID(B146,1,5)</f>
        <v>LT142</v>
      </c>
      <c r="L146" s="1" t="str">
        <f t="shared" si="17"/>
        <v>SG</v>
      </c>
      <c r="M146" s="1">
        <v>2031</v>
      </c>
      <c r="N146" s="1">
        <v>100</v>
      </c>
      <c r="O146" s="1" t="str">
        <f t="shared" si="19"/>
        <v>11+350</v>
      </c>
    </row>
    <row r="147" spans="1:15" x14ac:dyDescent="0.2">
      <c r="A147" t="s">
        <v>291</v>
      </c>
      <c r="B147" t="s">
        <v>292</v>
      </c>
      <c r="G147" s="1" t="str">
        <f t="shared" si="20"/>
        <v>104.6350</v>
      </c>
      <c r="H147" s="1" t="str">
        <f t="shared" si="21"/>
        <v xml:space="preserve"> 17.0424</v>
      </c>
      <c r="J147" s="1" t="str">
        <f t="shared" si="16"/>
        <v>LT143</v>
      </c>
      <c r="L147" s="1" t="str">
        <f t="shared" si="17"/>
        <v>SG</v>
      </c>
      <c r="M147" s="1">
        <v>2031</v>
      </c>
      <c r="N147" s="1">
        <v>100</v>
      </c>
      <c r="O147" s="1" t="str">
        <f t="shared" si="19"/>
        <v>11+400</v>
      </c>
    </row>
    <row r="148" spans="1:15" x14ac:dyDescent="0.2">
      <c r="A148" t="s">
        <v>293</v>
      </c>
      <c r="B148" t="s">
        <v>294</v>
      </c>
      <c r="G148" s="1" t="str">
        <f t="shared" si="20"/>
        <v>104.6347</v>
      </c>
      <c r="H148" s="1" t="str">
        <f t="shared" si="21"/>
        <v xml:space="preserve"> 17.0424</v>
      </c>
      <c r="J148" s="1" t="str">
        <f t="shared" si="16"/>
        <v>LT144</v>
      </c>
      <c r="L148" s="1" t="str">
        <f t="shared" si="17"/>
        <v>SG</v>
      </c>
      <c r="M148" s="1">
        <v>2031</v>
      </c>
      <c r="N148" s="1">
        <v>100</v>
      </c>
      <c r="O148" s="1" t="str">
        <f t="shared" si="19"/>
        <v>11+450</v>
      </c>
    </row>
    <row r="149" spans="1:15" x14ac:dyDescent="0.2">
      <c r="A149" t="s">
        <v>295</v>
      </c>
      <c r="B149" t="s">
        <v>296</v>
      </c>
      <c r="G149" s="1" t="str">
        <f t="shared" si="20"/>
        <v>104.6342</v>
      </c>
      <c r="H149" s="1" t="str">
        <f t="shared" si="21"/>
        <v xml:space="preserve"> 17.0425</v>
      </c>
      <c r="J149" s="1" t="str">
        <f t="shared" si="16"/>
        <v>LT145</v>
      </c>
      <c r="L149" s="1" t="str">
        <f t="shared" si="17"/>
        <v>SG</v>
      </c>
      <c r="M149" s="1">
        <v>2031</v>
      </c>
      <c r="N149" s="1">
        <v>100</v>
      </c>
      <c r="O149" s="1" t="str">
        <f t="shared" si="19"/>
        <v>11+500</v>
      </c>
    </row>
    <row r="150" spans="1:15" x14ac:dyDescent="0.2">
      <c r="A150" t="s">
        <v>297</v>
      </c>
      <c r="B150" t="s">
        <v>298</v>
      </c>
      <c r="G150" s="1" t="str">
        <f t="shared" si="20"/>
        <v>104.6338</v>
      </c>
      <c r="H150" s="1" t="str">
        <f>MID(A150,18,7)</f>
        <v>17.0426</v>
      </c>
      <c r="J150" s="1" t="str">
        <f t="shared" si="16"/>
        <v>LT146</v>
      </c>
      <c r="L150" s="1" t="str">
        <f t="shared" si="17"/>
        <v>SG</v>
      </c>
      <c r="M150" s="1">
        <v>2031</v>
      </c>
      <c r="N150" s="1">
        <v>100</v>
      </c>
      <c r="O150" s="1" t="str">
        <f t="shared" si="19"/>
        <v>11+550</v>
      </c>
    </row>
    <row r="151" spans="1:15" x14ac:dyDescent="0.2">
      <c r="A151" t="s">
        <v>299</v>
      </c>
      <c r="B151" t="s">
        <v>300</v>
      </c>
      <c r="G151" s="1" t="str">
        <f t="shared" si="20"/>
        <v>104.6254</v>
      </c>
      <c r="H151" s="1" t="str">
        <f t="shared" si="21"/>
        <v xml:space="preserve"> 17.0429</v>
      </c>
      <c r="J151" s="1" t="str">
        <f t="shared" si="16"/>
        <v>LT147</v>
      </c>
      <c r="L151" s="1" t="str">
        <f t="shared" si="17"/>
        <v>SG</v>
      </c>
      <c r="M151" s="1">
        <v>2031</v>
      </c>
      <c r="N151" s="1">
        <v>100</v>
      </c>
      <c r="O151" s="1" t="str">
        <f t="shared" si="19"/>
        <v>12+300</v>
      </c>
    </row>
    <row r="152" spans="1:15" x14ac:dyDescent="0.2">
      <c r="A152" t="s">
        <v>301</v>
      </c>
      <c r="B152" t="s">
        <v>302</v>
      </c>
      <c r="G152" s="1" t="str">
        <f t="shared" si="20"/>
        <v>104.6249</v>
      </c>
      <c r="H152" s="1" t="str">
        <f t="shared" si="21"/>
        <v xml:space="preserve"> 17.0429</v>
      </c>
      <c r="J152" s="1" t="str">
        <f t="shared" si="16"/>
        <v>LT148</v>
      </c>
      <c r="L152" s="1" t="str">
        <f t="shared" si="17"/>
        <v>SG</v>
      </c>
      <c r="M152" s="1">
        <v>2031</v>
      </c>
      <c r="N152" s="1">
        <v>100</v>
      </c>
      <c r="O152" s="1" t="str">
        <f t="shared" si="19"/>
        <v>12+350</v>
      </c>
    </row>
    <row r="153" spans="1:15" x14ac:dyDescent="0.2">
      <c r="A153" t="s">
        <v>303</v>
      </c>
      <c r="B153" t="s">
        <v>304</v>
      </c>
      <c r="G153" s="1" t="str">
        <f t="shared" si="20"/>
        <v>104.6244</v>
      </c>
      <c r="H153" s="1" t="str">
        <f t="shared" si="21"/>
        <v xml:space="preserve"> 17.0429</v>
      </c>
      <c r="J153" s="1" t="str">
        <f t="shared" si="16"/>
        <v>LT149</v>
      </c>
      <c r="L153" s="1" t="str">
        <f t="shared" si="17"/>
        <v>SG</v>
      </c>
      <c r="M153" s="1">
        <v>2031</v>
      </c>
      <c r="N153" s="1">
        <v>100</v>
      </c>
      <c r="O153" s="1" t="str">
        <f t="shared" si="19"/>
        <v>12+400</v>
      </c>
    </row>
    <row r="154" spans="1:15" x14ac:dyDescent="0.2">
      <c r="A154" t="s">
        <v>305</v>
      </c>
      <c r="B154" t="s">
        <v>306</v>
      </c>
      <c r="G154" s="1" t="str">
        <f t="shared" si="20"/>
        <v xml:space="preserve">104.624 </v>
      </c>
      <c r="H154" s="1" t="str">
        <f>MID(A154,16,7)</f>
        <v>17.0429</v>
      </c>
      <c r="J154" s="1" t="str">
        <f t="shared" si="16"/>
        <v>LT150</v>
      </c>
      <c r="L154" s="1" t="str">
        <f t="shared" si="17"/>
        <v>SG</v>
      </c>
      <c r="M154" s="1">
        <v>2031</v>
      </c>
      <c r="N154" s="1">
        <v>100</v>
      </c>
      <c r="O154" s="1" t="str">
        <f t="shared" si="19"/>
        <v>12+450</v>
      </c>
    </row>
    <row r="155" spans="1:15" x14ac:dyDescent="0.2">
      <c r="A155" t="s">
        <v>307</v>
      </c>
      <c r="B155" t="s">
        <v>308</v>
      </c>
      <c r="G155" s="1" t="str">
        <f t="shared" si="20"/>
        <v>104.6235</v>
      </c>
      <c r="H155" s="1" t="str">
        <f>MID(A155,18,8)</f>
        <v xml:space="preserve"> 17.0429</v>
      </c>
      <c r="J155" s="1" t="str">
        <f t="shared" si="16"/>
        <v>LT151</v>
      </c>
      <c r="L155" s="1" t="str">
        <f t="shared" si="17"/>
        <v>SG</v>
      </c>
      <c r="M155" s="1">
        <v>2031</v>
      </c>
      <c r="N155" s="1">
        <v>100</v>
      </c>
      <c r="O155" s="1" t="str">
        <f t="shared" si="19"/>
        <v>12+500</v>
      </c>
    </row>
    <row r="156" spans="1:15" x14ac:dyDescent="0.2">
      <c r="A156" t="s">
        <v>309</v>
      </c>
      <c r="B156" t="s">
        <v>310</v>
      </c>
      <c r="G156" s="1" t="str">
        <f t="shared" si="20"/>
        <v>104.6230</v>
      </c>
      <c r="H156" s="1" t="str">
        <f t="shared" si="21"/>
        <v xml:space="preserve"> 17.0429</v>
      </c>
      <c r="J156" s="1" t="str">
        <f t="shared" si="16"/>
        <v>LT152</v>
      </c>
      <c r="L156" s="1" t="str">
        <f t="shared" si="17"/>
        <v>SG</v>
      </c>
      <c r="M156" s="1">
        <v>2031</v>
      </c>
      <c r="N156" s="1">
        <v>100</v>
      </c>
      <c r="O156" s="1" t="str">
        <f t="shared" si="19"/>
        <v>12+550</v>
      </c>
    </row>
    <row r="157" spans="1:15" x14ac:dyDescent="0.2">
      <c r="A157" t="s">
        <v>311</v>
      </c>
      <c r="B157" t="s">
        <v>312</v>
      </c>
      <c r="G157" s="1" t="str">
        <f t="shared" si="20"/>
        <v>104.6226</v>
      </c>
      <c r="H157" s="1" t="str">
        <f>MID(A157,18,7)</f>
        <v>17.0430</v>
      </c>
      <c r="J157" s="1" t="str">
        <f t="shared" si="16"/>
        <v>LT153</v>
      </c>
      <c r="L157" s="1" t="str">
        <f t="shared" si="17"/>
        <v>SG</v>
      </c>
      <c r="M157" s="1">
        <v>2031</v>
      </c>
      <c r="N157" s="1">
        <v>100</v>
      </c>
      <c r="O157" s="1" t="str">
        <f t="shared" si="19"/>
        <v>12+600</v>
      </c>
    </row>
    <row r="158" spans="1:15" x14ac:dyDescent="0.2">
      <c r="A158" t="s">
        <v>313</v>
      </c>
      <c r="B158" t="s">
        <v>314</v>
      </c>
      <c r="G158" s="1" t="str">
        <f t="shared" si="20"/>
        <v>104.6222</v>
      </c>
      <c r="H158" s="1" t="str">
        <f t="shared" si="21"/>
        <v xml:space="preserve"> 17.0430</v>
      </c>
      <c r="J158" s="1" t="str">
        <f t="shared" si="16"/>
        <v>LT154</v>
      </c>
      <c r="L158" s="1" t="str">
        <f t="shared" si="17"/>
        <v>SG</v>
      </c>
      <c r="M158" s="1">
        <v>2031</v>
      </c>
      <c r="N158" s="1">
        <v>100</v>
      </c>
      <c r="O158" s="1" t="str">
        <f t="shared" si="19"/>
        <v>12+650</v>
      </c>
    </row>
    <row r="159" spans="1:15" x14ac:dyDescent="0.2">
      <c r="A159" t="s">
        <v>315</v>
      </c>
      <c r="B159" t="s">
        <v>316</v>
      </c>
      <c r="G159" s="1" t="str">
        <f t="shared" si="20"/>
        <v>104.6216</v>
      </c>
      <c r="H159" s="1" t="str">
        <f t="shared" si="21"/>
        <v xml:space="preserve"> 17.0430</v>
      </c>
      <c r="J159" s="1" t="str">
        <f t="shared" si="16"/>
        <v>LT155</v>
      </c>
      <c r="L159" s="1" t="str">
        <f t="shared" si="17"/>
        <v>SG</v>
      </c>
      <c r="M159" s="1">
        <v>2031</v>
      </c>
      <c r="N159" s="1">
        <v>100</v>
      </c>
      <c r="O159" s="1" t="str">
        <f t="shared" si="19"/>
        <v>12+700</v>
      </c>
    </row>
    <row r="160" spans="1:15" x14ac:dyDescent="0.2">
      <c r="A160" t="s">
        <v>317</v>
      </c>
      <c r="B160" t="s">
        <v>318</v>
      </c>
      <c r="G160" s="1" t="str">
        <f t="shared" si="20"/>
        <v>104.6213</v>
      </c>
      <c r="H160" s="1" t="str">
        <f t="shared" si="21"/>
        <v xml:space="preserve"> 17.0430</v>
      </c>
      <c r="J160" s="1" t="str">
        <f t="shared" si="16"/>
        <v>LT156</v>
      </c>
      <c r="L160" s="1" t="str">
        <f t="shared" si="17"/>
        <v>SG</v>
      </c>
      <c r="M160" s="1">
        <v>2031</v>
      </c>
      <c r="N160" s="1">
        <v>100</v>
      </c>
      <c r="O160" s="1" t="str">
        <f t="shared" si="19"/>
        <v>12+750</v>
      </c>
    </row>
    <row r="161" spans="1:15" x14ac:dyDescent="0.2">
      <c r="A161" t="s">
        <v>319</v>
      </c>
      <c r="B161" t="s">
        <v>320</v>
      </c>
      <c r="G161" s="1" t="str">
        <f t="shared" si="20"/>
        <v>104.6208</v>
      </c>
      <c r="H161" s="1" t="str">
        <f t="shared" si="21"/>
        <v xml:space="preserve"> 17.0429</v>
      </c>
      <c r="J161" s="1" t="str">
        <f t="shared" si="16"/>
        <v>LT157</v>
      </c>
      <c r="L161" s="1" t="str">
        <f>MID(B161,7,2)</f>
        <v>SG</v>
      </c>
      <c r="M161" s="1">
        <v>2031</v>
      </c>
      <c r="N161" s="1">
        <v>100</v>
      </c>
      <c r="O161" s="1" t="str">
        <f t="shared" si="19"/>
        <v>12+800</v>
      </c>
    </row>
    <row r="162" spans="1:15" x14ac:dyDescent="0.2">
      <c r="A162" t="s">
        <v>321</v>
      </c>
      <c r="B162" t="s">
        <v>322</v>
      </c>
      <c r="G162" s="1" t="str">
        <f t="shared" si="20"/>
        <v>104.6204</v>
      </c>
      <c r="H162" s="1" t="str">
        <f t="shared" si="21"/>
        <v xml:space="preserve"> 17.0429</v>
      </c>
      <c r="J162" s="1" t="str">
        <f t="shared" si="16"/>
        <v>LT158</v>
      </c>
      <c r="L162" s="1" t="str">
        <f t="shared" si="17"/>
        <v>SG</v>
      </c>
      <c r="M162" s="1">
        <v>2031</v>
      </c>
      <c r="N162" s="1">
        <v>100</v>
      </c>
      <c r="O162" s="1" t="str">
        <f t="shared" si="19"/>
        <v>12+850</v>
      </c>
    </row>
    <row r="163" spans="1:15" x14ac:dyDescent="0.2">
      <c r="A163" t="s">
        <v>323</v>
      </c>
      <c r="B163" t="s">
        <v>324</v>
      </c>
      <c r="G163" s="1" t="str">
        <f t="shared" si="20"/>
        <v>104.6199</v>
      </c>
      <c r="H163" s="1" t="str">
        <f t="shared" si="21"/>
        <v xml:space="preserve"> 17.0429</v>
      </c>
      <c r="J163" s="1" t="str">
        <f t="shared" si="16"/>
        <v>LT159</v>
      </c>
      <c r="L163" s="1" t="str">
        <f t="shared" si="17"/>
        <v>SG</v>
      </c>
      <c r="M163" s="1">
        <v>2031</v>
      </c>
      <c r="N163" s="1">
        <v>100</v>
      </c>
      <c r="O163" s="1" t="str">
        <f t="shared" si="19"/>
        <v>12+900</v>
      </c>
    </row>
    <row r="164" spans="1:15" x14ac:dyDescent="0.2">
      <c r="A164" t="s">
        <v>325</v>
      </c>
      <c r="B164" t="s">
        <v>326</v>
      </c>
      <c r="G164" s="1" t="str">
        <f t="shared" si="20"/>
        <v>104.6194</v>
      </c>
      <c r="H164" s="1" t="str">
        <f t="shared" si="21"/>
        <v xml:space="preserve"> 17.0429</v>
      </c>
      <c r="J164" s="1" t="str">
        <f t="shared" si="16"/>
        <v>LT160</v>
      </c>
      <c r="L164" s="1" t="str">
        <f t="shared" si="17"/>
        <v>SG</v>
      </c>
      <c r="M164" s="1">
        <v>2031</v>
      </c>
      <c r="N164" s="1">
        <v>100</v>
      </c>
      <c r="O164" s="1" t="str">
        <f t="shared" si="19"/>
        <v>12+950</v>
      </c>
    </row>
    <row r="165" spans="1:15" x14ac:dyDescent="0.2">
      <c r="A165" t="s">
        <v>327</v>
      </c>
      <c r="B165" t="s">
        <v>328</v>
      </c>
      <c r="G165" s="1" t="str">
        <f t="shared" si="20"/>
        <v>104.6190</v>
      </c>
      <c r="H165" s="1" t="str">
        <f t="shared" si="21"/>
        <v xml:space="preserve"> 17.0429</v>
      </c>
      <c r="J165" s="1" t="str">
        <f t="shared" si="16"/>
        <v>LT161</v>
      </c>
      <c r="L165" s="1" t="str">
        <f t="shared" si="17"/>
        <v>SG</v>
      </c>
      <c r="M165" s="1">
        <v>2031</v>
      </c>
      <c r="N165" s="1">
        <v>100</v>
      </c>
      <c r="O165" s="1" t="str">
        <f t="shared" si="19"/>
        <v>13+000</v>
      </c>
    </row>
    <row r="166" spans="1:15" x14ac:dyDescent="0.2">
      <c r="A166" t="s">
        <v>329</v>
      </c>
      <c r="B166" t="s">
        <v>330</v>
      </c>
      <c r="G166" s="1" t="str">
        <f t="shared" si="20"/>
        <v>104.6185</v>
      </c>
      <c r="H166" s="1" t="str">
        <f t="shared" si="21"/>
        <v xml:space="preserve"> 17.0428</v>
      </c>
      <c r="J166" s="1" t="str">
        <f t="shared" si="16"/>
        <v>LT162</v>
      </c>
      <c r="L166" s="1" t="str">
        <f t="shared" si="17"/>
        <v>SG</v>
      </c>
      <c r="M166" s="1">
        <v>2031</v>
      </c>
      <c r="N166" s="1">
        <v>100</v>
      </c>
      <c r="O166" s="1" t="str">
        <f t="shared" si="19"/>
        <v>13+050</v>
      </c>
    </row>
    <row r="167" spans="1:15" x14ac:dyDescent="0.2">
      <c r="A167" t="s">
        <v>331</v>
      </c>
      <c r="B167" t="s">
        <v>332</v>
      </c>
      <c r="G167" s="1" t="str">
        <f t="shared" si="20"/>
        <v>104.6180</v>
      </c>
      <c r="H167" s="1" t="str">
        <f t="shared" si="21"/>
        <v xml:space="preserve"> 17.0428</v>
      </c>
      <c r="J167" s="1" t="str">
        <f t="shared" si="16"/>
        <v>LT163</v>
      </c>
      <c r="L167" s="1" t="str">
        <f t="shared" si="17"/>
        <v>SG</v>
      </c>
      <c r="M167" s="1">
        <v>2031</v>
      </c>
      <c r="N167" s="1">
        <v>100</v>
      </c>
      <c r="O167" s="1" t="str">
        <f t="shared" si="19"/>
        <v>13+100</v>
      </c>
    </row>
    <row r="168" spans="1:15" x14ac:dyDescent="0.2">
      <c r="A168" t="s">
        <v>333</v>
      </c>
      <c r="B168" t="s">
        <v>334</v>
      </c>
      <c r="G168" s="1" t="str">
        <f t="shared" si="20"/>
        <v>104.6177</v>
      </c>
      <c r="H168" s="1" t="str">
        <f>MID(A168,18,7)</f>
        <v>17.0428</v>
      </c>
      <c r="J168" s="1" t="str">
        <f t="shared" si="16"/>
        <v>LT164</v>
      </c>
      <c r="L168" s="1" t="str">
        <f t="shared" si="17"/>
        <v>SG</v>
      </c>
      <c r="M168" s="1">
        <v>2031</v>
      </c>
      <c r="N168" s="1">
        <v>100</v>
      </c>
      <c r="O168" s="1" t="str">
        <f t="shared" si="19"/>
        <v>13+150</v>
      </c>
    </row>
    <row r="169" spans="1:15" x14ac:dyDescent="0.2">
      <c r="A169" t="s">
        <v>335</v>
      </c>
      <c r="B169" t="s">
        <v>336</v>
      </c>
      <c r="G169" s="1" t="str">
        <f t="shared" si="20"/>
        <v>104.6172</v>
      </c>
      <c r="H169" s="1" t="str">
        <f t="shared" si="21"/>
        <v xml:space="preserve"> 17.0427</v>
      </c>
      <c r="J169" s="1" t="str">
        <f t="shared" ref="J169:J171" si="22">MID(B169,1,5)</f>
        <v>LT165</v>
      </c>
      <c r="L169" s="1" t="str">
        <f t="shared" ref="L169:L185" si="23">MID(B169,7,2)</f>
        <v>SG</v>
      </c>
      <c r="M169" s="1">
        <v>2031</v>
      </c>
      <c r="N169" s="1">
        <v>100</v>
      </c>
      <c r="O169" s="1" t="str">
        <f t="shared" si="19"/>
        <v>13+200</v>
      </c>
    </row>
    <row r="170" spans="1:15" x14ac:dyDescent="0.2">
      <c r="A170" t="s">
        <v>337</v>
      </c>
      <c r="B170" t="s">
        <v>338</v>
      </c>
      <c r="G170" s="1" t="str">
        <f t="shared" si="20"/>
        <v>104.6166</v>
      </c>
      <c r="H170" s="1" t="str">
        <f t="shared" si="21"/>
        <v xml:space="preserve"> 17.0427</v>
      </c>
      <c r="J170" s="1" t="str">
        <f t="shared" si="22"/>
        <v>LT166</v>
      </c>
      <c r="L170" s="1" t="str">
        <f t="shared" si="23"/>
        <v>SG</v>
      </c>
      <c r="M170" s="1">
        <v>2031</v>
      </c>
      <c r="N170" s="1">
        <v>100</v>
      </c>
      <c r="O170" s="1" t="str">
        <f t="shared" si="19"/>
        <v>13+250</v>
      </c>
    </row>
    <row r="171" spans="1:15" x14ac:dyDescent="0.2">
      <c r="A171" t="s">
        <v>339</v>
      </c>
      <c r="B171" t="s">
        <v>340</v>
      </c>
      <c r="G171" s="1" t="str">
        <f t="shared" si="20"/>
        <v>104.6163</v>
      </c>
      <c r="H171" s="1" t="str">
        <f>MID(A171,17,7)</f>
        <v>17.0427</v>
      </c>
      <c r="J171" s="1" t="str">
        <f t="shared" si="22"/>
        <v>LT167</v>
      </c>
      <c r="L171" s="1" t="str">
        <f t="shared" si="23"/>
        <v>SG</v>
      </c>
      <c r="M171" s="1">
        <v>2031</v>
      </c>
      <c r="N171" s="1">
        <v>100</v>
      </c>
      <c r="O171" s="1" t="str">
        <f t="shared" si="19"/>
        <v>13+300</v>
      </c>
    </row>
    <row r="172" spans="1:15" x14ac:dyDescent="0.2">
      <c r="A172" t="s">
        <v>341</v>
      </c>
      <c r="B172" t="s">
        <v>342</v>
      </c>
      <c r="G172" s="1" t="str">
        <f t="shared" si="20"/>
        <v>104.6157</v>
      </c>
      <c r="H172" s="1" t="str">
        <f t="shared" si="21"/>
        <v xml:space="preserve"> 17.0426</v>
      </c>
      <c r="J172" s="1" t="str">
        <f>MID(B172,1,5)</f>
        <v>LT168</v>
      </c>
      <c r="L172" s="1" t="str">
        <f t="shared" si="23"/>
        <v>SG</v>
      </c>
      <c r="M172" s="1">
        <v>2031</v>
      </c>
      <c r="N172" s="1">
        <v>100</v>
      </c>
      <c r="O172" s="1" t="str">
        <f t="shared" si="19"/>
        <v>13+350</v>
      </c>
    </row>
    <row r="173" spans="1:15" x14ac:dyDescent="0.2">
      <c r="A173" t="s">
        <v>343</v>
      </c>
      <c r="B173" t="s">
        <v>344</v>
      </c>
      <c r="G173" s="1" t="str">
        <f t="shared" si="20"/>
        <v>104.6153</v>
      </c>
      <c r="H173" s="1" t="str">
        <f t="shared" si="21"/>
        <v xml:space="preserve"> 17.0425</v>
      </c>
      <c r="J173" s="1" t="str">
        <f t="shared" ref="J173:J195" si="24">MID(B173,1,5)</f>
        <v>LT169</v>
      </c>
      <c r="L173" s="1" t="str">
        <f t="shared" si="23"/>
        <v>SG</v>
      </c>
      <c r="M173" s="1">
        <v>2031</v>
      </c>
      <c r="N173" s="1">
        <v>100</v>
      </c>
      <c r="O173" s="1" t="str">
        <f t="shared" si="19"/>
        <v>13+400</v>
      </c>
    </row>
    <row r="174" spans="1:15" x14ac:dyDescent="0.2">
      <c r="A174" t="s">
        <v>345</v>
      </c>
      <c r="B174" t="s">
        <v>346</v>
      </c>
      <c r="G174" s="1" t="str">
        <f t="shared" si="20"/>
        <v>104.6150</v>
      </c>
      <c r="H174" s="1" t="str">
        <f t="shared" si="21"/>
        <v xml:space="preserve"> 17.0423</v>
      </c>
      <c r="J174" s="1" t="str">
        <f t="shared" si="24"/>
        <v>LT170</v>
      </c>
      <c r="L174" s="1" t="str">
        <f t="shared" si="23"/>
        <v>SG</v>
      </c>
      <c r="M174" s="1">
        <v>2031</v>
      </c>
      <c r="N174" s="1">
        <v>100</v>
      </c>
      <c r="O174" s="1" t="str">
        <f t="shared" si="19"/>
        <v>13+450</v>
      </c>
    </row>
    <row r="175" spans="1:15" x14ac:dyDescent="0.2">
      <c r="A175" t="s">
        <v>347</v>
      </c>
      <c r="B175" t="s">
        <v>348</v>
      </c>
      <c r="G175" s="1" t="str">
        <f t="shared" si="20"/>
        <v>104.6147</v>
      </c>
      <c r="H175" s="1" t="str">
        <f t="shared" si="21"/>
        <v xml:space="preserve"> 17.0421</v>
      </c>
      <c r="J175" s="1" t="str">
        <f t="shared" si="24"/>
        <v>LT171</v>
      </c>
      <c r="L175" s="1" t="str">
        <f t="shared" si="23"/>
        <v>SG</v>
      </c>
      <c r="M175" s="1">
        <v>2031</v>
      </c>
      <c r="N175" s="1">
        <v>100</v>
      </c>
      <c r="O175" s="1" t="str">
        <f t="shared" si="19"/>
        <v>13+500</v>
      </c>
    </row>
    <row r="176" spans="1:15" x14ac:dyDescent="0.2">
      <c r="J176" s="1" t="str">
        <f t="shared" si="24"/>
        <v/>
      </c>
      <c r="L176" s="1" t="str">
        <f t="shared" si="23"/>
        <v/>
      </c>
      <c r="M176" s="1">
        <v>2031</v>
      </c>
      <c r="N176" s="1">
        <v>100</v>
      </c>
      <c r="O176" s="1" t="str">
        <f t="shared" si="19"/>
        <v/>
      </c>
    </row>
    <row r="177" spans="1:15" x14ac:dyDescent="0.2">
      <c r="J177" s="1" t="str">
        <f t="shared" si="24"/>
        <v/>
      </c>
      <c r="L177" s="1" t="str">
        <f t="shared" si="23"/>
        <v/>
      </c>
      <c r="M177" s="1">
        <v>2031</v>
      </c>
      <c r="N177" s="1">
        <v>100</v>
      </c>
      <c r="O177" s="1" t="str">
        <f t="shared" si="19"/>
        <v/>
      </c>
    </row>
    <row r="178" spans="1:15" x14ac:dyDescent="0.2">
      <c r="A178" t="s">
        <v>349</v>
      </c>
      <c r="B178" t="s">
        <v>350</v>
      </c>
      <c r="G178" s="1" t="str">
        <f t="shared" si="20"/>
        <v>104.5964</v>
      </c>
      <c r="H178" s="1" t="str">
        <f t="shared" si="21"/>
        <v xml:space="preserve"> 17.0258</v>
      </c>
      <c r="J178" s="1" t="str">
        <f t="shared" si="24"/>
        <v>LT172</v>
      </c>
      <c r="L178" s="1" t="str">
        <f t="shared" si="23"/>
        <v>SG</v>
      </c>
      <c r="M178" s="1">
        <v>2031</v>
      </c>
      <c r="N178" s="1">
        <v>100</v>
      </c>
      <c r="O178" s="1" t="str">
        <f t="shared" si="19"/>
        <v>16+150</v>
      </c>
    </row>
    <row r="179" spans="1:15" x14ac:dyDescent="0.2">
      <c r="J179" s="1" t="str">
        <f t="shared" si="24"/>
        <v/>
      </c>
      <c r="L179" s="1" t="str">
        <f t="shared" si="23"/>
        <v/>
      </c>
      <c r="M179" s="1">
        <v>2031</v>
      </c>
      <c r="N179" s="1">
        <v>100</v>
      </c>
      <c r="O179" s="1" t="str">
        <f t="shared" si="19"/>
        <v/>
      </c>
    </row>
    <row r="180" spans="1:15" x14ac:dyDescent="0.2">
      <c r="A180" t="s">
        <v>351</v>
      </c>
      <c r="B180" t="s">
        <v>352</v>
      </c>
      <c r="G180" s="1" t="str">
        <f t="shared" si="20"/>
        <v>104.5963</v>
      </c>
      <c r="H180" s="1" t="str">
        <f t="shared" si="21"/>
        <v xml:space="preserve"> 17.0254</v>
      </c>
      <c r="J180" s="1" t="str">
        <f t="shared" si="24"/>
        <v>LT173</v>
      </c>
      <c r="L180" s="1" t="str">
        <f t="shared" si="23"/>
        <v>SG</v>
      </c>
      <c r="M180" s="1">
        <v>2031</v>
      </c>
      <c r="N180" s="1">
        <v>100</v>
      </c>
      <c r="O180" s="1" t="str">
        <f t="shared" si="19"/>
        <v>16+190</v>
      </c>
    </row>
    <row r="181" spans="1:15" x14ac:dyDescent="0.2">
      <c r="A181" t="s">
        <v>353</v>
      </c>
      <c r="B181" t="s">
        <v>354</v>
      </c>
      <c r="G181" s="1" t="str">
        <f t="shared" si="20"/>
        <v>104.5962</v>
      </c>
      <c r="H181" s="1" t="str">
        <f t="shared" si="21"/>
        <v xml:space="preserve"> 17.0251</v>
      </c>
      <c r="J181" s="1" t="str">
        <f t="shared" si="24"/>
        <v>LT174</v>
      </c>
      <c r="L181" s="1" t="str">
        <f t="shared" si="23"/>
        <v>SG</v>
      </c>
      <c r="M181" s="1">
        <v>2031</v>
      </c>
      <c r="N181" s="1">
        <v>100</v>
      </c>
      <c r="O181" s="1" t="str">
        <f t="shared" si="19"/>
        <v>16+230</v>
      </c>
    </row>
    <row r="182" spans="1:15" x14ac:dyDescent="0.2">
      <c r="A182" t="s">
        <v>355</v>
      </c>
      <c r="B182" t="s">
        <v>356</v>
      </c>
      <c r="G182" s="1" t="str">
        <f t="shared" si="20"/>
        <v>104.5961</v>
      </c>
      <c r="H182" s="1" t="str">
        <f t="shared" si="21"/>
        <v xml:space="preserve"> 17.0247</v>
      </c>
      <c r="J182" s="1" t="str">
        <f t="shared" si="24"/>
        <v>LT175</v>
      </c>
      <c r="L182" s="1" t="str">
        <f t="shared" si="23"/>
        <v>SG</v>
      </c>
      <c r="M182" s="1">
        <v>2031</v>
      </c>
      <c r="N182" s="1">
        <v>100</v>
      </c>
      <c r="O182" s="1" t="str">
        <f t="shared" si="19"/>
        <v>16+270</v>
      </c>
    </row>
    <row r="183" spans="1:15" x14ac:dyDescent="0.2">
      <c r="A183" t="s">
        <v>357</v>
      </c>
      <c r="B183" t="s">
        <v>358</v>
      </c>
      <c r="G183" s="1" t="str">
        <f t="shared" si="20"/>
        <v>104.5959</v>
      </c>
      <c r="H183" s="1" t="str">
        <f t="shared" si="21"/>
        <v xml:space="preserve"> 17.0244</v>
      </c>
      <c r="J183" s="1" t="str">
        <f t="shared" si="24"/>
        <v>LT176</v>
      </c>
      <c r="L183" s="1" t="str">
        <f t="shared" si="23"/>
        <v>SG</v>
      </c>
      <c r="M183" s="1">
        <v>2031</v>
      </c>
      <c r="N183" s="1">
        <v>100</v>
      </c>
      <c r="O183" s="1" t="str">
        <f t="shared" si="19"/>
        <v>16+310</v>
      </c>
    </row>
    <row r="184" spans="1:15" x14ac:dyDescent="0.2">
      <c r="A184" t="s">
        <v>359</v>
      </c>
      <c r="B184" t="s">
        <v>360</v>
      </c>
      <c r="G184" s="1" t="str">
        <f t="shared" si="20"/>
        <v>104.5957</v>
      </c>
      <c r="H184" s="1" t="str">
        <f t="shared" si="21"/>
        <v xml:space="preserve"> 17.0241</v>
      </c>
      <c r="J184" s="1" t="str">
        <f t="shared" si="24"/>
        <v>LT177</v>
      </c>
      <c r="L184" s="1" t="str">
        <f t="shared" si="23"/>
        <v>SG</v>
      </c>
      <c r="M184" s="1">
        <v>2031</v>
      </c>
      <c r="N184" s="1">
        <v>100</v>
      </c>
      <c r="O184" s="1" t="str">
        <f t="shared" si="19"/>
        <v>15+350</v>
      </c>
    </row>
    <row r="185" spans="1:15" x14ac:dyDescent="0.2">
      <c r="A185" t="s">
        <v>361</v>
      </c>
      <c r="B185" t="s">
        <v>362</v>
      </c>
      <c r="G185" s="1" t="str">
        <f t="shared" si="20"/>
        <v>104.5954</v>
      </c>
      <c r="H185" s="1" t="str">
        <f t="shared" si="21"/>
        <v xml:space="preserve"> 17.0238</v>
      </c>
      <c r="J185" s="1" t="str">
        <f t="shared" si="24"/>
        <v>LT178</v>
      </c>
      <c r="L185" s="1" t="str">
        <f t="shared" si="23"/>
        <v>SG</v>
      </c>
      <c r="M185" s="1">
        <v>2031</v>
      </c>
      <c r="N185" s="1">
        <v>100</v>
      </c>
      <c r="O185" s="1" t="str">
        <f t="shared" ref="O185:O248" si="25">MID(B185,15,6)</f>
        <v>16+390</v>
      </c>
    </row>
    <row r="186" spans="1:15" x14ac:dyDescent="0.2">
      <c r="A186" t="s">
        <v>363</v>
      </c>
      <c r="B186" t="s">
        <v>364</v>
      </c>
      <c r="G186" s="1" t="str">
        <f t="shared" si="20"/>
        <v>104.5951</v>
      </c>
      <c r="H186" s="1" t="str">
        <f t="shared" si="21"/>
        <v xml:space="preserve"> 17.0236</v>
      </c>
      <c r="J186" s="1" t="str">
        <f t="shared" si="24"/>
        <v>LT179</v>
      </c>
      <c r="L186" s="1" t="str">
        <f>MID(B186,7,2)</f>
        <v>SG</v>
      </c>
      <c r="M186" s="1">
        <v>2031</v>
      </c>
      <c r="N186" s="1">
        <v>100</v>
      </c>
      <c r="O186" s="1" t="str">
        <f t="shared" si="25"/>
        <v>16+430</v>
      </c>
    </row>
    <row r="187" spans="1:15" x14ac:dyDescent="0.2">
      <c r="A187" t="s">
        <v>365</v>
      </c>
      <c r="B187" t="s">
        <v>366</v>
      </c>
      <c r="G187" s="1" t="str">
        <f t="shared" si="20"/>
        <v>104.5949</v>
      </c>
      <c r="H187" s="1" t="str">
        <f t="shared" si="21"/>
        <v xml:space="preserve"> 17.0234</v>
      </c>
      <c r="J187" s="1" t="str">
        <f t="shared" si="24"/>
        <v>LT180</v>
      </c>
      <c r="L187" s="1" t="str">
        <f t="shared" ref="L187:L207" si="26">MID(B187,7,2)</f>
        <v>SG</v>
      </c>
      <c r="M187" s="1">
        <v>2031</v>
      </c>
      <c r="N187" s="1">
        <v>100</v>
      </c>
      <c r="O187" s="1" t="str">
        <f t="shared" si="25"/>
        <v>16+470</v>
      </c>
    </row>
    <row r="188" spans="1:15" x14ac:dyDescent="0.2">
      <c r="A188" t="s">
        <v>367</v>
      </c>
      <c r="B188" t="s">
        <v>368</v>
      </c>
      <c r="G188" s="1" t="str">
        <f t="shared" si="20"/>
        <v>104.5946</v>
      </c>
      <c r="H188" s="1" t="str">
        <f t="shared" si="21"/>
        <v xml:space="preserve"> 17.0231</v>
      </c>
      <c r="J188" s="1" t="str">
        <f t="shared" si="24"/>
        <v>LT181</v>
      </c>
      <c r="L188" s="1" t="str">
        <f t="shared" si="26"/>
        <v>SG</v>
      </c>
      <c r="M188" s="1">
        <v>2031</v>
      </c>
      <c r="N188" s="1">
        <v>100</v>
      </c>
      <c r="O188" s="1" t="str">
        <f t="shared" si="25"/>
        <v>16+510</v>
      </c>
    </row>
    <row r="189" spans="1:15" x14ac:dyDescent="0.2">
      <c r="A189" t="s">
        <v>369</v>
      </c>
      <c r="B189" t="s">
        <v>370</v>
      </c>
      <c r="G189" s="1" t="str">
        <f t="shared" si="20"/>
        <v>104.5943</v>
      </c>
      <c r="H189" s="1" t="str">
        <f t="shared" si="21"/>
        <v xml:space="preserve"> 17.0229</v>
      </c>
      <c r="J189" s="1" t="str">
        <f t="shared" si="24"/>
        <v>LT182</v>
      </c>
      <c r="L189" s="1" t="str">
        <f t="shared" si="26"/>
        <v>SG</v>
      </c>
      <c r="M189" s="1">
        <v>2031</v>
      </c>
      <c r="N189" s="1">
        <v>100</v>
      </c>
      <c r="O189" s="1" t="str">
        <f t="shared" si="25"/>
        <v>16+550</v>
      </c>
    </row>
    <row r="190" spans="1:15" x14ac:dyDescent="0.2">
      <c r="A190" t="s">
        <v>371</v>
      </c>
      <c r="B190" t="s">
        <v>372</v>
      </c>
      <c r="G190" s="1" t="str">
        <f t="shared" si="20"/>
        <v>104.5940</v>
      </c>
      <c r="H190" s="1" t="str">
        <f t="shared" si="21"/>
        <v xml:space="preserve"> 17.0226</v>
      </c>
      <c r="J190" s="1" t="str">
        <f t="shared" si="24"/>
        <v>LT183</v>
      </c>
      <c r="L190" s="1" t="str">
        <f t="shared" si="26"/>
        <v>SG</v>
      </c>
      <c r="M190" s="1">
        <v>2031</v>
      </c>
      <c r="N190" s="1">
        <v>100</v>
      </c>
      <c r="O190" s="1" t="str">
        <f t="shared" si="25"/>
        <v>16+590</v>
      </c>
    </row>
    <row r="191" spans="1:15" x14ac:dyDescent="0.2">
      <c r="A191" t="s">
        <v>373</v>
      </c>
      <c r="B191" t="s">
        <v>374</v>
      </c>
      <c r="G191" s="1" t="str">
        <f t="shared" si="20"/>
        <v>104.5938</v>
      </c>
      <c r="H191" s="1" t="str">
        <f t="shared" si="21"/>
        <v xml:space="preserve"> 17.0224</v>
      </c>
      <c r="J191" s="1" t="str">
        <f t="shared" si="24"/>
        <v>LT184</v>
      </c>
      <c r="L191" s="1" t="str">
        <f t="shared" si="26"/>
        <v>SG</v>
      </c>
      <c r="M191" s="1">
        <v>2031</v>
      </c>
      <c r="N191" s="1">
        <v>100</v>
      </c>
      <c r="O191" s="1" t="str">
        <f t="shared" si="25"/>
        <v>16+530</v>
      </c>
    </row>
    <row r="192" spans="1:15" x14ac:dyDescent="0.2">
      <c r="A192" t="s">
        <v>375</v>
      </c>
      <c r="B192" t="s">
        <v>376</v>
      </c>
      <c r="G192" s="1" t="str">
        <f t="shared" si="20"/>
        <v>104.5935</v>
      </c>
      <c r="H192" s="1" t="str">
        <f t="shared" si="21"/>
        <v xml:space="preserve"> 17.0221</v>
      </c>
      <c r="J192" s="1" t="str">
        <f t="shared" si="24"/>
        <v>LT185</v>
      </c>
      <c r="L192" s="1" t="str">
        <f t="shared" si="26"/>
        <v>SG</v>
      </c>
      <c r="M192" s="1">
        <v>2031</v>
      </c>
      <c r="N192" s="1">
        <v>100</v>
      </c>
      <c r="O192" s="1" t="str">
        <f t="shared" si="25"/>
        <v>16+570</v>
      </c>
    </row>
    <row r="193" spans="1:15" x14ac:dyDescent="0.2">
      <c r="A193" t="s">
        <v>377</v>
      </c>
      <c r="B193" t="s">
        <v>378</v>
      </c>
      <c r="G193" s="1" t="str">
        <f t="shared" si="20"/>
        <v>104.5932</v>
      </c>
      <c r="H193" s="1" t="str">
        <f t="shared" si="21"/>
        <v xml:space="preserve"> 17.0219</v>
      </c>
      <c r="J193" s="1" t="str">
        <f t="shared" si="24"/>
        <v>LT186</v>
      </c>
      <c r="L193" s="1" t="str">
        <f t="shared" si="26"/>
        <v>SG</v>
      </c>
      <c r="M193" s="1">
        <v>2031</v>
      </c>
      <c r="N193" s="1">
        <v>100</v>
      </c>
      <c r="O193" s="1" t="str">
        <f t="shared" si="25"/>
        <v>16+610</v>
      </c>
    </row>
    <row r="194" spans="1:15" x14ac:dyDescent="0.2">
      <c r="A194" t="s">
        <v>379</v>
      </c>
      <c r="B194" t="s">
        <v>380</v>
      </c>
      <c r="G194" s="1" t="str">
        <f t="shared" si="20"/>
        <v>104.5930</v>
      </c>
      <c r="H194" s="1" t="str">
        <f t="shared" si="21"/>
        <v xml:space="preserve"> 17.0217</v>
      </c>
      <c r="J194" s="1" t="str">
        <f t="shared" si="24"/>
        <v>LT187</v>
      </c>
      <c r="L194" s="1" t="str">
        <f t="shared" si="26"/>
        <v>SG</v>
      </c>
      <c r="M194" s="1">
        <v>2031</v>
      </c>
      <c r="N194" s="1">
        <v>100</v>
      </c>
      <c r="O194" s="1" t="str">
        <f t="shared" si="25"/>
        <v>15+650</v>
      </c>
    </row>
    <row r="195" spans="1:15" x14ac:dyDescent="0.2">
      <c r="A195" t="s">
        <v>381</v>
      </c>
      <c r="B195" t="s">
        <v>382</v>
      </c>
      <c r="G195" s="1" t="str">
        <f t="shared" ref="G195:G250" si="27">MID(A195,8,8)</f>
        <v>104.5927</v>
      </c>
      <c r="H195" s="1" t="str">
        <f t="shared" ref="H195:H250" si="28">MID(A195,18,8)</f>
        <v xml:space="preserve"> 17.0215</v>
      </c>
      <c r="J195" s="1" t="str">
        <f t="shared" si="24"/>
        <v>LT188</v>
      </c>
      <c r="L195" s="1" t="str">
        <f t="shared" si="26"/>
        <v>SG</v>
      </c>
      <c r="M195" s="1">
        <v>2031</v>
      </c>
      <c r="N195" s="1">
        <v>100</v>
      </c>
      <c r="O195" s="1" t="str">
        <f t="shared" si="25"/>
        <v>16+690</v>
      </c>
    </row>
    <row r="196" spans="1:15" x14ac:dyDescent="0.2">
      <c r="A196" t="s">
        <v>383</v>
      </c>
      <c r="B196" t="s">
        <v>384</v>
      </c>
      <c r="G196" s="1" t="str">
        <f t="shared" si="27"/>
        <v>104.5925</v>
      </c>
      <c r="H196" s="1" t="str">
        <f t="shared" si="28"/>
        <v xml:space="preserve"> 17.0213</v>
      </c>
      <c r="J196" s="1" t="str">
        <f>MID(B196,1,5)</f>
        <v>LT189</v>
      </c>
      <c r="L196" s="1" t="str">
        <f t="shared" si="26"/>
        <v>SG</v>
      </c>
      <c r="M196" s="1">
        <v>2031</v>
      </c>
      <c r="N196" s="1">
        <v>100</v>
      </c>
      <c r="O196" s="1" t="str">
        <f t="shared" si="25"/>
        <v>16+730</v>
      </c>
    </row>
    <row r="197" spans="1:15" x14ac:dyDescent="0.2">
      <c r="A197" t="s">
        <v>385</v>
      </c>
      <c r="B197" t="s">
        <v>386</v>
      </c>
      <c r="G197" s="1" t="str">
        <f t="shared" si="27"/>
        <v>104.5923</v>
      </c>
      <c r="H197" s="1" t="str">
        <f t="shared" si="28"/>
        <v xml:space="preserve"> 17.0211</v>
      </c>
      <c r="J197" s="1" t="str">
        <f t="shared" ref="J197:J220" si="29">MID(B197,1,5)</f>
        <v>LT190</v>
      </c>
      <c r="L197" s="1" t="str">
        <f t="shared" si="26"/>
        <v>SG</v>
      </c>
      <c r="M197" s="1">
        <v>2031</v>
      </c>
      <c r="N197" s="1">
        <v>100</v>
      </c>
      <c r="O197" s="1" t="str">
        <f t="shared" si="25"/>
        <v>16+810</v>
      </c>
    </row>
    <row r="198" spans="1:15" x14ac:dyDescent="0.2">
      <c r="A198" t="s">
        <v>387</v>
      </c>
      <c r="B198" t="s">
        <v>388</v>
      </c>
      <c r="G198" s="1" t="str">
        <f t="shared" si="27"/>
        <v>104.5920</v>
      </c>
      <c r="H198" s="1" t="str">
        <f t="shared" si="28"/>
        <v xml:space="preserve"> 17.0208</v>
      </c>
      <c r="J198" s="1" t="str">
        <f t="shared" si="29"/>
        <v>LT191</v>
      </c>
      <c r="L198" s="1" t="str">
        <f t="shared" si="26"/>
        <v>SG</v>
      </c>
      <c r="M198" s="1">
        <v>2031</v>
      </c>
      <c r="N198" s="1">
        <v>100</v>
      </c>
      <c r="O198" s="1" t="str">
        <f t="shared" si="25"/>
        <v>16+850</v>
      </c>
    </row>
    <row r="199" spans="1:15" x14ac:dyDescent="0.2">
      <c r="A199" t="s">
        <v>389</v>
      </c>
      <c r="B199" t="s">
        <v>390</v>
      </c>
      <c r="G199" s="1" t="str">
        <f t="shared" si="27"/>
        <v>104.5917</v>
      </c>
      <c r="H199" s="1" t="str">
        <f t="shared" si="28"/>
        <v xml:space="preserve"> 17.0206</v>
      </c>
      <c r="J199" s="1" t="str">
        <f t="shared" si="29"/>
        <v>LT192</v>
      </c>
      <c r="L199" s="1" t="str">
        <f t="shared" si="26"/>
        <v>SG</v>
      </c>
      <c r="M199" s="1">
        <v>2031</v>
      </c>
      <c r="N199" s="1">
        <v>100</v>
      </c>
      <c r="O199" s="1" t="str">
        <f t="shared" si="25"/>
        <v>16+890</v>
      </c>
    </row>
    <row r="200" spans="1:15" x14ac:dyDescent="0.2">
      <c r="A200" t="s">
        <v>391</v>
      </c>
      <c r="B200" t="s">
        <v>392</v>
      </c>
      <c r="G200" s="1" t="str">
        <f t="shared" si="27"/>
        <v>104.5915</v>
      </c>
      <c r="H200" s="1" t="str">
        <f t="shared" si="28"/>
        <v xml:space="preserve"> 17.0204</v>
      </c>
      <c r="J200" s="1" t="str">
        <f t="shared" si="29"/>
        <v>LT194</v>
      </c>
      <c r="L200" s="1" t="str">
        <f t="shared" si="26"/>
        <v>SG</v>
      </c>
      <c r="M200" s="1">
        <v>2031</v>
      </c>
      <c r="N200" s="1">
        <v>100</v>
      </c>
      <c r="O200" s="1" t="str">
        <f t="shared" si="25"/>
        <v>16+950</v>
      </c>
    </row>
    <row r="201" spans="1:15" x14ac:dyDescent="0.2">
      <c r="A201" t="s">
        <v>393</v>
      </c>
      <c r="B201" t="s">
        <v>394</v>
      </c>
      <c r="G201" s="1" t="str">
        <f t="shared" si="27"/>
        <v>104.5911</v>
      </c>
      <c r="H201" s="1" t="str">
        <f t="shared" si="28"/>
        <v xml:space="preserve"> 17.0200</v>
      </c>
      <c r="J201" s="1" t="str">
        <f t="shared" si="29"/>
        <v>LT195</v>
      </c>
      <c r="L201" s="1" t="str">
        <f t="shared" si="26"/>
        <v>SG</v>
      </c>
      <c r="M201" s="1">
        <v>2031</v>
      </c>
      <c r="N201" s="1">
        <v>100</v>
      </c>
      <c r="O201" s="1" t="str">
        <f t="shared" si="25"/>
        <v>17+030</v>
      </c>
    </row>
    <row r="202" spans="1:15" x14ac:dyDescent="0.2">
      <c r="A202" t="s">
        <v>395</v>
      </c>
      <c r="B202" t="s">
        <v>396</v>
      </c>
      <c r="G202" s="1" t="str">
        <f t="shared" si="27"/>
        <v>104.5869</v>
      </c>
      <c r="H202" s="1" t="str">
        <f t="shared" si="28"/>
        <v xml:space="preserve"> 17.0152</v>
      </c>
      <c r="J202" s="1" t="str">
        <f t="shared" si="29"/>
        <v>LT196</v>
      </c>
      <c r="L202" s="1" t="str">
        <f t="shared" si="26"/>
        <v>SG</v>
      </c>
      <c r="M202" s="1">
        <v>2031</v>
      </c>
      <c r="N202" s="1">
        <v>100</v>
      </c>
      <c r="O202" s="1" t="str">
        <f t="shared" si="25"/>
        <v>17+700</v>
      </c>
    </row>
    <row r="203" spans="1:15" x14ac:dyDescent="0.2">
      <c r="A203" t="s">
        <v>397</v>
      </c>
      <c r="B203" t="s">
        <v>398</v>
      </c>
      <c r="G203" s="1" t="str">
        <f t="shared" si="27"/>
        <v>104.5867</v>
      </c>
      <c r="H203" s="1" t="str">
        <f t="shared" si="28"/>
        <v xml:space="preserve"> 17.0149</v>
      </c>
      <c r="J203" s="1" t="str">
        <f t="shared" si="29"/>
        <v>LT197</v>
      </c>
      <c r="L203" s="1" t="str">
        <f t="shared" si="26"/>
        <v>SG</v>
      </c>
      <c r="M203" s="1">
        <v>2031</v>
      </c>
      <c r="N203" s="1">
        <v>100</v>
      </c>
      <c r="O203" s="1" t="str">
        <f t="shared" si="25"/>
        <v>17+735</v>
      </c>
    </row>
    <row r="204" spans="1:15" x14ac:dyDescent="0.2">
      <c r="A204" t="s">
        <v>399</v>
      </c>
      <c r="B204" t="s">
        <v>400</v>
      </c>
      <c r="G204" s="1" t="str">
        <f t="shared" si="27"/>
        <v>104.5864</v>
      </c>
      <c r="H204" s="1" t="str">
        <f t="shared" si="28"/>
        <v xml:space="preserve"> 17.0147</v>
      </c>
      <c r="J204" s="1" t="str">
        <f t="shared" si="29"/>
        <v>LT198</v>
      </c>
      <c r="L204" s="1" t="str">
        <f t="shared" si="26"/>
        <v>SG</v>
      </c>
      <c r="M204" s="1">
        <v>2031</v>
      </c>
      <c r="N204" s="1">
        <v>100</v>
      </c>
      <c r="O204" s="1" t="str">
        <f t="shared" si="25"/>
        <v>17+770</v>
      </c>
    </row>
    <row r="205" spans="1:15" x14ac:dyDescent="0.2">
      <c r="A205" t="s">
        <v>401</v>
      </c>
      <c r="B205" t="s">
        <v>402</v>
      </c>
      <c r="G205" s="1" t="str">
        <f t="shared" si="27"/>
        <v>104.5862</v>
      </c>
      <c r="H205" s="1" t="str">
        <f t="shared" si="28"/>
        <v xml:space="preserve"> 17.0145</v>
      </c>
      <c r="J205" s="1" t="str">
        <f t="shared" si="29"/>
        <v>LT199</v>
      </c>
      <c r="L205" s="1" t="str">
        <f t="shared" si="26"/>
        <v>SG</v>
      </c>
      <c r="M205" s="1">
        <v>2031</v>
      </c>
      <c r="N205" s="1">
        <v>100</v>
      </c>
      <c r="O205" s="1" t="str">
        <f t="shared" si="25"/>
        <v>17+810</v>
      </c>
    </row>
    <row r="206" spans="1:15" x14ac:dyDescent="0.2">
      <c r="A206" t="s">
        <v>403</v>
      </c>
      <c r="B206" t="s">
        <v>404</v>
      </c>
      <c r="G206" s="1" t="str">
        <f t="shared" si="27"/>
        <v>104.5859</v>
      </c>
      <c r="H206" s="1" t="str">
        <f t="shared" si="28"/>
        <v xml:space="preserve"> 17.0143</v>
      </c>
      <c r="J206" s="1" t="str">
        <f t="shared" si="29"/>
        <v>LT200</v>
      </c>
      <c r="L206" s="1" t="str">
        <f t="shared" si="26"/>
        <v>SG</v>
      </c>
      <c r="M206" s="1">
        <v>2031</v>
      </c>
      <c r="N206" s="1">
        <v>100</v>
      </c>
      <c r="O206" s="1" t="str">
        <f t="shared" si="25"/>
        <v>17+845</v>
      </c>
    </row>
    <row r="207" spans="1:15" x14ac:dyDescent="0.2">
      <c r="A207" t="s">
        <v>405</v>
      </c>
      <c r="B207" t="s">
        <v>406</v>
      </c>
      <c r="G207" s="1" t="str">
        <f t="shared" si="27"/>
        <v>104.5856</v>
      </c>
      <c r="H207" s="1" t="str">
        <f t="shared" si="28"/>
        <v xml:space="preserve"> 17.0142</v>
      </c>
      <c r="J207" s="1" t="str">
        <f t="shared" si="29"/>
        <v>LT201</v>
      </c>
      <c r="L207" s="1" t="str">
        <f t="shared" si="26"/>
        <v>SG</v>
      </c>
      <c r="M207" s="1">
        <v>2031</v>
      </c>
      <c r="N207" s="1">
        <v>100</v>
      </c>
      <c r="O207" s="1" t="str">
        <f t="shared" si="25"/>
        <v>17+890</v>
      </c>
    </row>
    <row r="208" spans="1:15" x14ac:dyDescent="0.2">
      <c r="A208" t="s">
        <v>407</v>
      </c>
      <c r="B208" t="s">
        <v>408</v>
      </c>
      <c r="G208" s="1" t="str">
        <f t="shared" si="27"/>
        <v>104.5853</v>
      </c>
      <c r="H208" s="1" t="str">
        <f t="shared" si="28"/>
        <v xml:space="preserve"> 17.0140</v>
      </c>
      <c r="J208" s="1" t="str">
        <f t="shared" si="29"/>
        <v>LT202</v>
      </c>
      <c r="L208" s="1" t="str">
        <f>MID(B208,7,2)</f>
        <v>SG</v>
      </c>
      <c r="M208" s="1">
        <v>2031</v>
      </c>
      <c r="N208" s="1">
        <v>100</v>
      </c>
      <c r="O208" s="1" t="str">
        <f t="shared" si="25"/>
        <v>17+945</v>
      </c>
    </row>
    <row r="209" spans="1:15" x14ac:dyDescent="0.2">
      <c r="A209" t="s">
        <v>409</v>
      </c>
      <c r="B209" t="s">
        <v>410</v>
      </c>
      <c r="G209" s="1" t="str">
        <f t="shared" si="27"/>
        <v>104.5850</v>
      </c>
      <c r="H209" s="1" t="str">
        <f t="shared" si="28"/>
        <v xml:space="preserve"> 17.0139</v>
      </c>
      <c r="J209" s="1" t="str">
        <f t="shared" si="29"/>
        <v>LT203</v>
      </c>
      <c r="L209" s="1" t="str">
        <f t="shared" ref="L209:L224" si="30">MID(B209,7,2)</f>
        <v>SG</v>
      </c>
      <c r="M209" s="1">
        <v>2031</v>
      </c>
      <c r="N209" s="1">
        <v>100</v>
      </c>
      <c r="O209" s="1" t="str">
        <f t="shared" si="25"/>
        <v>17+980</v>
      </c>
    </row>
    <row r="210" spans="1:15" x14ac:dyDescent="0.2">
      <c r="A210" t="s">
        <v>411</v>
      </c>
      <c r="B210" t="s">
        <v>412</v>
      </c>
      <c r="G210" s="1" t="str">
        <f t="shared" si="27"/>
        <v>104.5847</v>
      </c>
      <c r="H210" s="1" t="str">
        <f t="shared" si="28"/>
        <v xml:space="preserve"> 17.0137</v>
      </c>
      <c r="J210" s="1" t="str">
        <f t="shared" si="29"/>
        <v>LT204</v>
      </c>
      <c r="L210" s="1" t="str">
        <f t="shared" si="30"/>
        <v>SG</v>
      </c>
      <c r="M210" s="1">
        <v>2031</v>
      </c>
      <c r="N210" s="1">
        <v>100</v>
      </c>
      <c r="O210" s="1" t="str">
        <f t="shared" si="25"/>
        <v>18+020</v>
      </c>
    </row>
    <row r="211" spans="1:15" x14ac:dyDescent="0.2">
      <c r="A211" t="s">
        <v>413</v>
      </c>
      <c r="B211" t="s">
        <v>414</v>
      </c>
      <c r="G211" s="1" t="str">
        <f t="shared" si="27"/>
        <v>104.5844</v>
      </c>
      <c r="H211" s="1" t="str">
        <f t="shared" si="28"/>
        <v xml:space="preserve"> 17.0135</v>
      </c>
      <c r="J211" s="1" t="str">
        <f t="shared" si="29"/>
        <v>LT205</v>
      </c>
      <c r="L211" s="1" t="str">
        <f t="shared" si="30"/>
        <v>SG</v>
      </c>
      <c r="M211" s="1">
        <v>2031</v>
      </c>
      <c r="N211" s="1">
        <v>100</v>
      </c>
      <c r="O211" s="1" t="str">
        <f t="shared" si="25"/>
        <v>18+055</v>
      </c>
    </row>
    <row r="212" spans="1:15" x14ac:dyDescent="0.2">
      <c r="A212" t="s">
        <v>415</v>
      </c>
      <c r="B212" t="s">
        <v>416</v>
      </c>
      <c r="G212" s="1" t="str">
        <f t="shared" si="27"/>
        <v>104.5680</v>
      </c>
      <c r="H212" s="1" t="str">
        <f t="shared" si="28"/>
        <v xml:space="preserve"> 17.0129</v>
      </c>
      <c r="J212" s="1" t="str">
        <f t="shared" si="29"/>
        <v>LT206</v>
      </c>
      <c r="L212" s="1" t="str">
        <f t="shared" si="30"/>
        <v>SG</v>
      </c>
      <c r="M212" s="1">
        <v>2031</v>
      </c>
      <c r="N212" s="1">
        <v>100</v>
      </c>
      <c r="O212" s="1" t="str">
        <f t="shared" si="25"/>
        <v>19+800</v>
      </c>
    </row>
    <row r="213" spans="1:15" x14ac:dyDescent="0.2">
      <c r="J213" s="1" t="str">
        <f t="shared" si="29"/>
        <v/>
      </c>
      <c r="L213" s="1" t="str">
        <f t="shared" si="30"/>
        <v/>
      </c>
      <c r="M213" s="1">
        <v>2031</v>
      </c>
      <c r="N213" s="1">
        <v>100</v>
      </c>
      <c r="O213" s="1" t="str">
        <f t="shared" si="25"/>
        <v/>
      </c>
    </row>
    <row r="214" spans="1:15" x14ac:dyDescent="0.2">
      <c r="A214" t="s">
        <v>417</v>
      </c>
      <c r="B214" t="s">
        <v>418</v>
      </c>
      <c r="G214" s="1" t="str">
        <f t="shared" si="27"/>
        <v>104.5677</v>
      </c>
      <c r="H214" s="1" t="str">
        <f t="shared" si="28"/>
        <v xml:space="preserve"> 17.0130</v>
      </c>
      <c r="J214" s="1" t="str">
        <f t="shared" si="29"/>
        <v>LT207</v>
      </c>
      <c r="L214" s="1" t="str">
        <f t="shared" si="30"/>
        <v>SG</v>
      </c>
      <c r="M214" s="1">
        <v>2031</v>
      </c>
      <c r="N214" s="1">
        <v>100</v>
      </c>
      <c r="O214" s="1" t="str">
        <f t="shared" si="25"/>
        <v>19+835</v>
      </c>
    </row>
    <row r="215" spans="1:15" x14ac:dyDescent="0.2">
      <c r="A215" t="s">
        <v>419</v>
      </c>
      <c r="B215" t="s">
        <v>420</v>
      </c>
      <c r="G215" s="1" t="str">
        <f t="shared" si="27"/>
        <v>104.5674</v>
      </c>
      <c r="H215" s="1" t="str">
        <f t="shared" si="28"/>
        <v xml:space="preserve"> 17.0130</v>
      </c>
      <c r="J215" s="1" t="str">
        <f t="shared" si="29"/>
        <v>LT208</v>
      </c>
      <c r="L215" s="1" t="str">
        <f t="shared" si="30"/>
        <v>SG</v>
      </c>
      <c r="M215" s="1">
        <v>2031</v>
      </c>
      <c r="N215" s="1">
        <v>100</v>
      </c>
      <c r="O215" s="1" t="str">
        <f t="shared" si="25"/>
        <v>19+870</v>
      </c>
    </row>
    <row r="216" spans="1:15" x14ac:dyDescent="0.2">
      <c r="A216" t="s">
        <v>421</v>
      </c>
      <c r="B216" t="s">
        <v>422</v>
      </c>
      <c r="G216" s="1" t="str">
        <f t="shared" si="27"/>
        <v>104.5672</v>
      </c>
      <c r="H216" s="1" t="str">
        <f t="shared" si="28"/>
        <v xml:space="preserve"> 17.0131</v>
      </c>
      <c r="J216" s="1" t="str">
        <f t="shared" si="29"/>
        <v>LT209</v>
      </c>
      <c r="L216" s="1" t="str">
        <f t="shared" si="30"/>
        <v>SG</v>
      </c>
      <c r="M216" s="1">
        <v>2031</v>
      </c>
      <c r="N216" s="1">
        <v>100</v>
      </c>
      <c r="O216" s="1" t="str">
        <f t="shared" si="25"/>
        <v>19+905</v>
      </c>
    </row>
    <row r="217" spans="1:15" x14ac:dyDescent="0.2">
      <c r="A217" t="s">
        <v>423</v>
      </c>
      <c r="B217" t="s">
        <v>424</v>
      </c>
      <c r="G217" s="1" t="str">
        <f t="shared" si="27"/>
        <v>104.5670</v>
      </c>
      <c r="H217" s="1" t="str">
        <f t="shared" si="28"/>
        <v xml:space="preserve"> 17.0131</v>
      </c>
      <c r="J217" s="1" t="str">
        <f t="shared" si="29"/>
        <v>LT210</v>
      </c>
      <c r="L217" s="1" t="str">
        <f t="shared" si="30"/>
        <v>SG</v>
      </c>
      <c r="M217" s="1">
        <v>2031</v>
      </c>
      <c r="N217" s="1">
        <v>100</v>
      </c>
      <c r="O217" s="1" t="str">
        <f t="shared" si="25"/>
        <v>19+945</v>
      </c>
    </row>
    <row r="218" spans="1:15" x14ac:dyDescent="0.2">
      <c r="A218" t="s">
        <v>425</v>
      </c>
      <c r="B218" t="s">
        <v>426</v>
      </c>
      <c r="G218" s="1" t="str">
        <f t="shared" si="27"/>
        <v>104.5666</v>
      </c>
      <c r="H218" s="1" t="str">
        <f t="shared" si="28"/>
        <v xml:space="preserve"> 17.0132</v>
      </c>
      <c r="J218" s="1" t="str">
        <f t="shared" si="29"/>
        <v>LT211</v>
      </c>
      <c r="L218" s="1" t="str">
        <f t="shared" si="30"/>
        <v>SG</v>
      </c>
      <c r="M218" s="1">
        <v>2031</v>
      </c>
      <c r="N218" s="1">
        <v>100</v>
      </c>
      <c r="O218" s="1" t="str">
        <f t="shared" si="25"/>
        <v>19+980</v>
      </c>
    </row>
    <row r="219" spans="1:15" x14ac:dyDescent="0.2">
      <c r="A219" t="s">
        <v>427</v>
      </c>
      <c r="B219" t="s">
        <v>428</v>
      </c>
      <c r="G219" s="1" t="str">
        <f t="shared" si="27"/>
        <v>104.5664</v>
      </c>
      <c r="H219" s="1" t="str">
        <f t="shared" si="28"/>
        <v xml:space="preserve"> 17.0132</v>
      </c>
      <c r="J219" s="1" t="str">
        <f t="shared" si="29"/>
        <v>LT212</v>
      </c>
      <c r="L219" s="1" t="str">
        <f t="shared" si="30"/>
        <v>SG</v>
      </c>
      <c r="M219" s="1">
        <v>2031</v>
      </c>
      <c r="N219" s="1">
        <v>100</v>
      </c>
      <c r="O219" s="1" t="str">
        <f t="shared" si="25"/>
        <v>20+015</v>
      </c>
    </row>
    <row r="220" spans="1:15" x14ac:dyDescent="0.2">
      <c r="A220" t="s">
        <v>429</v>
      </c>
      <c r="B220" t="s">
        <v>430</v>
      </c>
      <c r="G220" s="1" t="str">
        <f t="shared" si="27"/>
        <v>104.5661</v>
      </c>
      <c r="H220" s="1" t="str">
        <f t="shared" si="28"/>
        <v xml:space="preserve"> 17.0133</v>
      </c>
      <c r="J220" s="1" t="str">
        <f t="shared" si="29"/>
        <v>LT213</v>
      </c>
      <c r="L220" s="1" t="str">
        <f t="shared" si="30"/>
        <v>SG</v>
      </c>
      <c r="M220" s="1">
        <v>2031</v>
      </c>
      <c r="N220" s="1">
        <v>100</v>
      </c>
      <c r="O220" s="1" t="str">
        <f t="shared" si="25"/>
        <v>20+050</v>
      </c>
    </row>
    <row r="221" spans="1:15" x14ac:dyDescent="0.2">
      <c r="A221" t="s">
        <v>431</v>
      </c>
      <c r="B221" t="s">
        <v>432</v>
      </c>
      <c r="G221" s="1" t="str">
        <f t="shared" si="27"/>
        <v>104.5658</v>
      </c>
      <c r="H221" s="1" t="str">
        <f t="shared" si="28"/>
        <v xml:space="preserve"> 17.0134</v>
      </c>
      <c r="J221" s="1" t="str">
        <f>MID(B221,1,5)</f>
        <v>LT214</v>
      </c>
      <c r="L221" s="1" t="str">
        <f t="shared" si="30"/>
        <v>SG</v>
      </c>
      <c r="M221" s="1">
        <v>2031</v>
      </c>
      <c r="N221" s="1">
        <v>100</v>
      </c>
      <c r="O221" s="1" t="str">
        <f t="shared" si="25"/>
        <v>20+085</v>
      </c>
    </row>
    <row r="222" spans="1:15" x14ac:dyDescent="0.2">
      <c r="A222" t="s">
        <v>433</v>
      </c>
      <c r="B222" t="s">
        <v>434</v>
      </c>
      <c r="G222" s="1" t="str">
        <f t="shared" si="27"/>
        <v>104.5655</v>
      </c>
      <c r="H222" s="1" t="str">
        <f t="shared" si="28"/>
        <v xml:space="preserve"> 17.0134</v>
      </c>
      <c r="J222" s="1" t="str">
        <f t="shared" ref="J222:J247" si="31">MID(B222,1,5)</f>
        <v>LT215</v>
      </c>
      <c r="L222" s="1" t="str">
        <f t="shared" si="30"/>
        <v>SG</v>
      </c>
      <c r="M222" s="1">
        <v>2031</v>
      </c>
      <c r="N222" s="1">
        <v>100</v>
      </c>
      <c r="O222" s="1" t="str">
        <f t="shared" si="25"/>
        <v>20+120</v>
      </c>
    </row>
    <row r="223" spans="1:15" x14ac:dyDescent="0.2">
      <c r="A223" t="s">
        <v>435</v>
      </c>
      <c r="B223" t="s">
        <v>436</v>
      </c>
      <c r="G223" s="1" t="str">
        <f t="shared" si="27"/>
        <v>104.5653</v>
      </c>
      <c r="H223" s="1" t="str">
        <f t="shared" si="28"/>
        <v xml:space="preserve"> 17.0135</v>
      </c>
      <c r="J223" s="1" t="str">
        <f t="shared" si="31"/>
        <v>LT216</v>
      </c>
      <c r="L223" s="1" t="str">
        <f t="shared" si="30"/>
        <v>SG</v>
      </c>
      <c r="M223" s="1">
        <v>2031</v>
      </c>
      <c r="N223" s="1">
        <v>100</v>
      </c>
      <c r="O223" s="1" t="str">
        <f t="shared" si="25"/>
        <v>20+145</v>
      </c>
    </row>
    <row r="224" spans="1:15" x14ac:dyDescent="0.2">
      <c r="A224" t="s">
        <v>437</v>
      </c>
      <c r="B224" t="s">
        <v>438</v>
      </c>
      <c r="G224" s="1" t="str">
        <f t="shared" si="27"/>
        <v>104.5650</v>
      </c>
      <c r="H224" s="1" t="str">
        <f>MID(A224,18,7)</f>
        <v>17.0135</v>
      </c>
      <c r="J224" s="1" t="str">
        <f t="shared" si="31"/>
        <v>LT217</v>
      </c>
      <c r="L224" s="1" t="str">
        <f t="shared" si="30"/>
        <v>SG</v>
      </c>
      <c r="M224" s="1">
        <v>2031</v>
      </c>
      <c r="N224" s="1">
        <v>100</v>
      </c>
      <c r="O224" s="1" t="str">
        <f t="shared" si="25"/>
        <v>20+180</v>
      </c>
    </row>
    <row r="225" spans="1:15" x14ac:dyDescent="0.2">
      <c r="A225" t="s">
        <v>439</v>
      </c>
      <c r="B225" t="s">
        <v>440</v>
      </c>
      <c r="G225" s="1" t="str">
        <f t="shared" si="27"/>
        <v>104.5646</v>
      </c>
      <c r="H225" s="1" t="str">
        <f>MID(A225,18,7)</f>
        <v>17.0137</v>
      </c>
      <c r="I225" s="1" t="str">
        <f t="shared" ref="I225:I231" si="32">MID(B225,1,3)</f>
        <v>CL3</v>
      </c>
      <c r="K225" s="1" t="str">
        <f t="shared" ref="K225:K231" si="33">MID(B225,5,2)</f>
        <v>DB</v>
      </c>
      <c r="M225" s="1">
        <v>2031</v>
      </c>
      <c r="N225" s="1">
        <v>100</v>
      </c>
      <c r="O225" s="1" t="str">
        <f>MID(B225,13,6)</f>
        <v>20+200</v>
      </c>
    </row>
    <row r="226" spans="1:15" x14ac:dyDescent="0.2">
      <c r="A226" t="s">
        <v>441</v>
      </c>
      <c r="B226" t="s">
        <v>442</v>
      </c>
      <c r="G226" s="1" t="str">
        <f t="shared" si="27"/>
        <v>104.5644</v>
      </c>
      <c r="H226" s="1" t="str">
        <f>MID(A226,18,7)</f>
        <v>17.0137</v>
      </c>
      <c r="I226" s="1" t="str">
        <f t="shared" si="32"/>
        <v>CL4</v>
      </c>
      <c r="K226" s="1" t="str">
        <f t="shared" si="33"/>
        <v>DB</v>
      </c>
      <c r="M226" s="1">
        <v>2031</v>
      </c>
      <c r="N226" s="1">
        <v>100</v>
      </c>
      <c r="O226" s="1" t="str">
        <f t="shared" ref="O226:O231" si="34">MID(B226,13,6)</f>
        <v>20+235</v>
      </c>
    </row>
    <row r="227" spans="1:15" x14ac:dyDescent="0.2">
      <c r="A227" t="s">
        <v>443</v>
      </c>
      <c r="B227" t="s">
        <v>444</v>
      </c>
      <c r="G227" s="1" t="str">
        <f t="shared" si="27"/>
        <v>104.5641</v>
      </c>
      <c r="H227" s="1" t="str">
        <f t="shared" si="28"/>
        <v xml:space="preserve"> 17.0138</v>
      </c>
      <c r="I227" s="1" t="str">
        <f t="shared" si="32"/>
        <v>CL5</v>
      </c>
      <c r="K227" s="1" t="str">
        <f t="shared" si="33"/>
        <v>DB</v>
      </c>
      <c r="M227" s="1">
        <v>2031</v>
      </c>
      <c r="N227" s="1">
        <v>100</v>
      </c>
      <c r="O227" s="1" t="str">
        <f t="shared" si="34"/>
        <v>20+270</v>
      </c>
    </row>
    <row r="228" spans="1:15" x14ac:dyDescent="0.2">
      <c r="A228" t="s">
        <v>445</v>
      </c>
      <c r="B228" t="s">
        <v>446</v>
      </c>
      <c r="G228" s="1" t="str">
        <f t="shared" si="27"/>
        <v>104.5638</v>
      </c>
      <c r="H228" s="1" t="str">
        <f t="shared" si="28"/>
        <v xml:space="preserve"> 17.0139</v>
      </c>
      <c r="I228" s="1" t="str">
        <f t="shared" si="32"/>
        <v>CL6</v>
      </c>
      <c r="K228" s="1" t="str">
        <f t="shared" si="33"/>
        <v>DB</v>
      </c>
      <c r="M228" s="1">
        <v>2031</v>
      </c>
      <c r="N228" s="1">
        <v>100</v>
      </c>
      <c r="O228" s="1" t="str">
        <f t="shared" si="34"/>
        <v>20+305</v>
      </c>
    </row>
    <row r="229" spans="1:15" x14ac:dyDescent="0.2">
      <c r="A229" t="s">
        <v>447</v>
      </c>
      <c r="B229" t="s">
        <v>448</v>
      </c>
      <c r="G229" s="1" t="str">
        <f t="shared" si="27"/>
        <v>104.5635</v>
      </c>
      <c r="H229" s="1" t="str">
        <f t="shared" si="28"/>
        <v xml:space="preserve"> 17.0139</v>
      </c>
      <c r="I229" s="1" t="str">
        <f t="shared" si="32"/>
        <v>CL7</v>
      </c>
      <c r="K229" s="1" t="str">
        <f t="shared" si="33"/>
        <v>DB</v>
      </c>
      <c r="M229" s="1">
        <v>2031</v>
      </c>
      <c r="N229" s="1">
        <v>100</v>
      </c>
      <c r="O229" s="1" t="str">
        <f t="shared" si="34"/>
        <v>20+240</v>
      </c>
    </row>
    <row r="230" spans="1:15" x14ac:dyDescent="0.2">
      <c r="A230" t="s">
        <v>449</v>
      </c>
      <c r="B230" t="s">
        <v>450</v>
      </c>
      <c r="G230" s="1" t="str">
        <f t="shared" si="27"/>
        <v>104.5632</v>
      </c>
      <c r="H230" s="1" t="str">
        <f t="shared" si="28"/>
        <v xml:space="preserve"> 17.0140</v>
      </c>
      <c r="I230" s="1" t="str">
        <f t="shared" si="32"/>
        <v>CL8</v>
      </c>
      <c r="K230" s="1" t="str">
        <f t="shared" si="33"/>
        <v>DB</v>
      </c>
      <c r="M230" s="1">
        <v>2031</v>
      </c>
      <c r="N230" s="1">
        <v>100</v>
      </c>
      <c r="O230" s="1" t="str">
        <f t="shared" si="34"/>
        <v>20+375</v>
      </c>
    </row>
    <row r="231" spans="1:15" x14ac:dyDescent="0.2">
      <c r="A231" t="s">
        <v>451</v>
      </c>
      <c r="B231" t="s">
        <v>452</v>
      </c>
      <c r="G231" s="1" t="str">
        <f t="shared" si="27"/>
        <v>104.5629</v>
      </c>
      <c r="H231" s="1" t="str">
        <f t="shared" si="28"/>
        <v xml:space="preserve"> 17.0141</v>
      </c>
      <c r="I231" s="1" t="str">
        <f t="shared" si="32"/>
        <v>CL9</v>
      </c>
      <c r="K231" s="1" t="str">
        <f t="shared" si="33"/>
        <v>DB</v>
      </c>
      <c r="M231" s="1">
        <v>2031</v>
      </c>
      <c r="N231" s="1">
        <v>100</v>
      </c>
      <c r="O231" s="1" t="str">
        <f t="shared" si="34"/>
        <v>20+415</v>
      </c>
    </row>
    <row r="232" spans="1:15" x14ac:dyDescent="0.2">
      <c r="A232" t="s">
        <v>453</v>
      </c>
      <c r="B232" t="s">
        <v>454</v>
      </c>
      <c r="G232" s="1" t="str">
        <f t="shared" si="27"/>
        <v>104.5626</v>
      </c>
      <c r="H232" s="1" t="str">
        <f t="shared" si="28"/>
        <v xml:space="preserve"> 17.0141</v>
      </c>
      <c r="I232" s="1" t="str">
        <f t="shared" ref="I232:I241" si="35">MID(B232,1,4)</f>
        <v>CL10</v>
      </c>
      <c r="K232" s="1" t="str">
        <f t="shared" ref="K232:K241" si="36">MID(B232,6,2)</f>
        <v>DB</v>
      </c>
      <c r="M232" s="1">
        <v>2031</v>
      </c>
      <c r="N232" s="1">
        <v>100</v>
      </c>
      <c r="O232" s="1" t="str">
        <f>MID(B232,14,6)</f>
        <v>20+450</v>
      </c>
    </row>
    <row r="233" spans="1:15" x14ac:dyDescent="0.2">
      <c r="A233" t="s">
        <v>455</v>
      </c>
      <c r="B233" t="s">
        <v>456</v>
      </c>
      <c r="G233" s="1" t="str">
        <f t="shared" si="27"/>
        <v>104.5623</v>
      </c>
      <c r="H233" s="1" t="str">
        <f t="shared" si="28"/>
        <v xml:space="preserve"> 17.0142</v>
      </c>
      <c r="I233" s="1" t="str">
        <f t="shared" si="35"/>
        <v>CL11</v>
      </c>
      <c r="K233" s="1" t="str">
        <f t="shared" si="36"/>
        <v>DB</v>
      </c>
      <c r="M233" s="1">
        <v>2031</v>
      </c>
      <c r="N233" s="1">
        <v>100</v>
      </c>
      <c r="O233" s="1" t="str">
        <f t="shared" ref="O233:O241" si="37">MID(B233,14,6)</f>
        <v>20+485</v>
      </c>
    </row>
    <row r="234" spans="1:15" x14ac:dyDescent="0.2">
      <c r="A234" t="s">
        <v>457</v>
      </c>
      <c r="B234" t="s">
        <v>458</v>
      </c>
      <c r="G234" s="1" t="str">
        <f t="shared" si="27"/>
        <v>104.5620</v>
      </c>
      <c r="H234" s="1" t="str">
        <f t="shared" si="28"/>
        <v xml:space="preserve"> 17.0142</v>
      </c>
      <c r="I234" s="1" t="str">
        <f t="shared" si="35"/>
        <v>CL12</v>
      </c>
      <c r="K234" s="1" t="str">
        <f t="shared" si="36"/>
        <v>DB</v>
      </c>
      <c r="M234" s="1">
        <v>2031</v>
      </c>
      <c r="N234" s="1">
        <v>100</v>
      </c>
      <c r="O234" s="1" t="str">
        <f t="shared" si="37"/>
        <v>20+515</v>
      </c>
    </row>
    <row r="235" spans="1:15" x14ac:dyDescent="0.2">
      <c r="A235" t="s">
        <v>459</v>
      </c>
      <c r="B235" t="s">
        <v>460</v>
      </c>
      <c r="G235" s="1" t="str">
        <f t="shared" si="27"/>
        <v>104.5617</v>
      </c>
      <c r="H235" s="1" t="str">
        <f t="shared" si="28"/>
        <v xml:space="preserve"> 17.0143</v>
      </c>
      <c r="I235" s="1" t="str">
        <f t="shared" si="35"/>
        <v>CL13</v>
      </c>
      <c r="K235" s="1" t="str">
        <f t="shared" si="36"/>
        <v>DB</v>
      </c>
      <c r="M235" s="1">
        <v>2031</v>
      </c>
      <c r="N235" s="1">
        <v>100</v>
      </c>
      <c r="O235" s="1" t="str">
        <f t="shared" si="37"/>
        <v>20+550</v>
      </c>
    </row>
    <row r="236" spans="1:15" x14ac:dyDescent="0.2">
      <c r="A236" t="s">
        <v>461</v>
      </c>
      <c r="B236" t="s">
        <v>462</v>
      </c>
      <c r="G236" s="1" t="str">
        <f t="shared" si="27"/>
        <v>104.5615</v>
      </c>
      <c r="H236" s="1" t="str">
        <f t="shared" si="28"/>
        <v xml:space="preserve"> 17.0143</v>
      </c>
      <c r="I236" s="1" t="str">
        <f t="shared" si="35"/>
        <v>CL14</v>
      </c>
      <c r="K236" s="1" t="str">
        <f t="shared" si="36"/>
        <v>DB</v>
      </c>
      <c r="M236" s="1">
        <v>2031</v>
      </c>
      <c r="N236" s="1">
        <v>100</v>
      </c>
      <c r="O236" s="1" t="str">
        <f t="shared" si="37"/>
        <v>20+585</v>
      </c>
    </row>
    <row r="237" spans="1:15" x14ac:dyDescent="0.2">
      <c r="A237" t="s">
        <v>463</v>
      </c>
      <c r="B237" t="s">
        <v>464</v>
      </c>
      <c r="G237" s="1" t="str">
        <f t="shared" si="27"/>
        <v>104.5612</v>
      </c>
      <c r="H237" s="1" t="str">
        <f t="shared" si="28"/>
        <v xml:space="preserve"> 17.0144</v>
      </c>
      <c r="I237" s="1" t="str">
        <f t="shared" si="35"/>
        <v>CL15</v>
      </c>
      <c r="K237" s="1" t="str">
        <f t="shared" si="36"/>
        <v>DB</v>
      </c>
      <c r="M237" s="1">
        <v>2031</v>
      </c>
      <c r="N237" s="1">
        <v>100</v>
      </c>
      <c r="O237" s="1" t="str">
        <f t="shared" si="37"/>
        <v>20+615</v>
      </c>
    </row>
    <row r="238" spans="1:15" x14ac:dyDescent="0.2">
      <c r="A238" t="s">
        <v>465</v>
      </c>
      <c r="B238" t="s">
        <v>466</v>
      </c>
      <c r="G238" s="1" t="str">
        <f t="shared" si="27"/>
        <v>104.5609</v>
      </c>
      <c r="H238" s="1" t="str">
        <f t="shared" si="28"/>
        <v xml:space="preserve"> 17.0145</v>
      </c>
      <c r="I238" s="1" t="str">
        <f t="shared" si="35"/>
        <v>CL16</v>
      </c>
      <c r="K238" s="1" t="str">
        <f t="shared" si="36"/>
        <v>DB</v>
      </c>
      <c r="M238" s="1">
        <v>2031</v>
      </c>
      <c r="N238" s="1">
        <v>100</v>
      </c>
      <c r="O238" s="1" t="str">
        <f t="shared" si="37"/>
        <v>20+650</v>
      </c>
    </row>
    <row r="239" spans="1:15" x14ac:dyDescent="0.2">
      <c r="A239" t="s">
        <v>467</v>
      </c>
      <c r="B239" t="s">
        <v>468</v>
      </c>
      <c r="G239" s="1" t="str">
        <f t="shared" si="27"/>
        <v>104.5606</v>
      </c>
      <c r="H239" s="1" t="str">
        <f t="shared" si="28"/>
        <v xml:space="preserve"> 17.0145</v>
      </c>
      <c r="I239" s="1" t="str">
        <f t="shared" si="35"/>
        <v>CL17</v>
      </c>
      <c r="K239" s="1" t="str">
        <f t="shared" si="36"/>
        <v>DB</v>
      </c>
      <c r="M239" s="1">
        <v>2031</v>
      </c>
      <c r="N239" s="1">
        <v>100</v>
      </c>
      <c r="O239" s="1" t="str">
        <f t="shared" si="37"/>
        <v>20+685</v>
      </c>
    </row>
    <row r="240" spans="1:15" x14ac:dyDescent="0.2">
      <c r="A240" t="s">
        <v>469</v>
      </c>
      <c r="B240" t="s">
        <v>470</v>
      </c>
      <c r="G240" s="1" t="str">
        <f t="shared" si="27"/>
        <v>104.5603</v>
      </c>
      <c r="H240" s="1" t="str">
        <f t="shared" si="28"/>
        <v xml:space="preserve"> 17.0146</v>
      </c>
      <c r="I240" s="1" t="str">
        <f t="shared" si="35"/>
        <v>CL18</v>
      </c>
      <c r="K240" s="1" t="str">
        <f t="shared" si="36"/>
        <v>DB</v>
      </c>
      <c r="M240" s="1">
        <v>2031</v>
      </c>
      <c r="N240" s="1">
        <v>100</v>
      </c>
      <c r="O240" s="1" t="str">
        <f t="shared" si="37"/>
        <v>20+715</v>
      </c>
    </row>
    <row r="241" spans="1:15" x14ac:dyDescent="0.2">
      <c r="A241" t="s">
        <v>471</v>
      </c>
      <c r="B241" t="s">
        <v>472</v>
      </c>
      <c r="G241" s="1" t="str">
        <f t="shared" si="27"/>
        <v>104.5601</v>
      </c>
      <c r="H241" s="1" t="str">
        <f t="shared" si="28"/>
        <v xml:space="preserve"> 17.0146</v>
      </c>
      <c r="I241" s="1" t="str">
        <f t="shared" si="35"/>
        <v>CL19</v>
      </c>
      <c r="K241" s="1" t="str">
        <f t="shared" si="36"/>
        <v>DB</v>
      </c>
      <c r="M241" s="1">
        <v>2031</v>
      </c>
      <c r="N241" s="1">
        <v>100</v>
      </c>
      <c r="O241" s="1" t="str">
        <f t="shared" si="37"/>
        <v>20+730</v>
      </c>
    </row>
    <row r="242" spans="1:15" x14ac:dyDescent="0.2">
      <c r="A242" t="s">
        <v>473</v>
      </c>
      <c r="B242" t="s">
        <v>474</v>
      </c>
      <c r="G242" s="1" t="str">
        <f t="shared" si="27"/>
        <v>104.5597</v>
      </c>
      <c r="H242" s="1" t="str">
        <f t="shared" si="28"/>
        <v xml:space="preserve"> 17.0146</v>
      </c>
      <c r="J242" s="1" t="str">
        <f t="shared" si="31"/>
        <v>LT218</v>
      </c>
      <c r="L242" s="1" t="str">
        <f>MID(B242,7,2)</f>
        <v>SG</v>
      </c>
      <c r="M242" s="1">
        <v>2031</v>
      </c>
      <c r="N242" s="1">
        <v>100</v>
      </c>
      <c r="O242" s="1" t="str">
        <f t="shared" si="25"/>
        <v>20+750</v>
      </c>
    </row>
    <row r="243" spans="1:15" x14ac:dyDescent="0.2">
      <c r="A243" t="s">
        <v>475</v>
      </c>
      <c r="B243" t="s">
        <v>476</v>
      </c>
      <c r="G243" s="1" t="str">
        <f t="shared" si="27"/>
        <v>104.5594</v>
      </c>
      <c r="H243" s="1" t="str">
        <f t="shared" si="28"/>
        <v xml:space="preserve"> 17.0147</v>
      </c>
      <c r="J243" s="1" t="str">
        <f t="shared" si="31"/>
        <v>LT219</v>
      </c>
      <c r="L243" s="1" t="str">
        <f t="shared" ref="L243:L250" si="38">MID(B243,7,2)</f>
        <v>SG</v>
      </c>
      <c r="M243" s="1">
        <v>2031</v>
      </c>
      <c r="N243" s="1">
        <v>100</v>
      </c>
      <c r="O243" s="1" t="str">
        <f t="shared" si="25"/>
        <v>20+785</v>
      </c>
    </row>
    <row r="244" spans="1:15" x14ac:dyDescent="0.2">
      <c r="A244" t="s">
        <v>477</v>
      </c>
      <c r="B244" t="s">
        <v>478</v>
      </c>
      <c r="G244" s="1" t="str">
        <f t="shared" si="27"/>
        <v>104.5592</v>
      </c>
      <c r="H244" s="1" t="str">
        <f t="shared" si="28"/>
        <v xml:space="preserve"> 17.0147</v>
      </c>
      <c r="J244" s="1" t="str">
        <f t="shared" si="31"/>
        <v>LT220</v>
      </c>
      <c r="L244" s="1" t="str">
        <f t="shared" si="38"/>
        <v>SG</v>
      </c>
      <c r="M244" s="1">
        <v>2031</v>
      </c>
      <c r="N244" s="1">
        <v>100</v>
      </c>
      <c r="O244" s="1" t="str">
        <f t="shared" si="25"/>
        <v>20+820</v>
      </c>
    </row>
    <row r="245" spans="1:15" x14ac:dyDescent="0.2">
      <c r="A245" t="s">
        <v>479</v>
      </c>
      <c r="B245" t="s">
        <v>480</v>
      </c>
      <c r="G245" s="1" t="str">
        <f t="shared" si="27"/>
        <v>104.5589</v>
      </c>
      <c r="H245" s="1" t="str">
        <f t="shared" si="28"/>
        <v xml:space="preserve"> 17.0148</v>
      </c>
      <c r="J245" s="1" t="str">
        <f t="shared" si="31"/>
        <v>LT221</v>
      </c>
      <c r="L245" s="1" t="str">
        <f t="shared" si="38"/>
        <v>SG</v>
      </c>
      <c r="M245" s="1">
        <v>2031</v>
      </c>
      <c r="N245" s="1">
        <v>100</v>
      </c>
      <c r="O245" s="1" t="str">
        <f t="shared" si="25"/>
        <v>20+855</v>
      </c>
    </row>
    <row r="246" spans="1:15" x14ac:dyDescent="0.2">
      <c r="A246" t="s">
        <v>481</v>
      </c>
      <c r="B246" t="s">
        <v>482</v>
      </c>
      <c r="G246" s="1" t="str">
        <f t="shared" si="27"/>
        <v>104.5420</v>
      </c>
      <c r="H246" s="1" t="str">
        <f>MID(A246,18,7)</f>
        <v>17.0187</v>
      </c>
      <c r="J246" s="1" t="str">
        <f t="shared" si="31"/>
        <v>LT222</v>
      </c>
      <c r="L246" s="1" t="str">
        <f t="shared" si="38"/>
        <v>SG</v>
      </c>
      <c r="M246" s="1">
        <v>2031</v>
      </c>
      <c r="N246" s="1">
        <v>100</v>
      </c>
      <c r="O246" s="1" t="str">
        <f t="shared" si="25"/>
        <v>22+700</v>
      </c>
    </row>
    <row r="247" spans="1:15" x14ac:dyDescent="0.2">
      <c r="A247" t="s">
        <v>483</v>
      </c>
      <c r="B247" t="s">
        <v>484</v>
      </c>
      <c r="G247" s="1" t="str">
        <f t="shared" si="27"/>
        <v>104.5414</v>
      </c>
      <c r="H247" s="1" t="str">
        <f t="shared" si="28"/>
        <v xml:space="preserve"> 17.0187</v>
      </c>
      <c r="J247" s="1" t="str">
        <f t="shared" si="31"/>
        <v>LT223</v>
      </c>
      <c r="L247" s="1" t="str">
        <f t="shared" si="38"/>
        <v>SG</v>
      </c>
      <c r="M247" s="1">
        <v>2031</v>
      </c>
      <c r="N247" s="1">
        <v>100</v>
      </c>
      <c r="O247" s="1" t="str">
        <f t="shared" si="25"/>
        <v>22+735</v>
      </c>
    </row>
    <row r="248" spans="1:15" x14ac:dyDescent="0.2">
      <c r="A248" t="s">
        <v>485</v>
      </c>
      <c r="B248" t="s">
        <v>486</v>
      </c>
      <c r="G248" s="1" t="str">
        <f t="shared" si="27"/>
        <v>104.5405</v>
      </c>
      <c r="H248" s="1" t="str">
        <f t="shared" si="28"/>
        <v xml:space="preserve"> 17.0188</v>
      </c>
      <c r="J248" s="1" t="str">
        <f>MID(B248,1,5)</f>
        <v>LT224</v>
      </c>
      <c r="L248" s="1" t="str">
        <f t="shared" si="38"/>
        <v>SG</v>
      </c>
      <c r="M248" s="1">
        <v>2031</v>
      </c>
      <c r="N248" s="1">
        <v>100</v>
      </c>
      <c r="O248" s="1" t="str">
        <f t="shared" si="25"/>
        <v>22+830</v>
      </c>
    </row>
    <row r="249" spans="1:15" x14ac:dyDescent="0.2">
      <c r="A249" t="s">
        <v>487</v>
      </c>
      <c r="B249" t="s">
        <v>488</v>
      </c>
      <c r="G249" s="1" t="str">
        <f t="shared" si="27"/>
        <v>104.5402</v>
      </c>
      <c r="H249" s="1" t="str">
        <f t="shared" si="28"/>
        <v xml:space="preserve"> 17.0188</v>
      </c>
      <c r="J249" s="1" t="str">
        <f t="shared" ref="J249:J250" si="39">MID(B249,1,5)</f>
        <v>LT225</v>
      </c>
      <c r="L249" s="1" t="str">
        <f t="shared" si="38"/>
        <v>SG</v>
      </c>
      <c r="M249" s="1">
        <v>2031</v>
      </c>
      <c r="N249" s="1">
        <v>100</v>
      </c>
      <c r="O249" s="1" t="str">
        <f t="shared" ref="O249:O250" si="40">MID(B249,15,6)</f>
        <v>22+865</v>
      </c>
    </row>
    <row r="250" spans="1:15" x14ac:dyDescent="0.2">
      <c r="A250" t="s">
        <v>489</v>
      </c>
      <c r="B250" t="s">
        <v>490</v>
      </c>
      <c r="G250" s="1" t="str">
        <f t="shared" si="27"/>
        <v>104.5397</v>
      </c>
      <c r="H250" s="1" t="str">
        <f t="shared" si="28"/>
        <v xml:space="preserve"> 17.0189</v>
      </c>
      <c r="J250" s="1" t="str">
        <f t="shared" si="39"/>
        <v>LT226</v>
      </c>
      <c r="L250" s="1" t="str">
        <f t="shared" si="38"/>
        <v>SG</v>
      </c>
      <c r="M250" s="1">
        <v>2031</v>
      </c>
      <c r="N250" s="1">
        <v>100</v>
      </c>
      <c r="O250" s="1" t="str">
        <f t="shared" si="40"/>
        <v>22+900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DATA CSV หมวดปลาปาก 2031 ซ้าย</vt:lpstr>
      <vt:lpstr>แผนที่ที่ไม่มีชื่อ- 2031  ซ้ายท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NongAum</dc:creator>
  <cp:lastModifiedBy>AUM_HumNoi</cp:lastModifiedBy>
  <dcterms:created xsi:type="dcterms:W3CDTF">2023-06-26T07:41:45Z</dcterms:created>
  <dcterms:modified xsi:type="dcterms:W3CDTF">2023-06-29T07:27:33Z</dcterms:modified>
</cp:coreProperties>
</file>