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M_HumNoi\OneDrive\เดสก์ท็อป\ปรักหมุด อุ้ม หมวดปลาปาก\"/>
    </mc:Choice>
  </mc:AlternateContent>
  <xr:revisionPtr revIDLastSave="0" documentId="13_ncr:1_{FC527926-1C63-467E-88A1-6DA84CA9B8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CSV หมวดปลาปาก 2031 ขวา" sheetId="2" r:id="rId1"/>
    <sheet name="แผนที่ที่ไม่มีชื่อ- 2031" sheetId="1" r:id="rId2"/>
  </sheets>
  <calcPr calcId="181029"/>
</workbook>
</file>

<file path=xl/calcChain.xml><?xml version="1.0" encoding="utf-8"?>
<calcChain xmlns="http://schemas.openxmlformats.org/spreadsheetml/2006/main">
  <c r="N155" i="1" l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154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03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1" i="1"/>
  <c r="N3" i="1"/>
  <c r="N4" i="1"/>
  <c r="N5" i="1"/>
  <c r="N6" i="1"/>
  <c r="N7" i="1"/>
  <c r="N8" i="1"/>
  <c r="N9" i="1"/>
  <c r="N10" i="1"/>
  <c r="N2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103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1" i="1"/>
  <c r="M3" i="1"/>
  <c r="M4" i="1"/>
  <c r="M5" i="1"/>
  <c r="M6" i="1"/>
  <c r="M7" i="1"/>
  <c r="M8" i="1"/>
  <c r="M9" i="1"/>
  <c r="M10" i="1"/>
  <c r="M2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103" i="1"/>
  <c r="L96" i="1"/>
  <c r="L97" i="1"/>
  <c r="L98" i="1"/>
  <c r="L99" i="1"/>
  <c r="L100" i="1"/>
  <c r="L101" i="1"/>
  <c r="L10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11" i="1"/>
  <c r="L3" i="1"/>
  <c r="L4" i="1"/>
  <c r="L5" i="1"/>
  <c r="L6" i="1"/>
  <c r="L7" i="1"/>
  <c r="L8" i="1"/>
  <c r="L9" i="1"/>
  <c r="L10" i="1"/>
  <c r="L2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103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1" i="1"/>
  <c r="K3" i="1"/>
  <c r="K4" i="1"/>
  <c r="K5" i="1"/>
  <c r="K6" i="1"/>
  <c r="K7" i="1"/>
  <c r="K8" i="1"/>
  <c r="K9" i="1"/>
  <c r="K10" i="1"/>
  <c r="K2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103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1" i="1"/>
  <c r="J3" i="1"/>
  <c r="J4" i="1"/>
  <c r="J5" i="1"/>
  <c r="J6" i="1"/>
  <c r="J7" i="1"/>
  <c r="J8" i="1"/>
  <c r="J9" i="1"/>
  <c r="J10" i="1"/>
  <c r="J2" i="1"/>
  <c r="H260" i="1"/>
  <c r="H237" i="1"/>
  <c r="H235" i="1"/>
  <c r="H227" i="1"/>
  <c r="H217" i="1"/>
  <c r="H216" i="1"/>
  <c r="H208" i="1"/>
  <c r="H198" i="1"/>
  <c r="H195" i="1"/>
  <c r="H174" i="1"/>
  <c r="H170" i="1"/>
  <c r="H155" i="1"/>
  <c r="H123" i="1"/>
  <c r="H106" i="1"/>
  <c r="H105" i="1"/>
  <c r="H100" i="1"/>
  <c r="H88" i="1"/>
  <c r="H76" i="1"/>
  <c r="H74" i="1"/>
  <c r="H38" i="1"/>
  <c r="H32" i="1"/>
  <c r="H28" i="1"/>
  <c r="H23" i="1"/>
  <c r="H14" i="1"/>
  <c r="H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G24" i="1"/>
  <c r="H24" i="1"/>
  <c r="G25" i="1"/>
  <c r="H25" i="1"/>
  <c r="G26" i="1"/>
  <c r="H26" i="1"/>
  <c r="G27" i="1"/>
  <c r="H27" i="1"/>
  <c r="G28" i="1"/>
  <c r="G29" i="1"/>
  <c r="H29" i="1"/>
  <c r="G30" i="1"/>
  <c r="H30" i="1"/>
  <c r="G31" i="1"/>
  <c r="H31" i="1"/>
  <c r="G32" i="1"/>
  <c r="G33" i="1"/>
  <c r="H33" i="1"/>
  <c r="G34" i="1"/>
  <c r="H34" i="1"/>
  <c r="G35" i="1"/>
  <c r="H35" i="1"/>
  <c r="G36" i="1"/>
  <c r="H36" i="1"/>
  <c r="G37" i="1"/>
  <c r="H37" i="1"/>
  <c r="G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G75" i="1"/>
  <c r="H75" i="1"/>
  <c r="G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G101" i="1"/>
  <c r="H101" i="1"/>
  <c r="G102" i="1"/>
  <c r="H102" i="1"/>
  <c r="G103" i="1"/>
  <c r="H103" i="1"/>
  <c r="G104" i="1"/>
  <c r="H104" i="1"/>
  <c r="G105" i="1"/>
  <c r="G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G171" i="1"/>
  <c r="H171" i="1"/>
  <c r="G172" i="1"/>
  <c r="H172" i="1"/>
  <c r="G173" i="1"/>
  <c r="H173" i="1"/>
  <c r="G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G196" i="1"/>
  <c r="H196" i="1"/>
  <c r="G197" i="1"/>
  <c r="H197" i="1"/>
  <c r="G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G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G236" i="1"/>
  <c r="H236" i="1"/>
  <c r="G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" i="1"/>
</calcChain>
</file>

<file path=xl/sharedStrings.xml><?xml version="1.0" encoding="utf-8"?>
<sst xmlns="http://schemas.openxmlformats.org/spreadsheetml/2006/main" count="2431" uniqueCount="1515">
  <si>
    <t>WKT</t>
  </si>
  <si>
    <t>เธเธทเนเธญ</t>
  </si>
  <si>
    <t>เธเธณเธญเธเธดเธเธฒเธข</t>
  </si>
  <si>
    <t>POINT (104.72753 17.018105 147.41)</t>
  </si>
  <si>
    <t>RT1-SG-2031-0100-0+025</t>
  </si>
  <si>
    <t>POINT (104.727297 17.018352 147.55)</t>
  </si>
  <si>
    <t>RT2-SG-2031-0100-0+060</t>
  </si>
  <si>
    <t>POINT (104.726957 17.018564 0.0)</t>
  </si>
  <si>
    <t>RT3-SG-2031-0100-0+100</t>
  </si>
  <si>
    <t>POINT (104.726522 17.018778 0.0)</t>
  </si>
  <si>
    <t>RT4-SG-2031-0100-0+150</t>
  </si>
  <si>
    <t>POINT (104.726066 17.019023 0.0)</t>
  </si>
  <si>
    <t>RT5-SG-2031-0100-0+200</t>
  </si>
  <si>
    <t>POINT (104.725639 17.019265 144.49)</t>
  </si>
  <si>
    <t>RT6-SG-2031-0100-0+250</t>
  </si>
  <si>
    <t>POINT (104.725163 17.019528 143.37)</t>
  </si>
  <si>
    <t>RT7-SG-2031-0100-0+300</t>
  </si>
  <si>
    <t>POINT (104.724757 17.019762 142.4)</t>
  </si>
  <si>
    <t>RT8-SG-2031-0100-0+350</t>
  </si>
  <si>
    <t>POINT (104.724364 17.019972 143.59)</t>
  </si>
  <si>
    <t>RT9-SG-2031-0100-0+400</t>
  </si>
  <si>
    <t>POINT (104.723932 17.020197 143.64)</t>
  </si>
  <si>
    <t>RT10-SG-2031-0100-0+450</t>
  </si>
  <si>
    <t>POINT (104.723508 17.02042 141.68)</t>
  </si>
  <si>
    <t>RT11-SG-2031-0100-0+500</t>
  </si>
  <si>
    <t>POINT (104.723044 17.020668 143.17)</t>
  </si>
  <si>
    <t>RT12-SG-2031-0100-0+550</t>
  </si>
  <si>
    <t>POINT (104.72265 17.020867 144.01)</t>
  </si>
  <si>
    <t>RT13-SG-2031-0100-0+600</t>
  </si>
  <si>
    <t>POINT (104.722238 17.021088 145.9)</t>
  </si>
  <si>
    <t>RT14-SG-2031-0100-0+650</t>
  </si>
  <si>
    <t>POINT (104.721784 17.021334 144.23)</t>
  </si>
  <si>
    <t>RT15-SG-2031-0100-0+700</t>
  </si>
  <si>
    <t>POINT (104.721412 17.021555 143.63)</t>
  </si>
  <si>
    <t>RT16-SG-2031-0100-0+750</t>
  </si>
  <si>
    <t>POINT (104.720945 17.021803 141.28)</t>
  </si>
  <si>
    <t>RT17-SG-2031-0100-0+800</t>
  </si>
  <si>
    <t>POINT (104.720537 17.022043 140.66)</t>
  </si>
  <si>
    <t>RT18-SG-2031-0100-0+850</t>
  </si>
  <si>
    <t>POINT (104.720105 17.022278 142.79)</t>
  </si>
  <si>
    <t>RT19-SG-2031-0100-0+900</t>
  </si>
  <si>
    <t>POINT (104.719675 17.02256 142.54)</t>
  </si>
  <si>
    <t>RT20-SG-2031-0100-0+995</t>
  </si>
  <si>
    <t>POINT (104.719296 17.022829 142.61)</t>
  </si>
  <si>
    <t>RT21-SG-2031-0100-1+035</t>
  </si>
  <si>
    <t>POINT (104.71886 17.02317 140.71)</t>
  </si>
  <si>
    <t>RT22-SG-2031-0100-1+070</t>
  </si>
  <si>
    <t>POINT (104.718467 17.023451 0.0)</t>
  </si>
  <si>
    <t>RT23-SG-2031-0100-1+120</t>
  </si>
  <si>
    <t>POINT (104.718168 17.023654 0.0)</t>
  </si>
  <si>
    <t>RT24-SG-2031-0100-1+170</t>
  </si>
  <si>
    <t>POINT (104.717906 17.023853 0.0)</t>
  </si>
  <si>
    <t>RT25-SG-2031-0100-1+220</t>
  </si>
  <si>
    <t>POINT (104.717647 17.02404 0.0)</t>
  </si>
  <si>
    <t>RT26-SG-2031-0100-1+270</t>
  </si>
  <si>
    <t>POINT (104.71736 17.024264 0.0)</t>
  </si>
  <si>
    <t>RT27-SG-2031-0100-1+320</t>
  </si>
  <si>
    <t>POINT (104.717099 17.024451 0.0)</t>
  </si>
  <si>
    <t>RT28-SG-2031-0100-1+370</t>
  </si>
  <si>
    <t>POINT (104.716829 17.024659 143.03)</t>
  </si>
  <si>
    <t>RT29-SG-2031-0100-1+420</t>
  </si>
  <si>
    <t>POINT (104.716544 17.024871 142.75)</t>
  </si>
  <si>
    <t>RT30-SG-2031-0100-1+470</t>
  </si>
  <si>
    <t>POINT (104.71626 17.025078 142.5)</t>
  </si>
  <si>
    <t>RT31-SG-2031-0100-1+520</t>
  </si>
  <si>
    <t>POINT (104.715732 17.025486 142.83)</t>
  </si>
  <si>
    <t>RT32-SG-2031-0100-1+580</t>
  </si>
  <si>
    <t>POINT (104.715936 17.025333 142.75)</t>
  </si>
  <si>
    <t>RT31-SG-2031-0100-1+570</t>
  </si>
  <si>
    <t>POINT (104.712703 17.027725 0.0)</t>
  </si>
  <si>
    <t>RT32-SG-2031-0100-1+920</t>
  </si>
  <si>
    <t>POINT (104.712412 17.02796 0.0)</t>
  </si>
  <si>
    <t>RT33-SG-2031-0100-1+960</t>
  </si>
  <si>
    <t>POINT (104.712119 17.028195 0.0)</t>
  </si>
  <si>
    <t>RT34-SG-2031-0100-2+000</t>
  </si>
  <si>
    <t>POINT (104.71182 17.028431 0.0)</t>
  </si>
  <si>
    <t>RT35-SG-2031-0100-2+040</t>
  </si>
  <si>
    <t>POINT (104.711521 17.028677 0.0)</t>
  </si>
  <si>
    <t>RT36-SG-2031-0100-2+080</t>
  </si>
  <si>
    <t>POINT (104.711071 17.029021 0.0)</t>
  </si>
  <si>
    <t>RT37-SG-2031-0100-2+120</t>
  </si>
  <si>
    <t>POINT (104.710162 17.029771 0.0)</t>
  </si>
  <si>
    <t>RT38-SG-2031-0100-2+250</t>
  </si>
  <si>
    <t>POINT (104.709684 17.030183 0.0)</t>
  </si>
  <si>
    <t>RT39-SG-2031-0100-2+290</t>
  </si>
  <si>
    <t>POINT (104.709178 17.030592 0.0)</t>
  </si>
  <si>
    <t>RT40-SG-2031-0100-2+330</t>
  </si>
  <si>
    <t>POINT (104.708859 17.03087 151.03)</t>
  </si>
  <si>
    <t>RT41-SG-2031-0100-2+370</t>
  </si>
  <si>
    <t>POINT (104.708532 17.031113 0.0)</t>
  </si>
  <si>
    <t>RT42-SG-2031-0100-2+410</t>
  </si>
  <si>
    <t>POINT (104.708005 17.03154 0.0)</t>
  </si>
  <si>
    <t>RT43-SG-2031-0100-2+450</t>
  </si>
  <si>
    <t>POINT (104.707783 17.031717 0.0)</t>
  </si>
  <si>
    <t>RT44-SG-2031-0100-2+490</t>
  </si>
  <si>
    <t>POINT (104.707553 17.031905 0.0)</t>
  </si>
  <si>
    <t>RT45-SG-2031-0100-2+530</t>
  </si>
  <si>
    <t>POINT (104.707275 17.032175 151.35)</t>
  </si>
  <si>
    <t>RT46-SG-2031-0100-2+570</t>
  </si>
  <si>
    <t>POINT (104.706988 17.032414 149.57)</t>
  </si>
  <si>
    <t>RT47-SG-2031-0100-2+610</t>
  </si>
  <si>
    <t>POINT (104.706648 17.032692 149.02)</t>
  </si>
  <si>
    <t>RT48-SG-2031-0100-2+650</t>
  </si>
  <si>
    <t>POINT (104.706318 17.032984 147.42)</t>
  </si>
  <si>
    <t>RT49-SG-2031-0100-2+690</t>
  </si>
  <si>
    <t>POINT (104.705966 17.033264 148.21)</t>
  </si>
  <si>
    <t>RT50-SG-2031-0100-2+730</t>
  </si>
  <si>
    <t>POINT (104.705617 17.03353 152.2)</t>
  </si>
  <si>
    <t>RT51-SG-2031-0100-2+770</t>
  </si>
  <si>
    <t>POINT (104.705211 17.033846 152.77)</t>
  </si>
  <si>
    <t>RT52-SG-2031-0100-2+810</t>
  </si>
  <si>
    <t>POINT (104.704893 17.034102 151.27)</t>
  </si>
  <si>
    <t>RT53-SG-2031-0100-2+870</t>
  </si>
  <si>
    <t>POINT (104.704498 17.034424 149.47)</t>
  </si>
  <si>
    <t>RT54-SG-2031-0100-2+910</t>
  </si>
  <si>
    <t>POINT (104.704132 17.03476 147.79)</t>
  </si>
  <si>
    <t>RT55-SG-2031-0100-2+980</t>
  </si>
  <si>
    <t>POINT (104.703768 17.035058 0.0)</t>
  </si>
  <si>
    <t>RT56-SG-2031-0100-3+020</t>
  </si>
  <si>
    <t>POINT (104.703413 17.035353 0.0)</t>
  </si>
  <si>
    <t>RT57-SG-2031-0100-3+060</t>
  </si>
  <si>
    <t>POINT (104.703015 17.035663 0.0)</t>
  </si>
  <si>
    <t>RT58-SG-2031-0100-3+100</t>
  </si>
  <si>
    <t>POINT (104.701825 17.03658 0.0)</t>
  </si>
  <si>
    <t>RT59-SG-2031-0100-3+260</t>
  </si>
  <si>
    <t>POINT (104.701538 17.036813 0.0)</t>
  </si>
  <si>
    <t>RT60-SG-2031-0100-3+300</t>
  </si>
  <si>
    <t>POINT (104.701282 17.037038 0.0)</t>
  </si>
  <si>
    <t>RT61-SG-2031-0100-3+340</t>
  </si>
  <si>
    <t>POINT (104.701015 17.03725 0.0)</t>
  </si>
  <si>
    <t>RT62-SG-2031-0100-3+380</t>
  </si>
  <si>
    <t>POINT (104.700766 17.037464 0.0)</t>
  </si>
  <si>
    <t>RT63-SG-2031-0100-3+420</t>
  </si>
  <si>
    <t>POINT (104.700506 17.037674 148.79)</t>
  </si>
  <si>
    <t>RT64-SG-2031-0100-3+460</t>
  </si>
  <si>
    <t>POINT (104.700231 17.037898 148.07)</t>
  </si>
  <si>
    <t>RT65-SG-2031-0100-3+500</t>
  </si>
  <si>
    <t>POINT (104.699981 17.038116 147.01)</t>
  </si>
  <si>
    <t>RT66-SG-2031-0100-3+540</t>
  </si>
  <si>
    <t>POINT (104.699729 17.038332 146.39)</t>
  </si>
  <si>
    <t>RT67-SG-2031-0100-3+580</t>
  </si>
  <si>
    <t>POINT (104.699461 17.038542 146.1)</t>
  </si>
  <si>
    <t>RT68-SG-2031-0100-3+620</t>
  </si>
  <si>
    <t>POINT (104.699225 17.038728 147.45)</t>
  </si>
  <si>
    <t>RT69-SG-2031-0100-3+660</t>
  </si>
  <si>
    <t>POINT (104.698972 17.038928 150.1)</t>
  </si>
  <si>
    <t>RT70-SG-2031-0100-3+730</t>
  </si>
  <si>
    <t>POINT (104.69871 17.039126 150.97)</t>
  </si>
  <si>
    <t>RT71-SG-2031-0100-3+790</t>
  </si>
  <si>
    <t>POINT (104.698437 17.039344 151.04)</t>
  </si>
  <si>
    <t>RT72-SG-2031-0100-3+850</t>
  </si>
  <si>
    <t>POINT (104.69818 17.039572 149.27)</t>
  </si>
  <si>
    <t>RT73-SG-2031-0100-3+920</t>
  </si>
  <si>
    <t>POINT (104.697907 17.039805 146.58)</t>
  </si>
  <si>
    <t>RT74-SG-2031-0100-3+985</t>
  </si>
  <si>
    <t>POINT (104.697651 17.040004 147.16)</t>
  </si>
  <si>
    <t>RT75-SG-2031-0100-4+030</t>
  </si>
  <si>
    <t>POINT (104.697434 17.040151 0.0)</t>
  </si>
  <si>
    <t>RT76-SG-2031-0100-4+060</t>
  </si>
  <si>
    <t>POINT (104.697082 17.040474 0.0)</t>
  </si>
  <si>
    <t>RT77-SG-2031-0100-4+110</t>
  </si>
  <si>
    <t>POINT (104.696843 17.040651 0.0)</t>
  </si>
  <si>
    <t>RT78-SG-2031-0100-4+140</t>
  </si>
  <si>
    <t>POINT (104.696644 17.040788 0.0)</t>
  </si>
  <si>
    <t>RT79-SG-2031-0100-4+170</t>
  </si>
  <si>
    <t>POINT (104.696127 17.041203 0.0)</t>
  </si>
  <si>
    <t>RT80-SG-2031-0100-4+250</t>
  </si>
  <si>
    <t>POINT (104.695847 17.041434 0.0)</t>
  </si>
  <si>
    <t>RT81-SG-2031-0100-4+300</t>
  </si>
  <si>
    <t>POINT (104.695592 17.041637 0.0)</t>
  </si>
  <si>
    <t>RT82-SG-2031-0100-4+350</t>
  </si>
  <si>
    <t>POINT (104.695229 17.041932 0.0)</t>
  </si>
  <si>
    <t>RT83-SG-2031-0100-4+400</t>
  </si>
  <si>
    <t>POINT (104.694878 17.042219 0.0)</t>
  </si>
  <si>
    <t>RT84-SG-2031-0100-4+450</t>
  </si>
  <si>
    <t>POINT (104.69452 17.042478 0.0)</t>
  </si>
  <si>
    <t>RT85-SG-2031-0100-4+500</t>
  </si>
  <si>
    <t>POINT (104.694188 17.042767 0.0)</t>
  </si>
  <si>
    <t>RT86-SG-2031-0100-4+550</t>
  </si>
  <si>
    <t>POINT (104.693884 17.043027 0.0)</t>
  </si>
  <si>
    <t>RT87-SG-2031-0100-4+600</t>
  </si>
  <si>
    <t>POINT (104.693534 17.043306 0.0)</t>
  </si>
  <si>
    <t>RT88-SG-2031-0100-4+650</t>
  </si>
  <si>
    <t>POINT (104.693199 17.043598 0.0)</t>
  </si>
  <si>
    <t>RT89-SG-2031-0100-4+700</t>
  </si>
  <si>
    <t>POINT (104.692843 17.043877 0.0)</t>
  </si>
  <si>
    <t>RT90-SG-2031-0100-4+750</t>
  </si>
  <si>
    <t>POINT (104.692452 17.044173 0.0)</t>
  </si>
  <si>
    <t>RT91-SG-2031-0100-4+800</t>
  </si>
  <si>
    <t>POINT (104.692114 17.044485 0.0)</t>
  </si>
  <si>
    <t>RT92-SG-2031-0100-4+840</t>
  </si>
  <si>
    <t>POINT (104.691752 17.044754 0.0)</t>
  </si>
  <si>
    <t>RT93-SG-2031-0100-4+880</t>
  </si>
  <si>
    <t>POINT (104.691332 17.045077 0.0)</t>
  </si>
  <si>
    <t>RT94-SG-2031-0100-4+930</t>
  </si>
  <si>
    <t>POINT (104.690965 17.045409 0.0)</t>
  </si>
  <si>
    <t>RT95-SG-2031-0100-4+960</t>
  </si>
  <si>
    <t>POINT (104.690591 17.045707 0.0)</t>
  </si>
  <si>
    <t>RT96-SG-2031-0100-5+000</t>
  </si>
  <si>
    <t>POINT (104.69023 17.045994 0.0)</t>
  </si>
  <si>
    <t>RT97-SG-2031-0100-5+040</t>
  </si>
  <si>
    <t>POINT (104.689871 17.046292 0.0)</t>
  </si>
  <si>
    <t>RT98-SG-2031-0100-5+080</t>
  </si>
  <si>
    <t>POINT (104.689508 17.04662 0.0)</t>
  </si>
  <si>
    <t>RT99-SG-2031-0100-5+120</t>
  </si>
  <si>
    <t>POINT (104.689145 17.04692 0.0)</t>
  </si>
  <si>
    <t>RT100-SG-2031-0100-5+160</t>
  </si>
  <si>
    <t>POINT (104.688709 17.047259 0.0)</t>
  </si>
  <si>
    <t>RT101-SG-2031-0100-5+200</t>
  </si>
  <si>
    <t>POINT (104.68837 17.047543 0.0)</t>
  </si>
  <si>
    <t>RT102-SG-2031-0100-5+240</t>
  </si>
  <si>
    <t>POINT (104.68803 17.047832 0.0)</t>
  </si>
  <si>
    <t>RT103-SG-2031-0100-5+300</t>
  </si>
  <si>
    <t>POINT (104.687652 17.048131 0.0)</t>
  </si>
  <si>
    <t>RT104-SG-2031-0100-5+350</t>
  </si>
  <si>
    <t>POINT (104.687252 17.048458 0.0)</t>
  </si>
  <si>
    <t>RT105-SG-2031-0100-5+405</t>
  </si>
  <si>
    <t>POINT (104.686905 17.048736 0.0)</t>
  </si>
  <si>
    <t>RT106-SG-2031-0100-5+450</t>
  </si>
  <si>
    <t>POINT (104.686544 17.049037 0.0)</t>
  </si>
  <si>
    <t>RT106-SG-2031-0100-5+500</t>
  </si>
  <si>
    <t>POINT (104.686065 17.049331 0.0)</t>
  </si>
  <si>
    <t>RT107-SG-2031-0100-5+560</t>
  </si>
  <si>
    <t>POINT (104.685588 17.049474 0.0)</t>
  </si>
  <si>
    <t>RT108-SG-2031-0100-5+610</t>
  </si>
  <si>
    <t>POINT (104.685084 17.049575 0.0)</t>
  </si>
  <si>
    <t>RT109-SG-2031-0100-5+660</t>
  </si>
  <si>
    <t>POINT (104.684627 17.049668 0.0)</t>
  </si>
  <si>
    <t>RT110-SG-2031-0100-5+700</t>
  </si>
  <si>
    <t>POINT (104.684157 17.049763 0.0)</t>
  </si>
  <si>
    <t>RT111-SG-2031-0100-5+750</t>
  </si>
  <si>
    <t>POINT (104.683705 17.049873 0.0)</t>
  </si>
  <si>
    <t>RT112-SG-2031-0100-5+800</t>
  </si>
  <si>
    <t>POINT (104.683186 17.049968 0.0)</t>
  </si>
  <si>
    <t>RT113-SG-2031-0100-5+850</t>
  </si>
  <si>
    <t>POINT (104.682715 17.050066 0.0)</t>
  </si>
  <si>
    <t>RT114-SG-2031-0100-5+900</t>
  </si>
  <si>
    <t>POINT (104.682265 17.050159 0.0)</t>
  </si>
  <si>
    <t>RT115-SG-2031-0100-5+950</t>
  </si>
  <si>
    <t>POINT (104.681755 17.050256 0.0)</t>
  </si>
  <si>
    <t>RT116-SG-2031-0100-6+000</t>
  </si>
  <si>
    <t>POINT (104.681267 17.050337 0.0)</t>
  </si>
  <si>
    <t>RT117-SG-2031-0100-6+050</t>
  </si>
  <si>
    <t>POINT (104.680716 17.050429 0.0)</t>
  </si>
  <si>
    <t>RT118-SG-2031-0100-6+100</t>
  </si>
  <si>
    <t>POINT (104.68041 17.050286 0.0)</t>
  </si>
  <si>
    <t>RT119-SG-2031-0100-6+150</t>
  </si>
  <si>
    <t>POINT (104.679947 17.049996 0.0)</t>
  </si>
  <si>
    <t>RT120-SG-2031-0100-6+210</t>
  </si>
  <si>
    <t>POINT (104.672181 17.045564 0.0)</t>
  </si>
  <si>
    <t>RT121-SG-2031-0100-7+270</t>
  </si>
  <si>
    <t>POINT (104.671684 17.045573 0.0)</t>
  </si>
  <si>
    <t>RT122-SG-2031-0100-7+320</t>
  </si>
  <si>
    <t>POINT (104.671175 17.045567 0.0)</t>
  </si>
  <si>
    <t>RT123-SG-2031-0100-7+375</t>
  </si>
  <si>
    <t>POINT (104.670686 17.045559 0.0)</t>
  </si>
  <si>
    <t>RT124-SG-2031-0100-7+420</t>
  </si>
  <si>
    <t>POINT (104.670193 17.045572 0.0)</t>
  </si>
  <si>
    <t>RT125-SG-2031-0100-7+470</t>
  </si>
  <si>
    <t>POINT (104.669721 17.045577 0.0)</t>
  </si>
  <si>
    <t>RT126-SG-2031-0100-7+520</t>
  </si>
  <si>
    <t>POINT (104.669315 17.045567 0.0)</t>
  </si>
  <si>
    <t>RT127-SG-2031-0100-7+570</t>
  </si>
  <si>
    <t>POINT (104.668888 17.045549 0.0)</t>
  </si>
  <si>
    <t>RT128-SG-2031-0100-7+620</t>
  </si>
  <si>
    <t>POINT (104.668239 17.04553 0.0)</t>
  </si>
  <si>
    <t>RT129-SG-2031-0100-7+790</t>
  </si>
  <si>
    <t>POINT (104.667835 17.045531 0.0)</t>
  </si>
  <si>
    <t>RT130-SG-2031-0100-7+820</t>
  </si>
  <si>
    <t>POINT (104.667293 17.045523 0.0)</t>
  </si>
  <si>
    <t>RT131-SG-2031-0100-7+860</t>
  </si>
  <si>
    <t>POINT (104.666771 17.045516 0.0)</t>
  </si>
  <si>
    <t>RT132-SG-2031-0100-7+890</t>
  </si>
  <si>
    <t>POINT (104.666347 17.045504 0.0)</t>
  </si>
  <si>
    <t>RT133-SG-2031-0100-7+920</t>
  </si>
  <si>
    <t>POINT (104.665828 17.045496 0.0)</t>
  </si>
  <si>
    <t>RT134-SG-2031-0100-7+960</t>
  </si>
  <si>
    <t>POINT (104.665341 17.045499 148.22)</t>
  </si>
  <si>
    <t>RT135-SG-2031-0100-8+000</t>
  </si>
  <si>
    <t>POINT (104.664778 17.045516 0.0)</t>
  </si>
  <si>
    <t>RT136-SG-2031-0100-8+060</t>
  </si>
  <si>
    <t>POINT (104.664358 17.045525 0.0)</t>
  </si>
  <si>
    <t>RT137-SG-2031-0100-8+105</t>
  </si>
  <si>
    <t>POINT (104.663875 17.04551 0.0)</t>
  </si>
  <si>
    <t>RT138-SG-2031-0100-8+155</t>
  </si>
  <si>
    <t>POINT (104.663407 17.045514 0.0)</t>
  </si>
  <si>
    <t>RT139-SG-2031-0100-8+205</t>
  </si>
  <si>
    <t>POINT (104.662898 17.045538 0.0)</t>
  </si>
  <si>
    <t>RT140-SG-2031-0100-8+260</t>
  </si>
  <si>
    <t>POINT (104.661927 17.045529 0.0)</t>
  </si>
  <si>
    <t>RT141-SG-2031-0100-8+360</t>
  </si>
  <si>
    <t>POINT (104.661436 17.045533 0.0)</t>
  </si>
  <si>
    <t>RT142-SG-2031-0100-8+410</t>
  </si>
  <si>
    <t>POINT (104.660933 17.045517 0.0)</t>
  </si>
  <si>
    <t>RT143-SG-2031-0100-8+465</t>
  </si>
  <si>
    <t>POINT (104.660448 17.045509 0.0)</t>
  </si>
  <si>
    <t>RT144-SG-2031-0100-8+515</t>
  </si>
  <si>
    <t>POINT (104.659968 17.045524 0.0)</t>
  </si>
  <si>
    <t>RT145-SG-2031-0100-8+555</t>
  </si>
  <si>
    <t>POINT (104.659485 17.045533 0.0)</t>
  </si>
  <si>
    <t>RT146-SG-2031-0100-8+605</t>
  </si>
  <si>
    <t>POINT (104.658957 17.045518 0.0)</t>
  </si>
  <si>
    <t>RT146-SG-2031-0100-8+660</t>
  </si>
  <si>
    <t>POINT (104.658405 17.045513 0.0)</t>
  </si>
  <si>
    <t>RT147-SG-2031-0100-8+720</t>
  </si>
  <si>
    <t>POINT (104.657929 17.045494 0.0)</t>
  </si>
  <si>
    <t>RT148-SG-2031-0100-8+770</t>
  </si>
  <si>
    <t>POINT (104.644707 17.043444 0.0)</t>
  </si>
  <si>
    <t>RT149-SG-2031-0100-10+215</t>
  </si>
  <si>
    <t>POINT (104.64389 17.043208 0.0)</t>
  </si>
  <si>
    <t>RT146-SG-2031-0100-10+305</t>
  </si>
  <si>
    <t>POINT (104.643443 17.043061 0.0)</t>
  </si>
  <si>
    <t>RT147-SG-2031-0100-10+355</t>
  </si>
  <si>
    <t>POINT (104.643023 17.042921 0.0)</t>
  </si>
  <si>
    <t>RT148-SG-2031-0100-10+405</t>
  </si>
  <si>
    <t>POINT (104.642553 17.042784 0.0)</t>
  </si>
  <si>
    <t>RT149-SG-2031-0100-10+450</t>
  </si>
  <si>
    <t>POINT (104.642197 17.042662 0.0)</t>
  </si>
  <si>
    <t>RT150-SG-2031-0100-10+500</t>
  </si>
  <si>
    <t>POINT (104.641742 17.042509 0.0)</t>
  </si>
  <si>
    <t>RT151-SG-2031-0100-10+550</t>
  </si>
  <si>
    <t>POINT (104.641347 17.042377 0.0)</t>
  </si>
  <si>
    <t>RT152-SG-2031-0100-10+600</t>
  </si>
  <si>
    <t>POINT (104.640968 17.04225 0.0)</t>
  </si>
  <si>
    <t>RT153-SG-2031-0100-10+650</t>
  </si>
  <si>
    <t>POINT (104.640595 17.042119 0.0)</t>
  </si>
  <si>
    <t>RT154-SG-2031-0100-10+700</t>
  </si>
  <si>
    <t>POINT (104.640257 17.042001 0.0)</t>
  </si>
  <si>
    <t>RT155-SG-2031-0100-10+750</t>
  </si>
  <si>
    <t>POINT (104.639845 17.041883 0.0)</t>
  </si>
  <si>
    <t>POINT (104.639385 17.041779 0.0)</t>
  </si>
  <si>
    <t>RT156-SG-2031-0100-10+800</t>
  </si>
  <si>
    <t>POINT (104.638998 17.041807 0.0)</t>
  </si>
  <si>
    <t>RT157-SG-2031-0100-10+850</t>
  </si>
  <si>
    <t>POINT (104.638665 17.041865 0.0)</t>
  </si>
  <si>
    <t>RT158-SG-2031-0100-10+900</t>
  </si>
  <si>
    <t>POINT (104.638221 17.041957 0.0)</t>
  </si>
  <si>
    <t>RT159-SG-2031-0100-10+950</t>
  </si>
  <si>
    <t>POINT (104.63782 17.042054 0.0)</t>
  </si>
  <si>
    <t>RT160-SG-2031-0100-11+000</t>
  </si>
  <si>
    <t>POINT (104.637367 17.042142 0.0)</t>
  </si>
  <si>
    <t>RT161-SG-2031-0100-11+050</t>
  </si>
  <si>
    <t>POINT (104.637022 17.042199 0.0)</t>
  </si>
  <si>
    <t>RT162-SG-2031-0100-11+100</t>
  </si>
  <si>
    <t>POINT (104.636587 17.042282 0.0)</t>
  </si>
  <si>
    <t>RT163-SG-2031-0100-11+150</t>
  </si>
  <si>
    <t>POINT (104.63616 17.042372 0.0)</t>
  </si>
  <si>
    <t>RT164-SG-2031-0100-11+200</t>
  </si>
  <si>
    <t>POINT (104.635349 17.042538 0.0)</t>
  </si>
  <si>
    <t>RT166-SG-2031-0100-11+300</t>
  </si>
  <si>
    <t>POINT (104.635687 17.042479 0.0)</t>
  </si>
  <si>
    <t>RT165-SG-2031-0100-11+250</t>
  </si>
  <si>
    <t>POINT (104.634836 17.042647 0.0)</t>
  </si>
  <si>
    <t>RT167-SG-2031-0100-11+350</t>
  </si>
  <si>
    <t>POINT (104.634517 17.042682 0.0)</t>
  </si>
  <si>
    <t>RT168-SG-2031-0100-11+400</t>
  </si>
  <si>
    <t>POINT (104.634014 17.04275 0.0)</t>
  </si>
  <si>
    <t>RT169-SG-2031-0100-11+450</t>
  </si>
  <si>
    <t>POINT (104.633653 17.042792 0.0)</t>
  </si>
  <si>
    <t>RT170-SG-2031-0100-11+500</t>
  </si>
  <si>
    <t>POINT (104.625091 17.043167 0.0)</t>
  </si>
  <si>
    <t>RT171-SG-2031-0100-12+350</t>
  </si>
  <si>
    <t>POINT (104.624657 17.043175 0.0)</t>
  </si>
  <si>
    <t>RT172-SG-2031-0100-12+395</t>
  </si>
  <si>
    <t>POINT (104.624212 17.043182 0.0)</t>
  </si>
  <si>
    <t>RT173-SG-2031-0100-12+450</t>
  </si>
  <si>
    <t>POINT (104.623765 17.043194 0.0)</t>
  </si>
  <si>
    <t>RT174-SG-2031-0100-12+500</t>
  </si>
  <si>
    <t>POINT (104.623312 17.043193 0.0)</t>
  </si>
  <si>
    <t>RT175-SG-2031-0100-12+550</t>
  </si>
  <si>
    <t>POINT (104.622866 17.043192 0.0)</t>
  </si>
  <si>
    <t>RT176-SG-2031-0100-12+600</t>
  </si>
  <si>
    <t>POINT (104.622407 17.043206 0.0)</t>
  </si>
  <si>
    <t>RT177-SG-2031-0100-12+640</t>
  </si>
  <si>
    <t>POINT (104.621959 17.043221 0.0)</t>
  </si>
  <si>
    <t>RT178-SG-2031-0100-12+680</t>
  </si>
  <si>
    <t>POINT (104.621506 17.043217 0.0)</t>
  </si>
  <si>
    <t>RT179-SG-2031-0100-12+720</t>
  </si>
  <si>
    <t>POINT (104.621067 17.043217 0.0)</t>
  </si>
  <si>
    <t>RT180-SG-2031-0100-12+770</t>
  </si>
  <si>
    <t>POINT (104.620633 17.043188 0.0)</t>
  </si>
  <si>
    <t>RT180-SG-2031-0100-12+820</t>
  </si>
  <si>
    <t>POINT (104.620175 17.043168 0.0)</t>
  </si>
  <si>
    <t>RT181-SG-2031-0100-12+870</t>
  </si>
  <si>
    <t>POINT (104.619746 17.043151 0.0)</t>
  </si>
  <si>
    <t>RT182-SG-2031-0100-12+920</t>
  </si>
  <si>
    <t>POINT (104.619302 17.043105 0.0)</t>
  </si>
  <si>
    <t>RT183-SG-2031-0100-12+960</t>
  </si>
  <si>
    <t>POINT (104.61891 17.043071 0.0)</t>
  </si>
  <si>
    <t>RT184-SG-2031-0100-13+000</t>
  </si>
  <si>
    <t>POINT (104.618335 17.043041 0.0)</t>
  </si>
  <si>
    <t>RT185-SG-2031-0100-13+050</t>
  </si>
  <si>
    <t>POINT (104.617899 17.043025 0.0)</t>
  </si>
  <si>
    <t>RT186-SG-2031-0100-13+100</t>
  </si>
  <si>
    <t>POINT (104.61742 17.043003 0.0)</t>
  </si>
  <si>
    <t>RT187-SG-2031-0100-13+150</t>
  </si>
  <si>
    <t>POINT (104.616999 17.042978 0.0)</t>
  </si>
  <si>
    <t>RT188-SG-2031-0100-13+200</t>
  </si>
  <si>
    <t>POINT (104.616417 17.042927 0.0)</t>
  </si>
  <si>
    <t>RT189-SG-2031-0100-13+260</t>
  </si>
  <si>
    <t>POINT (104.615984 17.042897 0.0)</t>
  </si>
  <si>
    <t>RT190-SG-2031-0100-13+300</t>
  </si>
  <si>
    <t>POINT (104.615528 17.042808 0.0)</t>
  </si>
  <si>
    <t>RT191-SG-2031-0100-13+350</t>
  </si>
  <si>
    <t>POINT (104.615099 17.042663 0.0)</t>
  </si>
  <si>
    <t>RT192-SG-2031-0100-13+400</t>
  </si>
  <si>
    <t>POINT (104.614743 17.042422 0.0)</t>
  </si>
  <si>
    <t>RT193-SG-2031-0100-13+450</t>
  </si>
  <si>
    <t>POINT (104.614417 17.042133 0.0)</t>
  </si>
  <si>
    <t>RT194-SG-2031-0100-13+500</t>
  </si>
  <si>
    <t>POINT (104.613712 17.04146 0.0)</t>
  </si>
  <si>
    <t>RT195-SG-2031-0100-13+600</t>
  </si>
  <si>
    <t>POINT (104.613505 17.041272 0.0)</t>
  </si>
  <si>
    <t>RT196-SG-2031-0100-13+630</t>
  </si>
  <si>
    <t>POINT (104.61322 17.041029 0.0)</t>
  </si>
  <si>
    <t>RT197-SG-2031-0100-13+670</t>
  </si>
  <si>
    <t>POINT (104.612937 17.040785 0.0)</t>
  </si>
  <si>
    <t>RT198-SG-2031-0100-13+710</t>
  </si>
  <si>
    <t>POINT (104.612675 17.040561 0.0)</t>
  </si>
  <si>
    <t>RT199-SG-2031-0100-13+750</t>
  </si>
  <si>
    <t>POINT (104.612436 17.040349 0.0)</t>
  </si>
  <si>
    <t>RT200-SG-2031-0100-13+790</t>
  </si>
  <si>
    <t>POINT (104.612148 17.040109 0.0)</t>
  </si>
  <si>
    <t>RT201-SG-2031-0100-13+830</t>
  </si>
  <si>
    <t>POINT (104.611921 17.039913 0.0)</t>
  </si>
  <si>
    <t>RT202-SG-2031-0100-13+860</t>
  </si>
  <si>
    <t>POINT (104.611665 17.03969 0.0)</t>
  </si>
  <si>
    <t>RT203-SG-2031-0100-13+900</t>
  </si>
  <si>
    <t>POINT (104.611435 17.039478 0.0)</t>
  </si>
  <si>
    <t>RT204-SG-2031-0100-13+920</t>
  </si>
  <si>
    <t>POINT (104.6112 17.039276 0.0)</t>
  </si>
  <si>
    <t>RT205-SG-2031-0100-13+945</t>
  </si>
  <si>
    <t>POINT (104.61091 17.039033 0.0)</t>
  </si>
  <si>
    <t>RT206-SG-2031-0100-13+998</t>
  </si>
  <si>
    <t>POINT (104.610616 17.038773 0.0)</t>
  </si>
  <si>
    <t>RT207-SG-2031-0100-14+040</t>
  </si>
  <si>
    <t>POINT (104.610335 17.038526 0.0)</t>
  </si>
  <si>
    <t>RT208-SG-2031-0100-14+080</t>
  </si>
  <si>
    <t>POINT (104.598585 17.030019 0.0)</t>
  </si>
  <si>
    <t>RT208-SG-2031-0100-15+650</t>
  </si>
  <si>
    <t>POINT (104.598275 17.02981 0.0)</t>
  </si>
  <si>
    <t>RT209-SG-2031-0100-15+690</t>
  </si>
  <si>
    <t>POINT (104.597978 17.029576 0.0)</t>
  </si>
  <si>
    <t>RT210-SG-2031-0100-15+730</t>
  </si>
  <si>
    <t>POINT (104.597732 17.029313 0.0)</t>
  </si>
  <si>
    <t>RT211-SG-2031-0100-15+770</t>
  </si>
  <si>
    <t>POINT (104.597542 17.029022 0.0)</t>
  </si>
  <si>
    <t>RT212-SG-2031-0100-15+810</t>
  </si>
  <si>
    <t>POINT (104.597388 17.028679 0.0)</t>
  </si>
  <si>
    <t>RT213-SG-2031-0100-15+850</t>
  </si>
  <si>
    <t>POINT (104.597267 17.028347 0.0)</t>
  </si>
  <si>
    <t>RT214-SG-2031-0100-15+890</t>
  </si>
  <si>
    <t>POINT (104.59715 17.02799 0.0)</t>
  </si>
  <si>
    <t>RT215-SG-2031-0100-15+930</t>
  </si>
  <si>
    <t>POINT (104.597034 17.02767 0.0)</t>
  </si>
  <si>
    <t>POINT (104.596914 17.027319 0.0)</t>
  </si>
  <si>
    <t>RT216-SG-2031-0100-15+970</t>
  </si>
  <si>
    <t>POINT (104.579317 17.013004 0.0)</t>
  </si>
  <si>
    <t>RT217-SG-2031-0100-18+620</t>
  </si>
  <si>
    <t>POINT (104.578878 17.012992 0.0)</t>
  </si>
  <si>
    <t>RT218-SG-2031-0100-18+665</t>
  </si>
  <si>
    <t>POINT (104.578469 17.012988 0.0)</t>
  </si>
  <si>
    <t>RT219-SG-2031-0100-18+710</t>
  </si>
  <si>
    <t>POINT (104.578046 17.012974 0.0)</t>
  </si>
  <si>
    <t>RT220-SG-2031-0100-18+755</t>
  </si>
  <si>
    <t>POINT (104.577623 17.01296 0.0)</t>
  </si>
  <si>
    <t>RT221-SG-2031-0100-18+800</t>
  </si>
  <si>
    <t>POINT (104.5772 17.012947 0.0)</t>
  </si>
  <si>
    <t>RT222-SG-2031-0100-18+845</t>
  </si>
  <si>
    <t>POINT (104.576772 17.012934 0.0)</t>
  </si>
  <si>
    <t>RT222-SG-2031-0100-18+890</t>
  </si>
  <si>
    <t>POINT (104.57636 17.012916 0.0)</t>
  </si>
  <si>
    <t>RT223-SG-2031-0100-18+935</t>
  </si>
  <si>
    <t>POINT (104.575936 17.012906 0.0)</t>
  </si>
  <si>
    <t>RT224-SG-2031-0100-18+980</t>
  </si>
  <si>
    <t>POINT (104.575515 17.012889 0.0)</t>
  </si>
  <si>
    <t>RT225-SG-2031-0100-19+035</t>
  </si>
  <si>
    <t>POINT (104.575094 17.012865 0.0)</t>
  </si>
  <si>
    <t>RT226-SG-2031-0100-19+080</t>
  </si>
  <si>
    <t>POINT (104.574679 17.012844 0.0)</t>
  </si>
  <si>
    <t>RT227-SG-2031-0100-19+125</t>
  </si>
  <si>
    <t>POINT (104.574246 17.012821 0.0)</t>
  </si>
  <si>
    <t>RT228-SG-2031-0100-19+170</t>
  </si>
  <si>
    <t>POINT (104.573588 17.012783 0.0)</t>
  </si>
  <si>
    <t>RT229-SG-2031-0100-19+240</t>
  </si>
  <si>
    <t>POINT (104.573217 17.012776 0.0)</t>
  </si>
  <si>
    <t>RT230-SG-2031-0100-19+280</t>
  </si>
  <si>
    <t>POINT (104.572837 17.012748 0.0)</t>
  </si>
  <si>
    <t>RT231-SG-2031-0100-19+320</t>
  </si>
  <si>
    <t>POINT (104.572452 17.012734 0.0)</t>
  </si>
  <si>
    <t>RT232-SG-2031-0100-19+360</t>
  </si>
  <si>
    <t>POINT (104.572108 17.01272 0.0)</t>
  </si>
  <si>
    <t>RT233-SG-2031-0100-19+400</t>
  </si>
  <si>
    <t>POINT (104.571761 17.012703 0.0)</t>
  </si>
  <si>
    <t>RT234-SG-2031-0100-19+440</t>
  </si>
  <si>
    <t>POINT (104.571417 17.012689 0.0)</t>
  </si>
  <si>
    <t>RT235-SG-2031-0100-19+480</t>
  </si>
  <si>
    <t>POINT (104.571017 17.012664 0.0)</t>
  </si>
  <si>
    <t>RT236-SG-2031-0100-19+520</t>
  </si>
  <si>
    <t>POINT (104.570739 17.012662 0.0)</t>
  </si>
  <si>
    <t>RT237-SG-2031-0100-19+560</t>
  </si>
  <si>
    <t>POINT (104.570393 17.012666 0.0)</t>
  </si>
  <si>
    <t>RT238-SG-2031-0100-19+600</t>
  </si>
  <si>
    <t>POINT (104.570074 17.012707 0.0)</t>
  </si>
  <si>
    <t>RT239-SG-2031-0100-19+640</t>
  </si>
  <si>
    <t>POINT (104.569733 17.012755 0.0)</t>
  </si>
  <si>
    <t>RT240-SG-2031-0100-19+680</t>
  </si>
  <si>
    <t>POINT (104.565928 17.013543 0.0)</t>
  </si>
  <si>
    <t>RT241-SG-2031-0100-20+090</t>
  </si>
  <si>
    <t>POINT (104.565588 17.013617 0.0)</t>
  </si>
  <si>
    <t>RT242-SG-2031-0100-20+130</t>
  </si>
  <si>
    <t>POINT (104.565317 17.013675 0.0)</t>
  </si>
  <si>
    <t>RT243-SG-2031-0100-20+160</t>
  </si>
  <si>
    <t>POINT (104.565063 17.013726 0.0)</t>
  </si>
  <si>
    <t>RT244-SG-2031-0100-20+200</t>
  </si>
  <si>
    <t>POINT (104.565002 17.013787 0.0)</t>
  </si>
  <si>
    <t>RT245-SG-2031-0100-20+200</t>
  </si>
  <si>
    <t>POINT (104.55982 17.014832 0.0)</t>
  </si>
  <si>
    <t>RT246-SG-2031-0100-20+760</t>
  </si>
  <si>
    <t>POINT (104.559527 17.014884 0.0)</t>
  </si>
  <si>
    <t>RT247-SG-2031-0100-20+790</t>
  </si>
  <si>
    <t>POINT (104.559114 17.014952 0.0)</t>
  </si>
  <si>
    <t>RT248-SG-2031-0100-20+835</t>
  </si>
  <si>
    <t>POINT (104.558676 17.015026 0.0)</t>
  </si>
  <si>
    <t>RT249-SG-2031-0100-20+880</t>
  </si>
  <si>
    <t>POINT (104.558244 17.015106 0.0)</t>
  </si>
  <si>
    <t>RT250-SG-2031-0100-20+925</t>
  </si>
  <si>
    <t>POINT (104.557868 17.015179 0.0)</t>
  </si>
  <si>
    <t>RT251-SG-2031-0100-20+970</t>
  </si>
  <si>
    <t>POINT (104.541775 17.018822 0.0)</t>
  </si>
  <si>
    <t>RT252-SG-2031-0100-22+730</t>
  </si>
  <si>
    <t>POINT (104.541229 17.0189 0.0)</t>
  </si>
  <si>
    <t>RT253-SG-2031-0100-22+790</t>
  </si>
  <si>
    <t>POINT (104.540804 17.018965 0.0)</t>
  </si>
  <si>
    <t>RT254-SG-2031-0100-22+835</t>
  </si>
  <si>
    <t>POINT (104.540386 17.019013 0.0)</t>
  </si>
  <si>
    <t>RT255-SG-2031-0100-22+880</t>
  </si>
  <si>
    <t>ประเภทโคมไฟ</t>
  </si>
  <si>
    <t>ทิศทางที่ตั้ง (LT/RT/MD)</t>
  </si>
  <si>
    <t>สถานะ</t>
  </si>
  <si>
    <t>ชนิดของหลอดไฟ</t>
  </si>
  <si>
    <t>ตู้คอนโทรล</t>
  </si>
  <si>
    <t>วันที่ก่อสร้าง</t>
  </si>
  <si>
    <t>สัญญาที่</t>
  </si>
  <si>
    <t>สายทาง</t>
  </si>
  <si>
    <t>ตอนควบคุม</t>
  </si>
  <si>
    <t>กม.</t>
  </si>
  <si>
    <t>วันที่ซ่อมครั้งล่าสุด</t>
  </si>
  <si>
    <t>สาเหตุการเสียหาย</t>
  </si>
  <si>
    <t>วิธีการซ่อม</t>
  </si>
  <si>
    <t>หมายเหตุ</t>
  </si>
  <si>
    <t>Lat</t>
  </si>
  <si>
    <t>Long</t>
  </si>
  <si>
    <t>104.7275</t>
  </si>
  <si>
    <t>17.0181</t>
  </si>
  <si>
    <t>RT1</t>
  </si>
  <si>
    <t>SG</t>
  </si>
  <si>
    <t>2031</t>
  </si>
  <si>
    <t>0100</t>
  </si>
  <si>
    <t>0+025</t>
  </si>
  <si>
    <t>104.7272</t>
  </si>
  <si>
    <t xml:space="preserve"> 17.0183</t>
  </si>
  <si>
    <t>RT2</t>
  </si>
  <si>
    <t>0+060</t>
  </si>
  <si>
    <t>104.7269</t>
  </si>
  <si>
    <t xml:space="preserve"> 17.0185</t>
  </si>
  <si>
    <t>RT3</t>
  </si>
  <si>
    <t>0+100</t>
  </si>
  <si>
    <t>104.7265</t>
  </si>
  <si>
    <t xml:space="preserve"> 17.0187</t>
  </si>
  <si>
    <t>RT4</t>
  </si>
  <si>
    <t>0+150</t>
  </si>
  <si>
    <t>104.7260</t>
  </si>
  <si>
    <t xml:space="preserve"> 17.0190</t>
  </si>
  <si>
    <t>RT5</t>
  </si>
  <si>
    <t>0+200</t>
  </si>
  <si>
    <t>104.7256</t>
  </si>
  <si>
    <t xml:space="preserve"> 17.0192</t>
  </si>
  <si>
    <t>RT6</t>
  </si>
  <si>
    <t>0+250</t>
  </si>
  <si>
    <t>104.7251</t>
  </si>
  <si>
    <t xml:space="preserve"> 17.0195</t>
  </si>
  <si>
    <t>RT7</t>
  </si>
  <si>
    <t>0+300</t>
  </si>
  <si>
    <t>104.7247</t>
  </si>
  <si>
    <t xml:space="preserve"> 17.0197</t>
  </si>
  <si>
    <t>RT8</t>
  </si>
  <si>
    <t>0+350</t>
  </si>
  <si>
    <t>104.7243</t>
  </si>
  <si>
    <t xml:space="preserve"> 17.0199</t>
  </si>
  <si>
    <t>RT9</t>
  </si>
  <si>
    <t>0+400</t>
  </si>
  <si>
    <t>104.7239</t>
  </si>
  <si>
    <t xml:space="preserve"> 17.0201</t>
  </si>
  <si>
    <t>RT10</t>
  </si>
  <si>
    <t>0+450</t>
  </si>
  <si>
    <t>104.7235</t>
  </si>
  <si>
    <t xml:space="preserve"> 17.0204</t>
  </si>
  <si>
    <t>RT11</t>
  </si>
  <si>
    <t>0+500</t>
  </si>
  <si>
    <t>104.7230</t>
  </si>
  <si>
    <t xml:space="preserve"> 17.0206</t>
  </si>
  <si>
    <t>RT12</t>
  </si>
  <si>
    <t>0+550</t>
  </si>
  <si>
    <t>104.7226</t>
  </si>
  <si>
    <t>17.0208</t>
  </si>
  <si>
    <t>RT13</t>
  </si>
  <si>
    <t>0+600</t>
  </si>
  <si>
    <t>104.7222</t>
  </si>
  <si>
    <t xml:space="preserve"> 17.0210</t>
  </si>
  <si>
    <t>RT14</t>
  </si>
  <si>
    <t>0+650</t>
  </si>
  <si>
    <t>104.7217</t>
  </si>
  <si>
    <t xml:space="preserve"> 17.0213</t>
  </si>
  <si>
    <t>RT15</t>
  </si>
  <si>
    <t>0+700</t>
  </si>
  <si>
    <t>104.7214</t>
  </si>
  <si>
    <t xml:space="preserve"> 17.0215</t>
  </si>
  <si>
    <t>RT16</t>
  </si>
  <si>
    <t>0+750</t>
  </si>
  <si>
    <t>104.7209</t>
  </si>
  <si>
    <t xml:space="preserve"> 17.0218</t>
  </si>
  <si>
    <t>RT17</t>
  </si>
  <si>
    <t>0+800</t>
  </si>
  <si>
    <t>104.7205</t>
  </si>
  <si>
    <t xml:space="preserve"> 17.0220</t>
  </si>
  <si>
    <t>RT18</t>
  </si>
  <si>
    <t>0+850</t>
  </si>
  <si>
    <t>104.7201</t>
  </si>
  <si>
    <t xml:space="preserve"> 17.0222</t>
  </si>
  <si>
    <t>RT19</t>
  </si>
  <si>
    <t>0+900</t>
  </si>
  <si>
    <t>104.7196</t>
  </si>
  <si>
    <t xml:space="preserve"> 17.0225</t>
  </si>
  <si>
    <t>RT20</t>
  </si>
  <si>
    <t>0+995</t>
  </si>
  <si>
    <t>104.7192</t>
  </si>
  <si>
    <t xml:space="preserve"> 17.0228</t>
  </si>
  <si>
    <t>RT21</t>
  </si>
  <si>
    <t>1+035</t>
  </si>
  <si>
    <t>104.7188</t>
  </si>
  <si>
    <t>17.0231</t>
  </si>
  <si>
    <t>RT22</t>
  </si>
  <si>
    <t>1+070</t>
  </si>
  <si>
    <t>104.7184</t>
  </si>
  <si>
    <t xml:space="preserve"> 17.0234</t>
  </si>
  <si>
    <t>RT23</t>
  </si>
  <si>
    <t>1+120</t>
  </si>
  <si>
    <t>104.7181</t>
  </si>
  <si>
    <t xml:space="preserve"> 17.0236</t>
  </si>
  <si>
    <t>RT24</t>
  </si>
  <si>
    <t>1+170</t>
  </si>
  <si>
    <t>104.7179</t>
  </si>
  <si>
    <t xml:space="preserve"> 17.0238</t>
  </si>
  <si>
    <t>RT25</t>
  </si>
  <si>
    <t>1+220</t>
  </si>
  <si>
    <t>104.7176</t>
  </si>
  <si>
    <t xml:space="preserve"> 17.0240</t>
  </si>
  <si>
    <t>RT26</t>
  </si>
  <si>
    <t>1+270</t>
  </si>
  <si>
    <t>104.7173</t>
  </si>
  <si>
    <t>17.0242</t>
  </si>
  <si>
    <t>RT27</t>
  </si>
  <si>
    <t>1+320</t>
  </si>
  <si>
    <t>104.7170</t>
  </si>
  <si>
    <t xml:space="preserve"> 17.0244</t>
  </si>
  <si>
    <t>RT28</t>
  </si>
  <si>
    <t>1+370</t>
  </si>
  <si>
    <t>104.7168</t>
  </si>
  <si>
    <t xml:space="preserve"> 17.0246</t>
  </si>
  <si>
    <t>RT29</t>
  </si>
  <si>
    <t>1+420</t>
  </si>
  <si>
    <t>104.7165</t>
  </si>
  <si>
    <t xml:space="preserve"> 17.0248</t>
  </si>
  <si>
    <t>RT30</t>
  </si>
  <si>
    <t>1+470</t>
  </si>
  <si>
    <t>104.7162</t>
  </si>
  <si>
    <t>17.0250</t>
  </si>
  <si>
    <t>RT31</t>
  </si>
  <si>
    <t>1+520</t>
  </si>
  <si>
    <t>104.7157</t>
  </si>
  <si>
    <t xml:space="preserve"> 17.0254</t>
  </si>
  <si>
    <t>RT32</t>
  </si>
  <si>
    <t>1+580</t>
  </si>
  <si>
    <t>104.7159</t>
  </si>
  <si>
    <t xml:space="preserve"> 17.0253</t>
  </si>
  <si>
    <t>1+570</t>
  </si>
  <si>
    <t>104.7127</t>
  </si>
  <si>
    <t xml:space="preserve"> 17.0277</t>
  </si>
  <si>
    <t>1+920</t>
  </si>
  <si>
    <t>104.7124</t>
  </si>
  <si>
    <t xml:space="preserve"> 17.0279</t>
  </si>
  <si>
    <t>RT33</t>
  </si>
  <si>
    <t>1+960</t>
  </si>
  <si>
    <t>104.7121</t>
  </si>
  <si>
    <t xml:space="preserve"> 17.0281</t>
  </si>
  <si>
    <t>RT34</t>
  </si>
  <si>
    <t>2+000</t>
  </si>
  <si>
    <t>104.7118</t>
  </si>
  <si>
    <t>17.0284</t>
  </si>
  <si>
    <t>RT35</t>
  </si>
  <si>
    <t>2+040</t>
  </si>
  <si>
    <t>104.7115</t>
  </si>
  <si>
    <t xml:space="preserve"> 17.0286</t>
  </si>
  <si>
    <t>RT36</t>
  </si>
  <si>
    <t>2+080</t>
  </si>
  <si>
    <t>104.7110</t>
  </si>
  <si>
    <t xml:space="preserve"> 17.0290</t>
  </si>
  <si>
    <t>RT37</t>
  </si>
  <si>
    <t>2+120</t>
  </si>
  <si>
    <t>104.7101</t>
  </si>
  <si>
    <t xml:space="preserve"> 17.0297</t>
  </si>
  <si>
    <t>RT38</t>
  </si>
  <si>
    <t>2+250</t>
  </si>
  <si>
    <t>104.7096</t>
  </si>
  <si>
    <t xml:space="preserve"> 17.0301</t>
  </si>
  <si>
    <t>RT39</t>
  </si>
  <si>
    <t>2+290</t>
  </si>
  <si>
    <t>104.7091</t>
  </si>
  <si>
    <t xml:space="preserve"> 17.0305</t>
  </si>
  <si>
    <t>RT40</t>
  </si>
  <si>
    <t>2+330</t>
  </si>
  <si>
    <t>104.7088</t>
  </si>
  <si>
    <t xml:space="preserve"> 17.0308</t>
  </si>
  <si>
    <t>RT41</t>
  </si>
  <si>
    <t>2+370</t>
  </si>
  <si>
    <t>104.7085</t>
  </si>
  <si>
    <t xml:space="preserve"> 17.0311</t>
  </si>
  <si>
    <t>RT42</t>
  </si>
  <si>
    <t>2+410</t>
  </si>
  <si>
    <t>104.7080</t>
  </si>
  <si>
    <t xml:space="preserve"> 17.0315</t>
  </si>
  <si>
    <t>RT43</t>
  </si>
  <si>
    <t>2+450</t>
  </si>
  <si>
    <t>104.7077</t>
  </si>
  <si>
    <t xml:space="preserve"> 17.0317</t>
  </si>
  <si>
    <t>RT44</t>
  </si>
  <si>
    <t>2+490</t>
  </si>
  <si>
    <t>104.7075</t>
  </si>
  <si>
    <t xml:space="preserve"> 17.0319</t>
  </si>
  <si>
    <t>RT45</t>
  </si>
  <si>
    <t>2+530</t>
  </si>
  <si>
    <t>104.7072</t>
  </si>
  <si>
    <t xml:space="preserve"> 17.0321</t>
  </si>
  <si>
    <t>RT46</t>
  </si>
  <si>
    <t>2+570</t>
  </si>
  <si>
    <t>104.7069</t>
  </si>
  <si>
    <t xml:space="preserve"> 17.0324</t>
  </si>
  <si>
    <t>RT47</t>
  </si>
  <si>
    <t>2+610</t>
  </si>
  <si>
    <t>104.7066</t>
  </si>
  <si>
    <t xml:space="preserve"> 17.0326</t>
  </si>
  <si>
    <t>RT48</t>
  </si>
  <si>
    <t>2+650</t>
  </si>
  <si>
    <t>104.7063</t>
  </si>
  <si>
    <t xml:space="preserve"> 17.0329</t>
  </si>
  <si>
    <t>RT49</t>
  </si>
  <si>
    <t>2+690</t>
  </si>
  <si>
    <t>104.7059</t>
  </si>
  <si>
    <t xml:space="preserve"> 17.0332</t>
  </si>
  <si>
    <t>RT50</t>
  </si>
  <si>
    <t>2+730</t>
  </si>
  <si>
    <t>104.7056</t>
  </si>
  <si>
    <t xml:space="preserve"> 17.0335</t>
  </si>
  <si>
    <t>RT51</t>
  </si>
  <si>
    <t>2+770</t>
  </si>
  <si>
    <t>104.7052</t>
  </si>
  <si>
    <t xml:space="preserve"> 17.0338</t>
  </si>
  <si>
    <t>RT52</t>
  </si>
  <si>
    <t>2+810</t>
  </si>
  <si>
    <t>104.7048</t>
  </si>
  <si>
    <t xml:space="preserve"> 17.0341</t>
  </si>
  <si>
    <t>RT53</t>
  </si>
  <si>
    <t>2+870</t>
  </si>
  <si>
    <t>104.7044</t>
  </si>
  <si>
    <t xml:space="preserve"> 17.0344</t>
  </si>
  <si>
    <t>RT54</t>
  </si>
  <si>
    <t>2+910</t>
  </si>
  <si>
    <t>104.7041</t>
  </si>
  <si>
    <t xml:space="preserve"> 17.0347</t>
  </si>
  <si>
    <t>RT55</t>
  </si>
  <si>
    <t>2+980</t>
  </si>
  <si>
    <t>104.7037</t>
  </si>
  <si>
    <t xml:space="preserve"> 17.0350</t>
  </si>
  <si>
    <t>RT56</t>
  </si>
  <si>
    <t>3+020</t>
  </si>
  <si>
    <t>104.7034</t>
  </si>
  <si>
    <t xml:space="preserve"> 17.0353</t>
  </si>
  <si>
    <t>RT57</t>
  </si>
  <si>
    <t>3+060</t>
  </si>
  <si>
    <t>104.7030</t>
  </si>
  <si>
    <t xml:space="preserve"> 17.0356</t>
  </si>
  <si>
    <t>RT58</t>
  </si>
  <si>
    <t>3+100</t>
  </si>
  <si>
    <t>104.7018</t>
  </si>
  <si>
    <t xml:space="preserve"> 17.0365</t>
  </si>
  <si>
    <t>RT59</t>
  </si>
  <si>
    <t>3+260</t>
  </si>
  <si>
    <t>104.7015</t>
  </si>
  <si>
    <t xml:space="preserve"> 17.0368</t>
  </si>
  <si>
    <t>RT60</t>
  </si>
  <si>
    <t>3+300</t>
  </si>
  <si>
    <t>104.7012</t>
  </si>
  <si>
    <t xml:space="preserve"> 17.0370</t>
  </si>
  <si>
    <t>RT61</t>
  </si>
  <si>
    <t>3+340</t>
  </si>
  <si>
    <t>104.7010</t>
  </si>
  <si>
    <t xml:space="preserve"> 17.0372</t>
  </si>
  <si>
    <t>RT62</t>
  </si>
  <si>
    <t>3+380</t>
  </si>
  <si>
    <t>104.7007</t>
  </si>
  <si>
    <t xml:space="preserve"> 17.0374</t>
  </si>
  <si>
    <t>RT63</t>
  </si>
  <si>
    <t>3+420</t>
  </si>
  <si>
    <t>104.7005</t>
  </si>
  <si>
    <t xml:space="preserve"> 17.0376</t>
  </si>
  <si>
    <t>RT64</t>
  </si>
  <si>
    <t>3+460</t>
  </si>
  <si>
    <t>104.7002</t>
  </si>
  <si>
    <t xml:space="preserve"> 17.0378</t>
  </si>
  <si>
    <t>RT65</t>
  </si>
  <si>
    <t>3+500</t>
  </si>
  <si>
    <t>104.6999</t>
  </si>
  <si>
    <t xml:space="preserve"> 17.0381</t>
  </si>
  <si>
    <t>RT66</t>
  </si>
  <si>
    <t>3+540</t>
  </si>
  <si>
    <t>104.6997</t>
  </si>
  <si>
    <t xml:space="preserve"> 17.0383</t>
  </si>
  <si>
    <t>RT67</t>
  </si>
  <si>
    <t>3+580</t>
  </si>
  <si>
    <t>104.6994</t>
  </si>
  <si>
    <t xml:space="preserve"> 17.0385</t>
  </si>
  <si>
    <t>RT68</t>
  </si>
  <si>
    <t>3+620</t>
  </si>
  <si>
    <t>104.6992</t>
  </si>
  <si>
    <t xml:space="preserve"> 17.0387</t>
  </si>
  <si>
    <t>RT69</t>
  </si>
  <si>
    <t>3+660</t>
  </si>
  <si>
    <t>104.6989</t>
  </si>
  <si>
    <t xml:space="preserve"> 17.0389</t>
  </si>
  <si>
    <t>RT70</t>
  </si>
  <si>
    <t>3+730</t>
  </si>
  <si>
    <t>104.6987</t>
  </si>
  <si>
    <t>17.0391</t>
  </si>
  <si>
    <t>RT71</t>
  </si>
  <si>
    <t>3+790</t>
  </si>
  <si>
    <t>104.6984</t>
  </si>
  <si>
    <t xml:space="preserve"> 17.0393</t>
  </si>
  <si>
    <t>RT72</t>
  </si>
  <si>
    <t>3+850</t>
  </si>
  <si>
    <t>104.6981</t>
  </si>
  <si>
    <t>17.0395</t>
  </si>
  <si>
    <t>RT73</t>
  </si>
  <si>
    <t>3+920</t>
  </si>
  <si>
    <t>104.6979</t>
  </si>
  <si>
    <t xml:space="preserve"> 17.0398</t>
  </si>
  <si>
    <t>RT74</t>
  </si>
  <si>
    <t>3+985</t>
  </si>
  <si>
    <t>104.6976</t>
  </si>
  <si>
    <t xml:space="preserve"> 17.0400</t>
  </si>
  <si>
    <t>RT75</t>
  </si>
  <si>
    <t>4+030</t>
  </si>
  <si>
    <t>104.6974</t>
  </si>
  <si>
    <t xml:space="preserve"> 17.0401</t>
  </si>
  <si>
    <t>RT76</t>
  </si>
  <si>
    <t>4+060</t>
  </si>
  <si>
    <t>104.6970</t>
  </si>
  <si>
    <t xml:space="preserve"> 17.0404</t>
  </si>
  <si>
    <t>RT77</t>
  </si>
  <si>
    <t>4+110</t>
  </si>
  <si>
    <t>104.6968</t>
  </si>
  <si>
    <t xml:space="preserve"> 17.0406</t>
  </si>
  <si>
    <t>RT78</t>
  </si>
  <si>
    <t>4+140</t>
  </si>
  <si>
    <t>104.6966</t>
  </si>
  <si>
    <t xml:space="preserve"> 17.0407</t>
  </si>
  <si>
    <t>RT79</t>
  </si>
  <si>
    <t>4+170</t>
  </si>
  <si>
    <t>104.6961</t>
  </si>
  <si>
    <t xml:space="preserve"> 17.0412</t>
  </si>
  <si>
    <t>RT80</t>
  </si>
  <si>
    <t>4+250</t>
  </si>
  <si>
    <t>104.6958</t>
  </si>
  <si>
    <t xml:space="preserve"> 17.0414</t>
  </si>
  <si>
    <t>RT81</t>
  </si>
  <si>
    <t>4+300</t>
  </si>
  <si>
    <t>104.6955</t>
  </si>
  <si>
    <t xml:space="preserve"> 17.0416</t>
  </si>
  <si>
    <t>RT82</t>
  </si>
  <si>
    <t>4+350</t>
  </si>
  <si>
    <t>104.6952</t>
  </si>
  <si>
    <t xml:space="preserve"> 17.0419</t>
  </si>
  <si>
    <t>RT83</t>
  </si>
  <si>
    <t>4+400</t>
  </si>
  <si>
    <t>104.6948</t>
  </si>
  <si>
    <t xml:space="preserve"> 17.0422</t>
  </si>
  <si>
    <t>RT84</t>
  </si>
  <si>
    <t>4+450</t>
  </si>
  <si>
    <t>104.6945</t>
  </si>
  <si>
    <t>17.0424</t>
  </si>
  <si>
    <t>RT85</t>
  </si>
  <si>
    <t>4+500</t>
  </si>
  <si>
    <t>104.6941</t>
  </si>
  <si>
    <t xml:space="preserve"> 17.0427</t>
  </si>
  <si>
    <t>RT86</t>
  </si>
  <si>
    <t>4+550</t>
  </si>
  <si>
    <t>104.6938</t>
  </si>
  <si>
    <t xml:space="preserve"> 17.0430</t>
  </si>
  <si>
    <t>RT87</t>
  </si>
  <si>
    <t>4+600</t>
  </si>
  <si>
    <t>104.6935</t>
  </si>
  <si>
    <t xml:space="preserve"> 17.0433</t>
  </si>
  <si>
    <t>RT88</t>
  </si>
  <si>
    <t>4+650</t>
  </si>
  <si>
    <t>104.6931</t>
  </si>
  <si>
    <t xml:space="preserve"> 17.0435</t>
  </si>
  <si>
    <t>RT89</t>
  </si>
  <si>
    <t>4+700</t>
  </si>
  <si>
    <t>104.6928</t>
  </si>
  <si>
    <t xml:space="preserve"> 17.0438</t>
  </si>
  <si>
    <t>RT90</t>
  </si>
  <si>
    <t>4+750</t>
  </si>
  <si>
    <t>104.6924</t>
  </si>
  <si>
    <t xml:space="preserve"> 17.0441</t>
  </si>
  <si>
    <t>RT91</t>
  </si>
  <si>
    <t>4+800</t>
  </si>
  <si>
    <t>104.6921</t>
  </si>
  <si>
    <t xml:space="preserve"> 17.0444</t>
  </si>
  <si>
    <t>RT92</t>
  </si>
  <si>
    <t>4+840</t>
  </si>
  <si>
    <t>104.6917</t>
  </si>
  <si>
    <t xml:space="preserve"> 17.0447</t>
  </si>
  <si>
    <t>RT93</t>
  </si>
  <si>
    <t>4+880</t>
  </si>
  <si>
    <t>104.6913</t>
  </si>
  <si>
    <t xml:space="preserve"> 17.0450</t>
  </si>
  <si>
    <t>RT94</t>
  </si>
  <si>
    <t>4+930</t>
  </si>
  <si>
    <t>104.6909</t>
  </si>
  <si>
    <t xml:space="preserve"> 17.0454</t>
  </si>
  <si>
    <t>RT95</t>
  </si>
  <si>
    <t>4+960</t>
  </si>
  <si>
    <t>104.6905</t>
  </si>
  <si>
    <t xml:space="preserve"> 17.0457</t>
  </si>
  <si>
    <t>RT96</t>
  </si>
  <si>
    <t>5+000</t>
  </si>
  <si>
    <t>104.6902</t>
  </si>
  <si>
    <t>17.0459</t>
  </si>
  <si>
    <t>RT97</t>
  </si>
  <si>
    <t>5+040</t>
  </si>
  <si>
    <t>104.6898</t>
  </si>
  <si>
    <t xml:space="preserve"> 17.0462</t>
  </si>
  <si>
    <t>RT98</t>
  </si>
  <si>
    <t>5+080</t>
  </si>
  <si>
    <t>104.6895</t>
  </si>
  <si>
    <t xml:space="preserve"> 17.0466</t>
  </si>
  <si>
    <t>RT99</t>
  </si>
  <si>
    <t>5+120</t>
  </si>
  <si>
    <t>104.6891</t>
  </si>
  <si>
    <t xml:space="preserve"> 17.0469</t>
  </si>
  <si>
    <t>RT100</t>
  </si>
  <si>
    <t>5+160</t>
  </si>
  <si>
    <t>104.6887</t>
  </si>
  <si>
    <t xml:space="preserve"> 17.0472</t>
  </si>
  <si>
    <t>RT101</t>
  </si>
  <si>
    <t>5+200</t>
  </si>
  <si>
    <t>104.6883</t>
  </si>
  <si>
    <t>17.0475</t>
  </si>
  <si>
    <t>RT102</t>
  </si>
  <si>
    <t>5+240</t>
  </si>
  <si>
    <t>104.6880</t>
  </si>
  <si>
    <t>17.0478</t>
  </si>
  <si>
    <t>RT103</t>
  </si>
  <si>
    <t>5+300</t>
  </si>
  <si>
    <t>104.6876</t>
  </si>
  <si>
    <t xml:space="preserve"> 17.0481</t>
  </si>
  <si>
    <t>RT104</t>
  </si>
  <si>
    <t>5+350</t>
  </si>
  <si>
    <t>104.6872</t>
  </si>
  <si>
    <t xml:space="preserve"> 17.0484</t>
  </si>
  <si>
    <t>RT105</t>
  </si>
  <si>
    <t>5+405</t>
  </si>
  <si>
    <t>104.6869</t>
  </si>
  <si>
    <t xml:space="preserve"> 17.0487</t>
  </si>
  <si>
    <t>RT106</t>
  </si>
  <si>
    <t>5+450</t>
  </si>
  <si>
    <t>104.6865</t>
  </si>
  <si>
    <t xml:space="preserve"> 17.0490</t>
  </si>
  <si>
    <t>5+500</t>
  </si>
  <si>
    <t>104.6860</t>
  </si>
  <si>
    <t xml:space="preserve"> 17.0493</t>
  </si>
  <si>
    <t>RT107</t>
  </si>
  <si>
    <t>5+560</t>
  </si>
  <si>
    <t>104.6855</t>
  </si>
  <si>
    <t xml:space="preserve"> 17.0494</t>
  </si>
  <si>
    <t>RT108</t>
  </si>
  <si>
    <t>5+610</t>
  </si>
  <si>
    <t>104.6850</t>
  </si>
  <si>
    <t xml:space="preserve"> 17.0495</t>
  </si>
  <si>
    <t>RT109</t>
  </si>
  <si>
    <t>5+660</t>
  </si>
  <si>
    <t>104.6846</t>
  </si>
  <si>
    <t xml:space="preserve"> 17.0496</t>
  </si>
  <si>
    <t>RT110</t>
  </si>
  <si>
    <t>5+700</t>
  </si>
  <si>
    <t>104.6841</t>
  </si>
  <si>
    <t xml:space="preserve"> 17.0497</t>
  </si>
  <si>
    <t>RT111</t>
  </si>
  <si>
    <t>5+750</t>
  </si>
  <si>
    <t>104.6837</t>
  </si>
  <si>
    <t xml:space="preserve"> 17.0498</t>
  </si>
  <si>
    <t>RT112</t>
  </si>
  <si>
    <t>5+800</t>
  </si>
  <si>
    <t>104.6831</t>
  </si>
  <si>
    <t xml:space="preserve"> 17.0499</t>
  </si>
  <si>
    <t>RT113</t>
  </si>
  <si>
    <t>5+850</t>
  </si>
  <si>
    <t>104.6827</t>
  </si>
  <si>
    <t xml:space="preserve"> 17.0500</t>
  </si>
  <si>
    <t>RT114</t>
  </si>
  <si>
    <t>5+900</t>
  </si>
  <si>
    <t>104.6822</t>
  </si>
  <si>
    <t xml:space="preserve"> 17.0501</t>
  </si>
  <si>
    <t>RT115</t>
  </si>
  <si>
    <t>5+950</t>
  </si>
  <si>
    <t>104.6817</t>
  </si>
  <si>
    <t xml:space="preserve"> 17.0502</t>
  </si>
  <si>
    <t>RT116</t>
  </si>
  <si>
    <t>6+000</t>
  </si>
  <si>
    <t>104.6812</t>
  </si>
  <si>
    <t xml:space="preserve"> 17.0503</t>
  </si>
  <si>
    <t>RT117</t>
  </si>
  <si>
    <t>6+050</t>
  </si>
  <si>
    <t>104.6807</t>
  </si>
  <si>
    <t xml:space="preserve"> 17.0504</t>
  </si>
  <si>
    <t>RT118</t>
  </si>
  <si>
    <t>6+100</t>
  </si>
  <si>
    <t>104.6804</t>
  </si>
  <si>
    <t>17.0502</t>
  </si>
  <si>
    <t>RT119</t>
  </si>
  <si>
    <t>6+150</t>
  </si>
  <si>
    <t>104.6799</t>
  </si>
  <si>
    <t>RT120</t>
  </si>
  <si>
    <t>6+210</t>
  </si>
  <si>
    <t>104.6721</t>
  </si>
  <si>
    <t xml:space="preserve"> 17.0455</t>
  </si>
  <si>
    <t>RT121</t>
  </si>
  <si>
    <t>7+270</t>
  </si>
  <si>
    <t>104.6716</t>
  </si>
  <si>
    <t>RT122</t>
  </si>
  <si>
    <t>7+320</t>
  </si>
  <si>
    <t>104.6711</t>
  </si>
  <si>
    <t>RT123</t>
  </si>
  <si>
    <t>7+375</t>
  </si>
  <si>
    <t>104.6706</t>
  </si>
  <si>
    <t>RT124</t>
  </si>
  <si>
    <t>7+420</t>
  </si>
  <si>
    <t>104.6701</t>
  </si>
  <si>
    <t>RT125</t>
  </si>
  <si>
    <t>7+470</t>
  </si>
  <si>
    <t>104.6697</t>
  </si>
  <si>
    <t>RT126</t>
  </si>
  <si>
    <t>7+520</t>
  </si>
  <si>
    <t>104.6693</t>
  </si>
  <si>
    <t>RT127</t>
  </si>
  <si>
    <t>7+570</t>
  </si>
  <si>
    <t>104.6688</t>
  </si>
  <si>
    <t>RT128</t>
  </si>
  <si>
    <t>7+620</t>
  </si>
  <si>
    <t>104.6682</t>
  </si>
  <si>
    <t>RT129</t>
  </si>
  <si>
    <t>7+790</t>
  </si>
  <si>
    <t>104.6678</t>
  </si>
  <si>
    <t>RT130</t>
  </si>
  <si>
    <t>7+820</t>
  </si>
  <si>
    <t>104.6672</t>
  </si>
  <si>
    <t>RT131</t>
  </si>
  <si>
    <t>7+860</t>
  </si>
  <si>
    <t>104.6667</t>
  </si>
  <si>
    <t>RT132</t>
  </si>
  <si>
    <t>7+890</t>
  </si>
  <si>
    <t>104.6663</t>
  </si>
  <si>
    <t>RT133</t>
  </si>
  <si>
    <t>7+920</t>
  </si>
  <si>
    <t>104.6658</t>
  </si>
  <si>
    <t>RT134</t>
  </si>
  <si>
    <t>7+960</t>
  </si>
  <si>
    <t>104.6653</t>
  </si>
  <si>
    <t>RT135</t>
  </si>
  <si>
    <t>8+000</t>
  </si>
  <si>
    <t>104.6647</t>
  </si>
  <si>
    <t>RT136</t>
  </si>
  <si>
    <t>8+060</t>
  </si>
  <si>
    <t>104.6643</t>
  </si>
  <si>
    <t>RT137</t>
  </si>
  <si>
    <t>8+105</t>
  </si>
  <si>
    <t>104.6638</t>
  </si>
  <si>
    <t>RT138</t>
  </si>
  <si>
    <t>8+155</t>
  </si>
  <si>
    <t>104.6634</t>
  </si>
  <si>
    <t>RT139</t>
  </si>
  <si>
    <t>8+205</t>
  </si>
  <si>
    <t>104.6628</t>
  </si>
  <si>
    <t>RT140</t>
  </si>
  <si>
    <t>8+260</t>
  </si>
  <si>
    <t>104.6619</t>
  </si>
  <si>
    <t>RT141</t>
  </si>
  <si>
    <t>8+360</t>
  </si>
  <si>
    <t>104.6614</t>
  </si>
  <si>
    <t>RT142</t>
  </si>
  <si>
    <t>8+410</t>
  </si>
  <si>
    <t>104.6609</t>
  </si>
  <si>
    <t>RT143</t>
  </si>
  <si>
    <t>8+465</t>
  </si>
  <si>
    <t>104.6604</t>
  </si>
  <si>
    <t>RT144</t>
  </si>
  <si>
    <t>8+515</t>
  </si>
  <si>
    <t>104.6599</t>
  </si>
  <si>
    <t>RT145</t>
  </si>
  <si>
    <t>8+555</t>
  </si>
  <si>
    <t>104.6594</t>
  </si>
  <si>
    <t>RT146</t>
  </si>
  <si>
    <t>8+605</t>
  </si>
  <si>
    <t>104.6589</t>
  </si>
  <si>
    <t>8+660</t>
  </si>
  <si>
    <t>104.6584</t>
  </si>
  <si>
    <t>RT147</t>
  </si>
  <si>
    <t>8+720</t>
  </si>
  <si>
    <t>104.6579</t>
  </si>
  <si>
    <t>RT148</t>
  </si>
  <si>
    <t>8+770</t>
  </si>
  <si>
    <t>104.6447</t>
  </si>
  <si>
    <t xml:space="preserve"> 17.0434</t>
  </si>
  <si>
    <t>RT149</t>
  </si>
  <si>
    <t>10+215</t>
  </si>
  <si>
    <t>104.6438</t>
  </si>
  <si>
    <t>17.0432</t>
  </si>
  <si>
    <t>10+305</t>
  </si>
  <si>
    <t>104.6434</t>
  </si>
  <si>
    <t>10+355</t>
  </si>
  <si>
    <t>104.6430</t>
  </si>
  <si>
    <t xml:space="preserve"> 17.0429</t>
  </si>
  <si>
    <t>10+405</t>
  </si>
  <si>
    <t>104.6425</t>
  </si>
  <si>
    <t>10+450</t>
  </si>
  <si>
    <t>104.6421</t>
  </si>
  <si>
    <t xml:space="preserve"> 17.0426</t>
  </si>
  <si>
    <t>RT150</t>
  </si>
  <si>
    <t>10+500</t>
  </si>
  <si>
    <t>104.6417</t>
  </si>
  <si>
    <t xml:space="preserve"> 17.0425</t>
  </si>
  <si>
    <t>RT151</t>
  </si>
  <si>
    <t>10+550</t>
  </si>
  <si>
    <t>104.6413</t>
  </si>
  <si>
    <t xml:space="preserve"> 17.0423</t>
  </si>
  <si>
    <t>RT152</t>
  </si>
  <si>
    <t>10+600</t>
  </si>
  <si>
    <t>104.6409</t>
  </si>
  <si>
    <t>RT153</t>
  </si>
  <si>
    <t>10+650</t>
  </si>
  <si>
    <t>104.6405</t>
  </si>
  <si>
    <t xml:space="preserve"> 17.0421</t>
  </si>
  <si>
    <t>RT154</t>
  </si>
  <si>
    <t>10+700</t>
  </si>
  <si>
    <t>104.6402</t>
  </si>
  <si>
    <t xml:space="preserve"> 17.0420</t>
  </si>
  <si>
    <t>RT155</t>
  </si>
  <si>
    <t>10+750</t>
  </si>
  <si>
    <t>104.6398</t>
  </si>
  <si>
    <t xml:space="preserve"> 17.0418</t>
  </si>
  <si>
    <t>104.6393</t>
  </si>
  <si>
    <t xml:space="preserve"> 17.0417</t>
  </si>
  <si>
    <t>RT156</t>
  </si>
  <si>
    <t>10+800</t>
  </si>
  <si>
    <t>104.6389</t>
  </si>
  <si>
    <t>RT157</t>
  </si>
  <si>
    <t>10+850</t>
  </si>
  <si>
    <t>104.6386</t>
  </si>
  <si>
    <t>RT158</t>
  </si>
  <si>
    <t>10+900</t>
  </si>
  <si>
    <t>104.6382</t>
  </si>
  <si>
    <t>RT159</t>
  </si>
  <si>
    <t>10+950</t>
  </si>
  <si>
    <t>104.6378</t>
  </si>
  <si>
    <t>17.0420</t>
  </si>
  <si>
    <t>RT160</t>
  </si>
  <si>
    <t>11+000</t>
  </si>
  <si>
    <t>104.6373</t>
  </si>
  <si>
    <t>RT161</t>
  </si>
  <si>
    <t>11+050</t>
  </si>
  <si>
    <t>104.6370</t>
  </si>
  <si>
    <t>RT162</t>
  </si>
  <si>
    <t>11+100</t>
  </si>
  <si>
    <t>104.6365</t>
  </si>
  <si>
    <t>RT163</t>
  </si>
  <si>
    <t>11+150</t>
  </si>
  <si>
    <t>104.6361</t>
  </si>
  <si>
    <t>17.0423</t>
  </si>
  <si>
    <t>RT164</t>
  </si>
  <si>
    <t>11+200</t>
  </si>
  <si>
    <t>104.6353</t>
  </si>
  <si>
    <t>RT166</t>
  </si>
  <si>
    <t>11+300</t>
  </si>
  <si>
    <t>104.6356</t>
  </si>
  <si>
    <t xml:space="preserve"> 17.0424</t>
  </si>
  <si>
    <t>RT165</t>
  </si>
  <si>
    <t>11+250</t>
  </si>
  <si>
    <t>104.6348</t>
  </si>
  <si>
    <t>RT167</t>
  </si>
  <si>
    <t>11+350</t>
  </si>
  <si>
    <t>104.6345</t>
  </si>
  <si>
    <t>RT168</t>
  </si>
  <si>
    <t>11+400</t>
  </si>
  <si>
    <t>104.6340</t>
  </si>
  <si>
    <t>RT169</t>
  </si>
  <si>
    <t>11+450</t>
  </si>
  <si>
    <t>104.6336</t>
  </si>
  <si>
    <t>RT170</t>
  </si>
  <si>
    <t>11+500</t>
  </si>
  <si>
    <t>104.6250</t>
  </si>
  <si>
    <t xml:space="preserve"> 17.0431</t>
  </si>
  <si>
    <t>RT171</t>
  </si>
  <si>
    <t>12+350</t>
  </si>
  <si>
    <t>104.6246</t>
  </si>
  <si>
    <t>RT172</t>
  </si>
  <si>
    <t>12+395</t>
  </si>
  <si>
    <t>104.6242</t>
  </si>
  <si>
    <t>RT173</t>
  </si>
  <si>
    <t>12+450</t>
  </si>
  <si>
    <t>104.6237</t>
  </si>
  <si>
    <t>RT174</t>
  </si>
  <si>
    <t>12+500</t>
  </si>
  <si>
    <t>104.6233</t>
  </si>
  <si>
    <t>RT175</t>
  </si>
  <si>
    <t>12+550</t>
  </si>
  <si>
    <t>104.6228</t>
  </si>
  <si>
    <t>RT176</t>
  </si>
  <si>
    <t>12+600</t>
  </si>
  <si>
    <t>104.6224</t>
  </si>
  <si>
    <t xml:space="preserve"> 17.0432</t>
  </si>
  <si>
    <t>RT177</t>
  </si>
  <si>
    <t>12+640</t>
  </si>
  <si>
    <t>104.6219</t>
  </si>
  <si>
    <t>RT178</t>
  </si>
  <si>
    <t>12+680</t>
  </si>
  <si>
    <t>104.6215</t>
  </si>
  <si>
    <t>RT179</t>
  </si>
  <si>
    <t>12+720</t>
  </si>
  <si>
    <t>104.6210</t>
  </si>
  <si>
    <t>RT180</t>
  </si>
  <si>
    <t>12+770</t>
  </si>
  <si>
    <t>104.6206</t>
  </si>
  <si>
    <t>12+820</t>
  </si>
  <si>
    <t>104.6201</t>
  </si>
  <si>
    <t>RT181</t>
  </si>
  <si>
    <t>12+870</t>
  </si>
  <si>
    <t>104.6197</t>
  </si>
  <si>
    <t>RT182</t>
  </si>
  <si>
    <t>12+920</t>
  </si>
  <si>
    <t>104.6193</t>
  </si>
  <si>
    <t>RT183</t>
  </si>
  <si>
    <t>12+960</t>
  </si>
  <si>
    <t>104.6189</t>
  </si>
  <si>
    <t>17.0430</t>
  </si>
  <si>
    <t>RT184</t>
  </si>
  <si>
    <t>13+000</t>
  </si>
  <si>
    <t>104.6183</t>
  </si>
  <si>
    <t>RT185</t>
  </si>
  <si>
    <t>13+050</t>
  </si>
  <si>
    <t>104.6178</t>
  </si>
  <si>
    <t>RT186</t>
  </si>
  <si>
    <t>13+100</t>
  </si>
  <si>
    <t>104.6174</t>
  </si>
  <si>
    <t>RT187</t>
  </si>
  <si>
    <t>13+150</t>
  </si>
  <si>
    <t>104.6169</t>
  </si>
  <si>
    <t>RT188</t>
  </si>
  <si>
    <t>13+200</t>
  </si>
  <si>
    <t>104.6164</t>
  </si>
  <si>
    <t>RT189</t>
  </si>
  <si>
    <t>13+260</t>
  </si>
  <si>
    <t>104.6159</t>
  </si>
  <si>
    <t xml:space="preserve"> 17.0428</t>
  </si>
  <si>
    <t>RT190</t>
  </si>
  <si>
    <t>13+300</t>
  </si>
  <si>
    <t>104.6155</t>
  </si>
  <si>
    <t>RT191</t>
  </si>
  <si>
    <t>13+350</t>
  </si>
  <si>
    <t>104.6150</t>
  </si>
  <si>
    <t>RT192</t>
  </si>
  <si>
    <t>13+400</t>
  </si>
  <si>
    <t>104.6147</t>
  </si>
  <si>
    <t>RT193</t>
  </si>
  <si>
    <t>13+450</t>
  </si>
  <si>
    <t>104.6144</t>
  </si>
  <si>
    <t>RT194</t>
  </si>
  <si>
    <t>13+500</t>
  </si>
  <si>
    <t>104.6137</t>
  </si>
  <si>
    <t>RT195</t>
  </si>
  <si>
    <t>13+600</t>
  </si>
  <si>
    <t>104.6135</t>
  </si>
  <si>
    <t>RT196</t>
  </si>
  <si>
    <t>13+630</t>
  </si>
  <si>
    <t>104.6132</t>
  </si>
  <si>
    <t>17.0410</t>
  </si>
  <si>
    <t>RT197</t>
  </si>
  <si>
    <t>13+670</t>
  </si>
  <si>
    <t>104.6129</t>
  </si>
  <si>
    <t>RT198</t>
  </si>
  <si>
    <t>13+710</t>
  </si>
  <si>
    <t>104.6126</t>
  </si>
  <si>
    <t xml:space="preserve"> 17.0405</t>
  </si>
  <si>
    <t>RT199</t>
  </si>
  <si>
    <t>13+750</t>
  </si>
  <si>
    <t>104.6124</t>
  </si>
  <si>
    <t xml:space="preserve"> 17.0403</t>
  </si>
  <si>
    <t>RT200</t>
  </si>
  <si>
    <t>13+790</t>
  </si>
  <si>
    <t>104.6121</t>
  </si>
  <si>
    <t>RT201</t>
  </si>
  <si>
    <t>13+830</t>
  </si>
  <si>
    <t>104.6119</t>
  </si>
  <si>
    <t xml:space="preserve"> 17.0399</t>
  </si>
  <si>
    <t>RT202</t>
  </si>
  <si>
    <t>13+860</t>
  </si>
  <si>
    <t>104.6116</t>
  </si>
  <si>
    <t xml:space="preserve"> 17.0396</t>
  </si>
  <si>
    <t>RT203</t>
  </si>
  <si>
    <t>13+900</t>
  </si>
  <si>
    <t>104.6114</t>
  </si>
  <si>
    <t xml:space="preserve"> 17.0394</t>
  </si>
  <si>
    <t>RT204</t>
  </si>
  <si>
    <t>13+920</t>
  </si>
  <si>
    <t>104.6112</t>
  </si>
  <si>
    <t>17.0392</t>
  </si>
  <si>
    <t>RT205</t>
  </si>
  <si>
    <t>13+945</t>
  </si>
  <si>
    <t>104.6109</t>
  </si>
  <si>
    <t>17.0390</t>
  </si>
  <si>
    <t>RT206</t>
  </si>
  <si>
    <t>13+998</t>
  </si>
  <si>
    <t>104.6106</t>
  </si>
  <si>
    <t>RT207</t>
  </si>
  <si>
    <t>14+040</t>
  </si>
  <si>
    <t>104.6103</t>
  </si>
  <si>
    <t>RT208</t>
  </si>
  <si>
    <t>14+080</t>
  </si>
  <si>
    <t>104.5985</t>
  </si>
  <si>
    <t xml:space="preserve"> 17.0300</t>
  </si>
  <si>
    <t>15+650</t>
  </si>
  <si>
    <t>104.5982</t>
  </si>
  <si>
    <t xml:space="preserve"> 17.0298</t>
  </si>
  <si>
    <t>RT209</t>
  </si>
  <si>
    <t>15+690</t>
  </si>
  <si>
    <t>104.5979</t>
  </si>
  <si>
    <t xml:space="preserve"> 17.0295</t>
  </si>
  <si>
    <t>RT210</t>
  </si>
  <si>
    <t>15+730</t>
  </si>
  <si>
    <t>104.5977</t>
  </si>
  <si>
    <t xml:space="preserve"> 17.0293</t>
  </si>
  <si>
    <t>RT211</t>
  </si>
  <si>
    <t>15+770</t>
  </si>
  <si>
    <t>104.5975</t>
  </si>
  <si>
    <t>RT212</t>
  </si>
  <si>
    <t>15+810</t>
  </si>
  <si>
    <t>104.5973</t>
  </si>
  <si>
    <t>RT213</t>
  </si>
  <si>
    <t>15+850</t>
  </si>
  <si>
    <t>104.5972</t>
  </si>
  <si>
    <t xml:space="preserve"> 17.0283</t>
  </si>
  <si>
    <t>RT214</t>
  </si>
  <si>
    <t>15+890</t>
  </si>
  <si>
    <t>104.5971</t>
  </si>
  <si>
    <t>17.0279</t>
  </si>
  <si>
    <t>RT215</t>
  </si>
  <si>
    <t>15+930</t>
  </si>
  <si>
    <t>104.5970</t>
  </si>
  <si>
    <t xml:space="preserve"> 17.0276</t>
  </si>
  <si>
    <t>104.5969</t>
  </si>
  <si>
    <t xml:space="preserve"> 17.0273</t>
  </si>
  <si>
    <t>RT216</t>
  </si>
  <si>
    <t>15+970</t>
  </si>
  <si>
    <t>104.5793</t>
  </si>
  <si>
    <t xml:space="preserve"> 17.0130</t>
  </si>
  <si>
    <t>RT217</t>
  </si>
  <si>
    <t>18+620</t>
  </si>
  <si>
    <t>104.5788</t>
  </si>
  <si>
    <t xml:space="preserve"> 17.0129</t>
  </si>
  <si>
    <t>RT218</t>
  </si>
  <si>
    <t>18+665</t>
  </si>
  <si>
    <t>104.5784</t>
  </si>
  <si>
    <t>RT219</t>
  </si>
  <si>
    <t>18+710</t>
  </si>
  <si>
    <t>104.5780</t>
  </si>
  <si>
    <t>RT220</t>
  </si>
  <si>
    <t>18+755</t>
  </si>
  <si>
    <t>104.5776</t>
  </si>
  <si>
    <t>RT221</t>
  </si>
  <si>
    <t>18+800</t>
  </si>
  <si>
    <t>104.5772</t>
  </si>
  <si>
    <t>17.0129</t>
  </si>
  <si>
    <t>RT222</t>
  </si>
  <si>
    <t>18+845</t>
  </si>
  <si>
    <t>104.5767</t>
  </si>
  <si>
    <t>18+890</t>
  </si>
  <si>
    <t>104.5763</t>
  </si>
  <si>
    <t>RT223</t>
  </si>
  <si>
    <t>18+935</t>
  </si>
  <si>
    <t>104.5759</t>
  </si>
  <si>
    <t>RT224</t>
  </si>
  <si>
    <t>18+980</t>
  </si>
  <si>
    <t>104.5755</t>
  </si>
  <si>
    <t xml:space="preserve"> 17.0128</t>
  </si>
  <si>
    <t>RT225</t>
  </si>
  <si>
    <t>19+035</t>
  </si>
  <si>
    <t>104.5750</t>
  </si>
  <si>
    <t>RT226</t>
  </si>
  <si>
    <t>19+080</t>
  </si>
  <si>
    <t>104.5746</t>
  </si>
  <si>
    <t>RT227</t>
  </si>
  <si>
    <t>19+125</t>
  </si>
  <si>
    <t>104.5742</t>
  </si>
  <si>
    <t>RT228</t>
  </si>
  <si>
    <t>19+170</t>
  </si>
  <si>
    <t>104.5735</t>
  </si>
  <si>
    <t xml:space="preserve"> 17.0127</t>
  </si>
  <si>
    <t>RT229</t>
  </si>
  <si>
    <t>19+240</t>
  </si>
  <si>
    <t>104.5732</t>
  </si>
  <si>
    <t>RT230</t>
  </si>
  <si>
    <t>19+280</t>
  </si>
  <si>
    <t>104.5728</t>
  </si>
  <si>
    <t>RT231</t>
  </si>
  <si>
    <t>19+320</t>
  </si>
  <si>
    <t>104.5724</t>
  </si>
  <si>
    <t>RT232</t>
  </si>
  <si>
    <t>19+360</t>
  </si>
  <si>
    <t>104.5721</t>
  </si>
  <si>
    <t>RT233</t>
  </si>
  <si>
    <t>19+400</t>
  </si>
  <si>
    <t>104.5717</t>
  </si>
  <si>
    <t>RT234</t>
  </si>
  <si>
    <t>19+440</t>
  </si>
  <si>
    <t>104.5714</t>
  </si>
  <si>
    <t xml:space="preserve"> 17.0126</t>
  </si>
  <si>
    <t>RT235</t>
  </si>
  <si>
    <t>19+480</t>
  </si>
  <si>
    <t>104.5710</t>
  </si>
  <si>
    <t>RT236</t>
  </si>
  <si>
    <t>19+520</t>
  </si>
  <si>
    <t>104.5707</t>
  </si>
  <si>
    <t>RT237</t>
  </si>
  <si>
    <t>19+560</t>
  </si>
  <si>
    <t>104.5703</t>
  </si>
  <si>
    <t>RT238</t>
  </si>
  <si>
    <t>19+600</t>
  </si>
  <si>
    <t>104.5700</t>
  </si>
  <si>
    <t>RT239</t>
  </si>
  <si>
    <t>19+640</t>
  </si>
  <si>
    <t>104.5697</t>
  </si>
  <si>
    <t>RT240</t>
  </si>
  <si>
    <t>19+680</t>
  </si>
  <si>
    <t>104.5659</t>
  </si>
  <si>
    <t xml:space="preserve"> 17.0135</t>
  </si>
  <si>
    <t>RT241</t>
  </si>
  <si>
    <t>20+090</t>
  </si>
  <si>
    <t>104.5655</t>
  </si>
  <si>
    <t xml:space="preserve"> 17.0136</t>
  </si>
  <si>
    <t>RT242</t>
  </si>
  <si>
    <t>20+130</t>
  </si>
  <si>
    <t>104.5653</t>
  </si>
  <si>
    <t>RT243</t>
  </si>
  <si>
    <t>20+160</t>
  </si>
  <si>
    <t>104.5650</t>
  </si>
  <si>
    <t xml:space="preserve"> 17.0137</t>
  </si>
  <si>
    <t>RT244</t>
  </si>
  <si>
    <t>20+200</t>
  </si>
  <si>
    <t>RT245</t>
  </si>
  <si>
    <t>104.5598</t>
  </si>
  <si>
    <t>17.0148</t>
  </si>
  <si>
    <t>RT246</t>
  </si>
  <si>
    <t>20+760</t>
  </si>
  <si>
    <t>104.5595</t>
  </si>
  <si>
    <t xml:space="preserve"> 17.0148</t>
  </si>
  <si>
    <t>RT247</t>
  </si>
  <si>
    <t>20+790</t>
  </si>
  <si>
    <t>104.5591</t>
  </si>
  <si>
    <t xml:space="preserve"> 17.0149</t>
  </si>
  <si>
    <t>RT248</t>
  </si>
  <si>
    <t>20+835</t>
  </si>
  <si>
    <t>104.5586</t>
  </si>
  <si>
    <t xml:space="preserve"> 17.0150</t>
  </si>
  <si>
    <t>RT249</t>
  </si>
  <si>
    <t>20+880</t>
  </si>
  <si>
    <t>104.5582</t>
  </si>
  <si>
    <t xml:space="preserve"> 17.0151</t>
  </si>
  <si>
    <t>RT250</t>
  </si>
  <si>
    <t>20+925</t>
  </si>
  <si>
    <t>104.5578</t>
  </si>
  <si>
    <t>RT251</t>
  </si>
  <si>
    <t>20+970</t>
  </si>
  <si>
    <t>104.5417</t>
  </si>
  <si>
    <t xml:space="preserve"> 17.0188</t>
  </si>
  <si>
    <t>RT252</t>
  </si>
  <si>
    <t>22+730</t>
  </si>
  <si>
    <t>104.5412</t>
  </si>
  <si>
    <t xml:space="preserve"> 17.0189</t>
  </si>
  <si>
    <t>RT253</t>
  </si>
  <si>
    <t>22+790</t>
  </si>
  <si>
    <t>104.5408</t>
  </si>
  <si>
    <t>RT254</t>
  </si>
  <si>
    <t>22+835</t>
  </si>
  <si>
    <t>104.5403</t>
  </si>
  <si>
    <t>RT255</t>
  </si>
  <si>
    <t>22+880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</si>
</sst>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4343-557A-4128-9B89-A96F701CC058}">
  <dimension ref="A1:T269"/>
  <sheetViews>
    <sheetView tabSelected="1" workbookViewId="0">
      <selection activeCell="S15" sqref="S15"/>
    </sheetView>
  </sheetViews>
  <sheetFormatPr defaultRowHeight="14.25" x14ac:dyDescent="0.2"/>
  <cols>
    <col min="1" max="16" width="9" style="2"/>
    <col min="20" max="20" width="9" style="1"/>
  </cols>
  <sheetData>
    <row r="1" spans="1:16" x14ac:dyDescent="0.2">
      <c r="A1" s="2" t="s">
        <v>537</v>
      </c>
      <c r="B1" s="2" t="s">
        <v>538</v>
      </c>
      <c r="C1" s="2" t="s">
        <v>539</v>
      </c>
      <c r="D1" s="2" t="s">
        <v>540</v>
      </c>
      <c r="E1" s="2" t="s">
        <v>541</v>
      </c>
      <c r="F1" s="2" t="s">
        <v>542</v>
      </c>
      <c r="G1" s="2" t="s">
        <v>543</v>
      </c>
      <c r="H1" s="2" t="s">
        <v>544</v>
      </c>
      <c r="I1" s="2" t="s">
        <v>545</v>
      </c>
      <c r="J1" s="2" t="s">
        <v>546</v>
      </c>
      <c r="K1" s="2" t="s">
        <v>547</v>
      </c>
      <c r="L1" s="2" t="s">
        <v>548</v>
      </c>
      <c r="M1" s="2" t="s">
        <v>549</v>
      </c>
      <c r="N1" s="2" t="s">
        <v>550</v>
      </c>
      <c r="O1" s="2" t="s">
        <v>551</v>
      </c>
      <c r="P1" s="2" t="s">
        <v>552</v>
      </c>
    </row>
    <row r="2" spans="1:16" x14ac:dyDescent="0.2">
      <c r="A2" s="2" t="s">
        <v>556</v>
      </c>
      <c r="B2" s="2" t="s">
        <v>555</v>
      </c>
      <c r="H2" s="2" t="s">
        <v>557</v>
      </c>
      <c r="I2" s="2" t="s">
        <v>558</v>
      </c>
      <c r="J2" s="2" t="s">
        <v>559</v>
      </c>
      <c r="O2" s="2" t="s">
        <v>554</v>
      </c>
      <c r="P2" s="2" t="s">
        <v>553</v>
      </c>
    </row>
    <row r="3" spans="1:16" x14ac:dyDescent="0.2">
      <c r="A3" s="2" t="s">
        <v>556</v>
      </c>
      <c r="B3" s="2" t="s">
        <v>562</v>
      </c>
      <c r="H3" s="2" t="s">
        <v>557</v>
      </c>
      <c r="I3" s="2" t="s">
        <v>558</v>
      </c>
      <c r="J3" s="2" t="s">
        <v>563</v>
      </c>
      <c r="O3" s="2" t="s">
        <v>561</v>
      </c>
      <c r="P3" s="2" t="s">
        <v>560</v>
      </c>
    </row>
    <row r="4" spans="1:16" x14ac:dyDescent="0.2">
      <c r="A4" s="2" t="s">
        <v>556</v>
      </c>
      <c r="B4" s="2" t="s">
        <v>566</v>
      </c>
      <c r="H4" s="2" t="s">
        <v>557</v>
      </c>
      <c r="I4" s="2" t="s">
        <v>558</v>
      </c>
      <c r="J4" s="2" t="s">
        <v>567</v>
      </c>
      <c r="O4" s="2" t="s">
        <v>565</v>
      </c>
      <c r="P4" s="2" t="s">
        <v>564</v>
      </c>
    </row>
    <row r="5" spans="1:16" x14ac:dyDescent="0.2">
      <c r="A5" s="2" t="s">
        <v>556</v>
      </c>
      <c r="B5" s="2" t="s">
        <v>570</v>
      </c>
      <c r="H5" s="2" t="s">
        <v>557</v>
      </c>
      <c r="I5" s="2" t="s">
        <v>558</v>
      </c>
      <c r="J5" s="2" t="s">
        <v>571</v>
      </c>
      <c r="O5" s="2" t="s">
        <v>569</v>
      </c>
      <c r="P5" s="2" t="s">
        <v>568</v>
      </c>
    </row>
    <row r="6" spans="1:16" x14ac:dyDescent="0.2">
      <c r="A6" s="2" t="s">
        <v>556</v>
      </c>
      <c r="B6" s="2" t="s">
        <v>574</v>
      </c>
      <c r="H6" s="2" t="s">
        <v>557</v>
      </c>
      <c r="I6" s="2" t="s">
        <v>558</v>
      </c>
      <c r="J6" s="2" t="s">
        <v>575</v>
      </c>
      <c r="O6" s="2" t="s">
        <v>573</v>
      </c>
      <c r="P6" s="2" t="s">
        <v>572</v>
      </c>
    </row>
    <row r="7" spans="1:16" x14ac:dyDescent="0.2">
      <c r="A7" s="2" t="s">
        <v>556</v>
      </c>
      <c r="B7" s="2" t="s">
        <v>578</v>
      </c>
      <c r="H7" s="2" t="s">
        <v>557</v>
      </c>
      <c r="I7" s="2" t="s">
        <v>558</v>
      </c>
      <c r="J7" s="2" t="s">
        <v>579</v>
      </c>
      <c r="O7" s="2" t="s">
        <v>577</v>
      </c>
      <c r="P7" s="2" t="s">
        <v>576</v>
      </c>
    </row>
    <row r="8" spans="1:16" x14ac:dyDescent="0.2">
      <c r="A8" s="2" t="s">
        <v>556</v>
      </c>
      <c r="B8" s="2" t="s">
        <v>582</v>
      </c>
      <c r="H8" s="2" t="s">
        <v>557</v>
      </c>
      <c r="I8" s="2" t="s">
        <v>558</v>
      </c>
      <c r="J8" s="2" t="s">
        <v>583</v>
      </c>
      <c r="O8" s="2" t="s">
        <v>581</v>
      </c>
      <c r="P8" s="2" t="s">
        <v>580</v>
      </c>
    </row>
    <row r="9" spans="1:16" x14ac:dyDescent="0.2">
      <c r="A9" s="2" t="s">
        <v>556</v>
      </c>
      <c r="B9" s="2" t="s">
        <v>586</v>
      </c>
      <c r="H9" s="2" t="s">
        <v>557</v>
      </c>
      <c r="I9" s="2" t="s">
        <v>558</v>
      </c>
      <c r="J9" s="2" t="s">
        <v>587</v>
      </c>
      <c r="O9" s="2" t="s">
        <v>585</v>
      </c>
      <c r="P9" s="2" t="s">
        <v>584</v>
      </c>
    </row>
    <row r="10" spans="1:16" x14ac:dyDescent="0.2">
      <c r="A10" s="2" t="s">
        <v>556</v>
      </c>
      <c r="B10" s="2" t="s">
        <v>590</v>
      </c>
      <c r="H10" s="2" t="s">
        <v>557</v>
      </c>
      <c r="I10" s="2" t="s">
        <v>558</v>
      </c>
      <c r="J10" s="2" t="s">
        <v>591</v>
      </c>
      <c r="O10" s="2" t="s">
        <v>589</v>
      </c>
      <c r="P10" s="2" t="s">
        <v>588</v>
      </c>
    </row>
    <row r="11" spans="1:16" x14ac:dyDescent="0.2">
      <c r="A11" s="2" t="s">
        <v>556</v>
      </c>
      <c r="B11" s="2" t="s">
        <v>594</v>
      </c>
      <c r="H11" s="2" t="s">
        <v>557</v>
      </c>
      <c r="I11" s="2" t="s">
        <v>558</v>
      </c>
      <c r="J11" s="2" t="s">
        <v>595</v>
      </c>
      <c r="O11" s="2" t="s">
        <v>593</v>
      </c>
      <c r="P11" s="2" t="s">
        <v>592</v>
      </c>
    </row>
    <row r="12" spans="1:16" x14ac:dyDescent="0.2">
      <c r="A12" s="2" t="s">
        <v>556</v>
      </c>
      <c r="B12" s="2" t="s">
        <v>598</v>
      </c>
      <c r="H12" s="2" t="s">
        <v>557</v>
      </c>
      <c r="I12" s="2" t="s">
        <v>558</v>
      </c>
      <c r="J12" s="2" t="s">
        <v>599</v>
      </c>
      <c r="O12" s="2" t="s">
        <v>597</v>
      </c>
      <c r="P12" s="2" t="s">
        <v>596</v>
      </c>
    </row>
    <row r="13" spans="1:16" x14ac:dyDescent="0.2">
      <c r="A13" s="2" t="s">
        <v>556</v>
      </c>
      <c r="B13" s="2" t="s">
        <v>602</v>
      </c>
      <c r="H13" s="2" t="s">
        <v>557</v>
      </c>
      <c r="I13" s="2" t="s">
        <v>558</v>
      </c>
      <c r="J13" s="2" t="s">
        <v>603</v>
      </c>
      <c r="O13" s="2" t="s">
        <v>601</v>
      </c>
      <c r="P13" s="2" t="s">
        <v>600</v>
      </c>
    </row>
    <row r="14" spans="1:16" x14ac:dyDescent="0.2">
      <c r="A14" s="2" t="s">
        <v>556</v>
      </c>
      <c r="B14" s="2" t="s">
        <v>606</v>
      </c>
      <c r="H14" s="2" t="s">
        <v>557</v>
      </c>
      <c r="I14" s="2" t="s">
        <v>558</v>
      </c>
      <c r="J14" s="2" t="s">
        <v>607</v>
      </c>
      <c r="O14" s="2" t="s">
        <v>605</v>
      </c>
      <c r="P14" s="2" t="s">
        <v>604</v>
      </c>
    </row>
    <row r="15" spans="1:16" x14ac:dyDescent="0.2">
      <c r="A15" s="2" t="s">
        <v>556</v>
      </c>
      <c r="B15" s="2" t="s">
        <v>610</v>
      </c>
      <c r="H15" s="2" t="s">
        <v>557</v>
      </c>
      <c r="I15" s="2" t="s">
        <v>558</v>
      </c>
      <c r="J15" s="2" t="s">
        <v>611</v>
      </c>
      <c r="O15" s="2" t="s">
        <v>609</v>
      </c>
      <c r="P15" s="2" t="s">
        <v>608</v>
      </c>
    </row>
    <row r="16" spans="1:16" x14ac:dyDescent="0.2">
      <c r="A16" s="2" t="s">
        <v>556</v>
      </c>
      <c r="B16" s="2" t="s">
        <v>614</v>
      </c>
      <c r="H16" s="2" t="s">
        <v>557</v>
      </c>
      <c r="I16" s="2" t="s">
        <v>558</v>
      </c>
      <c r="J16" s="2" t="s">
        <v>615</v>
      </c>
      <c r="O16" s="2" t="s">
        <v>613</v>
      </c>
      <c r="P16" s="2" t="s">
        <v>612</v>
      </c>
    </row>
    <row r="17" spans="1:16" x14ac:dyDescent="0.2">
      <c r="A17" s="2" t="s">
        <v>556</v>
      </c>
      <c r="B17" s="2" t="s">
        <v>618</v>
      </c>
      <c r="H17" s="2" t="s">
        <v>557</v>
      </c>
      <c r="I17" s="2" t="s">
        <v>558</v>
      </c>
      <c r="J17" s="2" t="s">
        <v>619</v>
      </c>
      <c r="O17" s="2" t="s">
        <v>617</v>
      </c>
      <c r="P17" s="2" t="s">
        <v>616</v>
      </c>
    </row>
    <row r="18" spans="1:16" x14ac:dyDescent="0.2">
      <c r="A18" s="2" t="s">
        <v>556</v>
      </c>
      <c r="B18" s="2" t="s">
        <v>622</v>
      </c>
      <c r="H18" s="2" t="s">
        <v>557</v>
      </c>
      <c r="I18" s="2" t="s">
        <v>558</v>
      </c>
      <c r="J18" s="2" t="s">
        <v>623</v>
      </c>
      <c r="O18" s="2" t="s">
        <v>621</v>
      </c>
      <c r="P18" s="2" t="s">
        <v>620</v>
      </c>
    </row>
    <row r="19" spans="1:16" x14ac:dyDescent="0.2">
      <c r="A19" s="2" t="s">
        <v>556</v>
      </c>
      <c r="B19" s="2" t="s">
        <v>626</v>
      </c>
      <c r="H19" s="2" t="s">
        <v>557</v>
      </c>
      <c r="I19" s="2" t="s">
        <v>558</v>
      </c>
      <c r="J19" s="2" t="s">
        <v>627</v>
      </c>
      <c r="O19" s="2" t="s">
        <v>625</v>
      </c>
      <c r="P19" s="2" t="s">
        <v>624</v>
      </c>
    </row>
    <row r="20" spans="1:16" x14ac:dyDescent="0.2">
      <c r="A20" s="2" t="s">
        <v>556</v>
      </c>
      <c r="B20" s="2" t="s">
        <v>630</v>
      </c>
      <c r="H20" s="2" t="s">
        <v>557</v>
      </c>
      <c r="I20" s="2" t="s">
        <v>558</v>
      </c>
      <c r="J20" s="2" t="s">
        <v>631</v>
      </c>
      <c r="O20" s="2" t="s">
        <v>629</v>
      </c>
      <c r="P20" s="2" t="s">
        <v>628</v>
      </c>
    </row>
    <row r="21" spans="1:16" x14ac:dyDescent="0.2">
      <c r="A21" s="2" t="s">
        <v>556</v>
      </c>
      <c r="B21" s="2" t="s">
        <v>634</v>
      </c>
      <c r="H21" s="2" t="s">
        <v>557</v>
      </c>
      <c r="I21" s="2" t="s">
        <v>558</v>
      </c>
      <c r="J21" s="2" t="s">
        <v>635</v>
      </c>
      <c r="O21" s="2" t="s">
        <v>633</v>
      </c>
      <c r="P21" s="2" t="s">
        <v>632</v>
      </c>
    </row>
    <row r="22" spans="1:16" x14ac:dyDescent="0.2">
      <c r="A22" s="2" t="s">
        <v>556</v>
      </c>
      <c r="B22" s="2" t="s">
        <v>638</v>
      </c>
      <c r="H22" s="2" t="s">
        <v>557</v>
      </c>
      <c r="I22" s="2" t="s">
        <v>558</v>
      </c>
      <c r="J22" s="2" t="s">
        <v>639</v>
      </c>
      <c r="O22" s="2" t="s">
        <v>637</v>
      </c>
      <c r="P22" s="2" t="s">
        <v>636</v>
      </c>
    </row>
    <row r="23" spans="1:16" x14ac:dyDescent="0.2">
      <c r="A23" s="2" t="s">
        <v>556</v>
      </c>
      <c r="B23" s="2" t="s">
        <v>642</v>
      </c>
      <c r="H23" s="2" t="s">
        <v>557</v>
      </c>
      <c r="I23" s="2" t="s">
        <v>558</v>
      </c>
      <c r="J23" s="2" t="s">
        <v>643</v>
      </c>
      <c r="O23" s="2" t="s">
        <v>641</v>
      </c>
      <c r="P23" s="2" t="s">
        <v>640</v>
      </c>
    </row>
    <row r="24" spans="1:16" x14ac:dyDescent="0.2">
      <c r="A24" s="2" t="s">
        <v>556</v>
      </c>
      <c r="B24" s="2" t="s">
        <v>646</v>
      </c>
      <c r="H24" s="2" t="s">
        <v>557</v>
      </c>
      <c r="I24" s="2" t="s">
        <v>558</v>
      </c>
      <c r="J24" s="2" t="s">
        <v>647</v>
      </c>
      <c r="O24" s="2" t="s">
        <v>645</v>
      </c>
      <c r="P24" s="2" t="s">
        <v>644</v>
      </c>
    </row>
    <row r="25" spans="1:16" x14ac:dyDescent="0.2">
      <c r="A25" s="2" t="s">
        <v>556</v>
      </c>
      <c r="B25" s="2" t="s">
        <v>650</v>
      </c>
      <c r="H25" s="2" t="s">
        <v>557</v>
      </c>
      <c r="I25" s="2" t="s">
        <v>558</v>
      </c>
      <c r="J25" s="2" t="s">
        <v>651</v>
      </c>
      <c r="O25" s="2" t="s">
        <v>649</v>
      </c>
      <c r="P25" s="2" t="s">
        <v>648</v>
      </c>
    </row>
    <row r="26" spans="1:16" x14ac:dyDescent="0.2">
      <c r="A26" s="2" t="s">
        <v>556</v>
      </c>
      <c r="B26" s="2" t="s">
        <v>654</v>
      </c>
      <c r="H26" s="2" t="s">
        <v>557</v>
      </c>
      <c r="I26" s="2" t="s">
        <v>558</v>
      </c>
      <c r="J26" s="2" t="s">
        <v>655</v>
      </c>
      <c r="O26" s="2" t="s">
        <v>653</v>
      </c>
      <c r="P26" s="2" t="s">
        <v>652</v>
      </c>
    </row>
    <row r="27" spans="1:16" x14ac:dyDescent="0.2">
      <c r="A27" s="2" t="s">
        <v>556</v>
      </c>
      <c r="B27" s="2" t="s">
        <v>658</v>
      </c>
      <c r="H27" s="2" t="s">
        <v>557</v>
      </c>
      <c r="I27" s="2" t="s">
        <v>558</v>
      </c>
      <c r="J27" s="2" t="s">
        <v>659</v>
      </c>
      <c r="O27" s="2" t="s">
        <v>657</v>
      </c>
      <c r="P27" s="2" t="s">
        <v>656</v>
      </c>
    </row>
    <row r="28" spans="1:16" x14ac:dyDescent="0.2">
      <c r="A28" s="2" t="s">
        <v>556</v>
      </c>
      <c r="B28" s="2" t="s">
        <v>662</v>
      </c>
      <c r="H28" s="2" t="s">
        <v>557</v>
      </c>
      <c r="I28" s="2" t="s">
        <v>558</v>
      </c>
      <c r="J28" s="2" t="s">
        <v>663</v>
      </c>
      <c r="O28" s="2" t="s">
        <v>661</v>
      </c>
      <c r="P28" s="2" t="s">
        <v>660</v>
      </c>
    </row>
    <row r="29" spans="1:16" x14ac:dyDescent="0.2">
      <c r="A29" s="2" t="s">
        <v>556</v>
      </c>
      <c r="B29" s="2" t="s">
        <v>666</v>
      </c>
      <c r="H29" s="2" t="s">
        <v>557</v>
      </c>
      <c r="I29" s="2" t="s">
        <v>558</v>
      </c>
      <c r="J29" s="2" t="s">
        <v>667</v>
      </c>
      <c r="O29" s="2" t="s">
        <v>665</v>
      </c>
      <c r="P29" s="2" t="s">
        <v>664</v>
      </c>
    </row>
    <row r="30" spans="1:16" x14ac:dyDescent="0.2">
      <c r="A30" s="2" t="s">
        <v>556</v>
      </c>
      <c r="B30" s="2" t="s">
        <v>670</v>
      </c>
      <c r="H30" s="2" t="s">
        <v>557</v>
      </c>
      <c r="I30" s="2" t="s">
        <v>558</v>
      </c>
      <c r="J30" s="2" t="s">
        <v>671</v>
      </c>
      <c r="O30" s="2" t="s">
        <v>669</v>
      </c>
      <c r="P30" s="2" t="s">
        <v>668</v>
      </c>
    </row>
    <row r="31" spans="1:16" x14ac:dyDescent="0.2">
      <c r="A31" s="2" t="s">
        <v>556</v>
      </c>
      <c r="B31" s="2" t="s">
        <v>674</v>
      </c>
      <c r="H31" s="2" t="s">
        <v>557</v>
      </c>
      <c r="I31" s="2" t="s">
        <v>558</v>
      </c>
      <c r="J31" s="2" t="s">
        <v>675</v>
      </c>
      <c r="O31" s="2" t="s">
        <v>673</v>
      </c>
      <c r="P31" s="2" t="s">
        <v>672</v>
      </c>
    </row>
    <row r="32" spans="1:16" x14ac:dyDescent="0.2">
      <c r="A32" s="2" t="s">
        <v>556</v>
      </c>
      <c r="B32" s="2" t="s">
        <v>678</v>
      </c>
      <c r="H32" s="2" t="s">
        <v>557</v>
      </c>
      <c r="I32" s="2" t="s">
        <v>558</v>
      </c>
      <c r="J32" s="2" t="s">
        <v>679</v>
      </c>
      <c r="O32" s="2" t="s">
        <v>677</v>
      </c>
      <c r="P32" s="2" t="s">
        <v>676</v>
      </c>
    </row>
    <row r="33" spans="1:16" x14ac:dyDescent="0.2">
      <c r="A33" s="2" t="s">
        <v>556</v>
      </c>
      <c r="B33" s="2" t="s">
        <v>682</v>
      </c>
      <c r="H33" s="2" t="s">
        <v>557</v>
      </c>
      <c r="I33" s="2" t="s">
        <v>558</v>
      </c>
      <c r="J33" s="2" t="s">
        <v>683</v>
      </c>
      <c r="O33" s="2" t="s">
        <v>681</v>
      </c>
      <c r="P33" s="2" t="s">
        <v>680</v>
      </c>
    </row>
    <row r="34" spans="1:16" x14ac:dyDescent="0.2">
      <c r="A34" s="2" t="s">
        <v>556</v>
      </c>
      <c r="B34" s="2" t="s">
        <v>678</v>
      </c>
      <c r="H34" s="2" t="s">
        <v>557</v>
      </c>
      <c r="I34" s="2" t="s">
        <v>558</v>
      </c>
      <c r="J34" s="2" t="s">
        <v>686</v>
      </c>
      <c r="O34" s="2" t="s">
        <v>685</v>
      </c>
      <c r="P34" s="2" t="s">
        <v>684</v>
      </c>
    </row>
    <row r="35" spans="1:16" x14ac:dyDescent="0.2">
      <c r="A35" s="2" t="s">
        <v>556</v>
      </c>
      <c r="B35" s="2" t="s">
        <v>682</v>
      </c>
      <c r="H35" s="2" t="s">
        <v>557</v>
      </c>
      <c r="I35" s="2" t="s">
        <v>558</v>
      </c>
      <c r="J35" s="2" t="s">
        <v>689</v>
      </c>
      <c r="O35" s="2" t="s">
        <v>688</v>
      </c>
      <c r="P35" s="2" t="s">
        <v>687</v>
      </c>
    </row>
    <row r="36" spans="1:16" x14ac:dyDescent="0.2">
      <c r="A36" s="2" t="s">
        <v>556</v>
      </c>
      <c r="B36" s="2" t="s">
        <v>692</v>
      </c>
      <c r="H36" s="2" t="s">
        <v>557</v>
      </c>
      <c r="I36" s="2" t="s">
        <v>558</v>
      </c>
      <c r="J36" s="2" t="s">
        <v>693</v>
      </c>
      <c r="O36" s="2" t="s">
        <v>691</v>
      </c>
      <c r="P36" s="2" t="s">
        <v>690</v>
      </c>
    </row>
    <row r="37" spans="1:16" x14ac:dyDescent="0.2">
      <c r="A37" s="2" t="s">
        <v>556</v>
      </c>
      <c r="B37" s="2" t="s">
        <v>696</v>
      </c>
      <c r="H37" s="2" t="s">
        <v>557</v>
      </c>
      <c r="I37" s="2" t="s">
        <v>558</v>
      </c>
      <c r="J37" s="2" t="s">
        <v>697</v>
      </c>
      <c r="O37" s="2" t="s">
        <v>695</v>
      </c>
      <c r="P37" s="2" t="s">
        <v>694</v>
      </c>
    </row>
    <row r="38" spans="1:16" x14ac:dyDescent="0.2">
      <c r="A38" s="2" t="s">
        <v>556</v>
      </c>
      <c r="B38" s="2" t="s">
        <v>700</v>
      </c>
      <c r="H38" s="2" t="s">
        <v>557</v>
      </c>
      <c r="I38" s="2" t="s">
        <v>558</v>
      </c>
      <c r="J38" s="2" t="s">
        <v>701</v>
      </c>
      <c r="O38" s="2" t="s">
        <v>699</v>
      </c>
      <c r="P38" s="2" t="s">
        <v>698</v>
      </c>
    </row>
    <row r="39" spans="1:16" x14ac:dyDescent="0.2">
      <c r="A39" s="2" t="s">
        <v>556</v>
      </c>
      <c r="B39" s="2" t="s">
        <v>704</v>
      </c>
      <c r="H39" s="2" t="s">
        <v>557</v>
      </c>
      <c r="I39" s="2" t="s">
        <v>558</v>
      </c>
      <c r="J39" s="2" t="s">
        <v>705</v>
      </c>
      <c r="O39" s="2" t="s">
        <v>703</v>
      </c>
      <c r="P39" s="2" t="s">
        <v>702</v>
      </c>
    </row>
    <row r="40" spans="1:16" x14ac:dyDescent="0.2">
      <c r="A40" s="2" t="s">
        <v>556</v>
      </c>
      <c r="B40" s="2" t="s">
        <v>708</v>
      </c>
      <c r="H40" s="2" t="s">
        <v>557</v>
      </c>
      <c r="I40" s="2" t="s">
        <v>558</v>
      </c>
      <c r="J40" s="2" t="s">
        <v>709</v>
      </c>
      <c r="O40" s="2" t="s">
        <v>707</v>
      </c>
      <c r="P40" s="2" t="s">
        <v>706</v>
      </c>
    </row>
    <row r="41" spans="1:16" x14ac:dyDescent="0.2">
      <c r="A41" s="2" t="s">
        <v>556</v>
      </c>
      <c r="B41" s="2" t="s">
        <v>712</v>
      </c>
      <c r="H41" s="2" t="s">
        <v>557</v>
      </c>
      <c r="I41" s="2" t="s">
        <v>558</v>
      </c>
      <c r="J41" s="2" t="s">
        <v>713</v>
      </c>
      <c r="O41" s="2" t="s">
        <v>711</v>
      </c>
      <c r="P41" s="2" t="s">
        <v>710</v>
      </c>
    </row>
    <row r="42" spans="1:16" x14ac:dyDescent="0.2">
      <c r="A42" s="2" t="s">
        <v>556</v>
      </c>
      <c r="B42" s="2" t="s">
        <v>716</v>
      </c>
      <c r="H42" s="2" t="s">
        <v>557</v>
      </c>
      <c r="I42" s="2" t="s">
        <v>558</v>
      </c>
      <c r="J42" s="2" t="s">
        <v>717</v>
      </c>
      <c r="O42" s="2" t="s">
        <v>715</v>
      </c>
      <c r="P42" s="2" t="s">
        <v>714</v>
      </c>
    </row>
    <row r="43" spans="1:16" x14ac:dyDescent="0.2">
      <c r="A43" s="2" t="s">
        <v>556</v>
      </c>
      <c r="B43" s="2" t="s">
        <v>720</v>
      </c>
      <c r="H43" s="2" t="s">
        <v>557</v>
      </c>
      <c r="I43" s="2" t="s">
        <v>558</v>
      </c>
      <c r="J43" s="2" t="s">
        <v>721</v>
      </c>
      <c r="O43" s="2" t="s">
        <v>719</v>
      </c>
      <c r="P43" s="2" t="s">
        <v>718</v>
      </c>
    </row>
    <row r="44" spans="1:16" x14ac:dyDescent="0.2">
      <c r="A44" s="2" t="s">
        <v>556</v>
      </c>
      <c r="B44" s="2" t="s">
        <v>724</v>
      </c>
      <c r="H44" s="2" t="s">
        <v>557</v>
      </c>
      <c r="I44" s="2" t="s">
        <v>558</v>
      </c>
      <c r="J44" s="2" t="s">
        <v>725</v>
      </c>
      <c r="O44" s="2" t="s">
        <v>723</v>
      </c>
      <c r="P44" s="2" t="s">
        <v>722</v>
      </c>
    </row>
    <row r="45" spans="1:16" x14ac:dyDescent="0.2">
      <c r="A45" s="2" t="s">
        <v>556</v>
      </c>
      <c r="B45" s="2" t="s">
        <v>728</v>
      </c>
      <c r="H45" s="2" t="s">
        <v>557</v>
      </c>
      <c r="I45" s="2" t="s">
        <v>558</v>
      </c>
      <c r="J45" s="2" t="s">
        <v>729</v>
      </c>
      <c r="O45" s="2" t="s">
        <v>727</v>
      </c>
      <c r="P45" s="2" t="s">
        <v>726</v>
      </c>
    </row>
    <row r="46" spans="1:16" x14ac:dyDescent="0.2">
      <c r="A46" s="2" t="s">
        <v>556</v>
      </c>
      <c r="B46" s="2" t="s">
        <v>732</v>
      </c>
      <c r="H46" s="2" t="s">
        <v>557</v>
      </c>
      <c r="I46" s="2" t="s">
        <v>558</v>
      </c>
      <c r="J46" s="2" t="s">
        <v>733</v>
      </c>
      <c r="O46" s="2" t="s">
        <v>731</v>
      </c>
      <c r="P46" s="2" t="s">
        <v>730</v>
      </c>
    </row>
    <row r="47" spans="1:16" x14ac:dyDescent="0.2">
      <c r="A47" s="2" t="s">
        <v>556</v>
      </c>
      <c r="B47" s="2" t="s">
        <v>736</v>
      </c>
      <c r="H47" s="2" t="s">
        <v>557</v>
      </c>
      <c r="I47" s="2" t="s">
        <v>558</v>
      </c>
      <c r="J47" s="2" t="s">
        <v>737</v>
      </c>
      <c r="O47" s="2" t="s">
        <v>735</v>
      </c>
      <c r="P47" s="2" t="s">
        <v>734</v>
      </c>
    </row>
    <row r="48" spans="1:16" x14ac:dyDescent="0.2">
      <c r="A48" s="2" t="s">
        <v>556</v>
      </c>
      <c r="B48" s="2" t="s">
        <v>740</v>
      </c>
      <c r="H48" s="2" t="s">
        <v>557</v>
      </c>
      <c r="I48" s="2" t="s">
        <v>558</v>
      </c>
      <c r="J48" s="2" t="s">
        <v>741</v>
      </c>
      <c r="O48" s="2" t="s">
        <v>739</v>
      </c>
      <c r="P48" s="2" t="s">
        <v>738</v>
      </c>
    </row>
    <row r="49" spans="1:16" x14ac:dyDescent="0.2">
      <c r="A49" s="2" t="s">
        <v>556</v>
      </c>
      <c r="B49" s="2" t="s">
        <v>744</v>
      </c>
      <c r="H49" s="2" t="s">
        <v>557</v>
      </c>
      <c r="I49" s="2" t="s">
        <v>558</v>
      </c>
      <c r="J49" s="2" t="s">
        <v>745</v>
      </c>
      <c r="O49" s="2" t="s">
        <v>743</v>
      </c>
      <c r="P49" s="2" t="s">
        <v>742</v>
      </c>
    </row>
    <row r="50" spans="1:16" x14ac:dyDescent="0.2">
      <c r="A50" s="2" t="s">
        <v>556</v>
      </c>
      <c r="B50" s="2" t="s">
        <v>748</v>
      </c>
      <c r="H50" s="2" t="s">
        <v>557</v>
      </c>
      <c r="I50" s="2" t="s">
        <v>558</v>
      </c>
      <c r="J50" s="2" t="s">
        <v>749</v>
      </c>
      <c r="O50" s="2" t="s">
        <v>747</v>
      </c>
      <c r="P50" s="2" t="s">
        <v>746</v>
      </c>
    </row>
    <row r="51" spans="1:16" x14ac:dyDescent="0.2">
      <c r="A51" s="2" t="s">
        <v>556</v>
      </c>
      <c r="B51" s="2" t="s">
        <v>752</v>
      </c>
      <c r="H51" s="2" t="s">
        <v>557</v>
      </c>
      <c r="I51" s="2" t="s">
        <v>558</v>
      </c>
      <c r="J51" s="2" t="s">
        <v>753</v>
      </c>
      <c r="O51" s="2" t="s">
        <v>751</v>
      </c>
      <c r="P51" s="2" t="s">
        <v>750</v>
      </c>
    </row>
    <row r="52" spans="1:16" x14ac:dyDescent="0.2">
      <c r="A52" s="2" t="s">
        <v>556</v>
      </c>
      <c r="B52" s="2" t="s">
        <v>756</v>
      </c>
      <c r="H52" s="2" t="s">
        <v>557</v>
      </c>
      <c r="I52" s="2" t="s">
        <v>558</v>
      </c>
      <c r="J52" s="2" t="s">
        <v>757</v>
      </c>
      <c r="O52" s="2" t="s">
        <v>755</v>
      </c>
      <c r="P52" s="2" t="s">
        <v>754</v>
      </c>
    </row>
    <row r="53" spans="1:16" x14ac:dyDescent="0.2">
      <c r="A53" s="2" t="s">
        <v>556</v>
      </c>
      <c r="B53" s="2" t="s">
        <v>760</v>
      </c>
      <c r="H53" s="2" t="s">
        <v>557</v>
      </c>
      <c r="I53" s="2" t="s">
        <v>558</v>
      </c>
      <c r="J53" s="2" t="s">
        <v>761</v>
      </c>
      <c r="O53" s="2" t="s">
        <v>759</v>
      </c>
      <c r="P53" s="2" t="s">
        <v>758</v>
      </c>
    </row>
    <row r="54" spans="1:16" x14ac:dyDescent="0.2">
      <c r="A54" s="2" t="s">
        <v>556</v>
      </c>
      <c r="B54" s="2" t="s">
        <v>764</v>
      </c>
      <c r="H54" s="2" t="s">
        <v>557</v>
      </c>
      <c r="I54" s="2" t="s">
        <v>558</v>
      </c>
      <c r="J54" s="2" t="s">
        <v>765</v>
      </c>
      <c r="O54" s="2" t="s">
        <v>763</v>
      </c>
      <c r="P54" s="2" t="s">
        <v>762</v>
      </c>
    </row>
    <row r="55" spans="1:16" x14ac:dyDescent="0.2">
      <c r="A55" s="2" t="s">
        <v>556</v>
      </c>
      <c r="B55" s="2" t="s">
        <v>768</v>
      </c>
      <c r="H55" s="2" t="s">
        <v>557</v>
      </c>
      <c r="I55" s="2" t="s">
        <v>558</v>
      </c>
      <c r="J55" s="2" t="s">
        <v>769</v>
      </c>
      <c r="O55" s="2" t="s">
        <v>767</v>
      </c>
      <c r="P55" s="2" t="s">
        <v>766</v>
      </c>
    </row>
    <row r="56" spans="1:16" x14ac:dyDescent="0.2">
      <c r="A56" s="2" t="s">
        <v>556</v>
      </c>
      <c r="B56" s="2" t="s">
        <v>772</v>
      </c>
      <c r="H56" s="2" t="s">
        <v>557</v>
      </c>
      <c r="I56" s="2" t="s">
        <v>558</v>
      </c>
      <c r="J56" s="2" t="s">
        <v>773</v>
      </c>
      <c r="O56" s="2" t="s">
        <v>771</v>
      </c>
      <c r="P56" s="2" t="s">
        <v>770</v>
      </c>
    </row>
    <row r="57" spans="1:16" x14ac:dyDescent="0.2">
      <c r="A57" s="2" t="s">
        <v>556</v>
      </c>
      <c r="B57" s="2" t="s">
        <v>776</v>
      </c>
      <c r="H57" s="2" t="s">
        <v>557</v>
      </c>
      <c r="I57" s="2" t="s">
        <v>558</v>
      </c>
      <c r="J57" s="2" t="s">
        <v>777</v>
      </c>
      <c r="O57" s="2" t="s">
        <v>775</v>
      </c>
      <c r="P57" s="2" t="s">
        <v>774</v>
      </c>
    </row>
    <row r="58" spans="1:16" x14ac:dyDescent="0.2">
      <c r="A58" s="2" t="s">
        <v>556</v>
      </c>
      <c r="B58" s="2" t="s">
        <v>780</v>
      </c>
      <c r="H58" s="2" t="s">
        <v>557</v>
      </c>
      <c r="I58" s="2" t="s">
        <v>558</v>
      </c>
      <c r="J58" s="2" t="s">
        <v>781</v>
      </c>
      <c r="O58" s="2" t="s">
        <v>779</v>
      </c>
      <c r="P58" s="2" t="s">
        <v>778</v>
      </c>
    </row>
    <row r="59" spans="1:16" x14ac:dyDescent="0.2">
      <c r="A59" s="2" t="s">
        <v>556</v>
      </c>
      <c r="B59" s="2" t="s">
        <v>784</v>
      </c>
      <c r="H59" s="2" t="s">
        <v>557</v>
      </c>
      <c r="I59" s="2" t="s">
        <v>558</v>
      </c>
      <c r="J59" s="2" t="s">
        <v>785</v>
      </c>
      <c r="O59" s="2" t="s">
        <v>783</v>
      </c>
      <c r="P59" s="2" t="s">
        <v>782</v>
      </c>
    </row>
    <row r="60" spans="1:16" x14ac:dyDescent="0.2">
      <c r="A60" s="2" t="s">
        <v>556</v>
      </c>
      <c r="B60" s="2" t="s">
        <v>788</v>
      </c>
      <c r="H60" s="2" t="s">
        <v>557</v>
      </c>
      <c r="I60" s="2" t="s">
        <v>558</v>
      </c>
      <c r="J60" s="2" t="s">
        <v>789</v>
      </c>
      <c r="O60" s="2" t="s">
        <v>787</v>
      </c>
      <c r="P60" s="2" t="s">
        <v>786</v>
      </c>
    </row>
    <row r="61" spans="1:16" x14ac:dyDescent="0.2">
      <c r="A61" s="2" t="s">
        <v>556</v>
      </c>
      <c r="B61" s="2" t="s">
        <v>792</v>
      </c>
      <c r="H61" s="2" t="s">
        <v>557</v>
      </c>
      <c r="I61" s="2" t="s">
        <v>558</v>
      </c>
      <c r="J61" s="2" t="s">
        <v>793</v>
      </c>
      <c r="O61" s="2" t="s">
        <v>791</v>
      </c>
      <c r="P61" s="2" t="s">
        <v>790</v>
      </c>
    </row>
    <row r="62" spans="1:16" x14ac:dyDescent="0.2">
      <c r="A62" s="2" t="s">
        <v>556</v>
      </c>
      <c r="B62" s="2" t="s">
        <v>796</v>
      </c>
      <c r="H62" s="2" t="s">
        <v>557</v>
      </c>
      <c r="I62" s="2" t="s">
        <v>558</v>
      </c>
      <c r="J62" s="2" t="s">
        <v>797</v>
      </c>
      <c r="O62" s="2" t="s">
        <v>795</v>
      </c>
      <c r="P62" s="2" t="s">
        <v>794</v>
      </c>
    </row>
    <row r="63" spans="1:16" x14ac:dyDescent="0.2">
      <c r="A63" s="2" t="s">
        <v>556</v>
      </c>
      <c r="B63" s="2" t="s">
        <v>800</v>
      </c>
      <c r="H63" s="2" t="s">
        <v>557</v>
      </c>
      <c r="I63" s="2" t="s">
        <v>558</v>
      </c>
      <c r="J63" s="2" t="s">
        <v>801</v>
      </c>
      <c r="O63" s="2" t="s">
        <v>799</v>
      </c>
      <c r="P63" s="2" t="s">
        <v>798</v>
      </c>
    </row>
    <row r="64" spans="1:16" x14ac:dyDescent="0.2">
      <c r="A64" s="2" t="s">
        <v>556</v>
      </c>
      <c r="B64" s="2" t="s">
        <v>804</v>
      </c>
      <c r="H64" s="2" t="s">
        <v>557</v>
      </c>
      <c r="I64" s="2" t="s">
        <v>558</v>
      </c>
      <c r="J64" s="2" t="s">
        <v>805</v>
      </c>
      <c r="O64" s="2" t="s">
        <v>803</v>
      </c>
      <c r="P64" s="2" t="s">
        <v>802</v>
      </c>
    </row>
    <row r="65" spans="1:16" x14ac:dyDescent="0.2">
      <c r="A65" s="2" t="s">
        <v>556</v>
      </c>
      <c r="B65" s="2" t="s">
        <v>808</v>
      </c>
      <c r="H65" s="2" t="s">
        <v>557</v>
      </c>
      <c r="I65" s="2" t="s">
        <v>558</v>
      </c>
      <c r="J65" s="2" t="s">
        <v>809</v>
      </c>
      <c r="O65" s="2" t="s">
        <v>807</v>
      </c>
      <c r="P65" s="2" t="s">
        <v>806</v>
      </c>
    </row>
    <row r="66" spans="1:16" x14ac:dyDescent="0.2">
      <c r="A66" s="2" t="s">
        <v>556</v>
      </c>
      <c r="B66" s="2" t="s">
        <v>812</v>
      </c>
      <c r="H66" s="2" t="s">
        <v>557</v>
      </c>
      <c r="I66" s="2" t="s">
        <v>558</v>
      </c>
      <c r="J66" s="2" t="s">
        <v>813</v>
      </c>
      <c r="O66" s="2" t="s">
        <v>811</v>
      </c>
      <c r="P66" s="2" t="s">
        <v>810</v>
      </c>
    </row>
    <row r="67" spans="1:16" x14ac:dyDescent="0.2">
      <c r="A67" s="2" t="s">
        <v>556</v>
      </c>
      <c r="B67" s="2" t="s">
        <v>816</v>
      </c>
      <c r="H67" s="2" t="s">
        <v>557</v>
      </c>
      <c r="I67" s="2" t="s">
        <v>558</v>
      </c>
      <c r="J67" s="2" t="s">
        <v>817</v>
      </c>
      <c r="O67" s="2" t="s">
        <v>815</v>
      </c>
      <c r="P67" s="2" t="s">
        <v>814</v>
      </c>
    </row>
    <row r="68" spans="1:16" x14ac:dyDescent="0.2">
      <c r="A68" s="2" t="s">
        <v>556</v>
      </c>
      <c r="B68" s="2" t="s">
        <v>820</v>
      </c>
      <c r="H68" s="2" t="s">
        <v>557</v>
      </c>
      <c r="I68" s="2" t="s">
        <v>558</v>
      </c>
      <c r="J68" s="2" t="s">
        <v>821</v>
      </c>
      <c r="O68" s="2" t="s">
        <v>819</v>
      </c>
      <c r="P68" s="2" t="s">
        <v>818</v>
      </c>
    </row>
    <row r="69" spans="1:16" x14ac:dyDescent="0.2">
      <c r="A69" s="2" t="s">
        <v>556</v>
      </c>
      <c r="B69" s="2" t="s">
        <v>824</v>
      </c>
      <c r="H69" s="2" t="s">
        <v>557</v>
      </c>
      <c r="I69" s="2" t="s">
        <v>558</v>
      </c>
      <c r="J69" s="2" t="s">
        <v>825</v>
      </c>
      <c r="O69" s="2" t="s">
        <v>823</v>
      </c>
      <c r="P69" s="2" t="s">
        <v>822</v>
      </c>
    </row>
    <row r="70" spans="1:16" x14ac:dyDescent="0.2">
      <c r="A70" s="2" t="s">
        <v>556</v>
      </c>
      <c r="B70" s="2" t="s">
        <v>828</v>
      </c>
      <c r="H70" s="2" t="s">
        <v>557</v>
      </c>
      <c r="I70" s="2" t="s">
        <v>558</v>
      </c>
      <c r="J70" s="2" t="s">
        <v>829</v>
      </c>
      <c r="O70" s="2" t="s">
        <v>827</v>
      </c>
      <c r="P70" s="2" t="s">
        <v>826</v>
      </c>
    </row>
    <row r="71" spans="1:16" x14ac:dyDescent="0.2">
      <c r="A71" s="2" t="s">
        <v>556</v>
      </c>
      <c r="B71" s="2" t="s">
        <v>832</v>
      </c>
      <c r="H71" s="2" t="s">
        <v>557</v>
      </c>
      <c r="I71" s="2" t="s">
        <v>558</v>
      </c>
      <c r="J71" s="2" t="s">
        <v>833</v>
      </c>
      <c r="O71" s="2" t="s">
        <v>831</v>
      </c>
      <c r="P71" s="2" t="s">
        <v>830</v>
      </c>
    </row>
    <row r="72" spans="1:16" x14ac:dyDescent="0.2">
      <c r="A72" s="2" t="s">
        <v>556</v>
      </c>
      <c r="B72" s="2" t="s">
        <v>836</v>
      </c>
      <c r="H72" s="2" t="s">
        <v>557</v>
      </c>
      <c r="I72" s="2" t="s">
        <v>558</v>
      </c>
      <c r="J72" s="2" t="s">
        <v>837</v>
      </c>
      <c r="O72" s="2" t="s">
        <v>835</v>
      </c>
      <c r="P72" s="2" t="s">
        <v>834</v>
      </c>
    </row>
    <row r="73" spans="1:16" x14ac:dyDescent="0.2">
      <c r="A73" s="2" t="s">
        <v>556</v>
      </c>
      <c r="B73" s="2" t="s">
        <v>840</v>
      </c>
      <c r="H73" s="2" t="s">
        <v>557</v>
      </c>
      <c r="I73" s="2" t="s">
        <v>558</v>
      </c>
      <c r="J73" s="2" t="s">
        <v>841</v>
      </c>
      <c r="O73" s="2" t="s">
        <v>839</v>
      </c>
      <c r="P73" s="2" t="s">
        <v>838</v>
      </c>
    </row>
    <row r="74" spans="1:16" x14ac:dyDescent="0.2">
      <c r="A74" s="2" t="s">
        <v>556</v>
      </c>
      <c r="B74" s="2" t="s">
        <v>844</v>
      </c>
      <c r="H74" s="2" t="s">
        <v>557</v>
      </c>
      <c r="I74" s="2" t="s">
        <v>558</v>
      </c>
      <c r="J74" s="2" t="s">
        <v>845</v>
      </c>
      <c r="O74" s="2" t="s">
        <v>843</v>
      </c>
      <c r="P74" s="2" t="s">
        <v>842</v>
      </c>
    </row>
    <row r="75" spans="1:16" x14ac:dyDescent="0.2">
      <c r="A75" s="2" t="s">
        <v>556</v>
      </c>
      <c r="B75" s="2" t="s">
        <v>848</v>
      </c>
      <c r="H75" s="2" t="s">
        <v>557</v>
      </c>
      <c r="I75" s="2" t="s">
        <v>558</v>
      </c>
      <c r="J75" s="2" t="s">
        <v>849</v>
      </c>
      <c r="O75" s="2" t="s">
        <v>847</v>
      </c>
      <c r="P75" s="2" t="s">
        <v>846</v>
      </c>
    </row>
    <row r="76" spans="1:16" x14ac:dyDescent="0.2">
      <c r="A76" s="2" t="s">
        <v>556</v>
      </c>
      <c r="B76" s="2" t="s">
        <v>852</v>
      </c>
      <c r="H76" s="2" t="s">
        <v>557</v>
      </c>
      <c r="I76" s="2" t="s">
        <v>558</v>
      </c>
      <c r="J76" s="2" t="s">
        <v>853</v>
      </c>
      <c r="O76" s="2" t="s">
        <v>851</v>
      </c>
      <c r="P76" s="2" t="s">
        <v>850</v>
      </c>
    </row>
    <row r="77" spans="1:16" x14ac:dyDescent="0.2">
      <c r="A77" s="2" t="s">
        <v>556</v>
      </c>
      <c r="B77" s="2" t="s">
        <v>856</v>
      </c>
      <c r="H77" s="2" t="s">
        <v>557</v>
      </c>
      <c r="I77" s="2" t="s">
        <v>558</v>
      </c>
      <c r="J77" s="2" t="s">
        <v>857</v>
      </c>
      <c r="O77" s="2" t="s">
        <v>855</v>
      </c>
      <c r="P77" s="2" t="s">
        <v>854</v>
      </c>
    </row>
    <row r="78" spans="1:16" x14ac:dyDescent="0.2">
      <c r="A78" s="2" t="s">
        <v>556</v>
      </c>
      <c r="B78" s="2" t="s">
        <v>860</v>
      </c>
      <c r="H78" s="2" t="s">
        <v>557</v>
      </c>
      <c r="I78" s="2" t="s">
        <v>558</v>
      </c>
      <c r="J78" s="2" t="s">
        <v>861</v>
      </c>
      <c r="O78" s="2" t="s">
        <v>859</v>
      </c>
      <c r="P78" s="2" t="s">
        <v>858</v>
      </c>
    </row>
    <row r="79" spans="1:16" x14ac:dyDescent="0.2">
      <c r="A79" s="2" t="s">
        <v>556</v>
      </c>
      <c r="B79" s="2" t="s">
        <v>864</v>
      </c>
      <c r="H79" s="2" t="s">
        <v>557</v>
      </c>
      <c r="I79" s="2" t="s">
        <v>558</v>
      </c>
      <c r="J79" s="2" t="s">
        <v>865</v>
      </c>
      <c r="O79" s="2" t="s">
        <v>863</v>
      </c>
      <c r="P79" s="2" t="s">
        <v>862</v>
      </c>
    </row>
    <row r="80" spans="1:16" x14ac:dyDescent="0.2">
      <c r="A80" s="2" t="s">
        <v>556</v>
      </c>
      <c r="B80" s="2" t="s">
        <v>868</v>
      </c>
      <c r="H80" s="2" t="s">
        <v>557</v>
      </c>
      <c r="I80" s="2" t="s">
        <v>558</v>
      </c>
      <c r="J80" s="2" t="s">
        <v>869</v>
      </c>
      <c r="O80" s="2" t="s">
        <v>867</v>
      </c>
      <c r="P80" s="2" t="s">
        <v>866</v>
      </c>
    </row>
    <row r="81" spans="1:16" x14ac:dyDescent="0.2">
      <c r="A81" s="2" t="s">
        <v>556</v>
      </c>
      <c r="B81" s="2" t="s">
        <v>872</v>
      </c>
      <c r="H81" s="2" t="s">
        <v>557</v>
      </c>
      <c r="I81" s="2" t="s">
        <v>558</v>
      </c>
      <c r="J81" s="2" t="s">
        <v>873</v>
      </c>
      <c r="O81" s="2" t="s">
        <v>871</v>
      </c>
      <c r="P81" s="2" t="s">
        <v>870</v>
      </c>
    </row>
    <row r="82" spans="1:16" x14ac:dyDescent="0.2">
      <c r="A82" s="2" t="s">
        <v>556</v>
      </c>
      <c r="B82" s="2" t="s">
        <v>876</v>
      </c>
      <c r="H82" s="2" t="s">
        <v>557</v>
      </c>
      <c r="I82" s="2" t="s">
        <v>558</v>
      </c>
      <c r="J82" s="2" t="s">
        <v>877</v>
      </c>
      <c r="O82" s="2" t="s">
        <v>875</v>
      </c>
      <c r="P82" s="2" t="s">
        <v>874</v>
      </c>
    </row>
    <row r="83" spans="1:16" x14ac:dyDescent="0.2">
      <c r="A83" s="2" t="s">
        <v>556</v>
      </c>
      <c r="B83" s="2" t="s">
        <v>880</v>
      </c>
      <c r="H83" s="2" t="s">
        <v>557</v>
      </c>
      <c r="I83" s="2" t="s">
        <v>558</v>
      </c>
      <c r="J83" s="2" t="s">
        <v>881</v>
      </c>
      <c r="O83" s="2" t="s">
        <v>879</v>
      </c>
      <c r="P83" s="2" t="s">
        <v>878</v>
      </c>
    </row>
    <row r="84" spans="1:16" x14ac:dyDescent="0.2">
      <c r="A84" s="2" t="s">
        <v>556</v>
      </c>
      <c r="B84" s="2" t="s">
        <v>884</v>
      </c>
      <c r="H84" s="2" t="s">
        <v>557</v>
      </c>
      <c r="I84" s="2" t="s">
        <v>558</v>
      </c>
      <c r="J84" s="2" t="s">
        <v>885</v>
      </c>
      <c r="O84" s="2" t="s">
        <v>883</v>
      </c>
      <c r="P84" s="2" t="s">
        <v>882</v>
      </c>
    </row>
    <row r="85" spans="1:16" x14ac:dyDescent="0.2">
      <c r="A85" s="2" t="s">
        <v>556</v>
      </c>
      <c r="B85" s="2" t="s">
        <v>888</v>
      </c>
      <c r="H85" s="2" t="s">
        <v>557</v>
      </c>
      <c r="I85" s="2" t="s">
        <v>558</v>
      </c>
      <c r="J85" s="2" t="s">
        <v>889</v>
      </c>
      <c r="O85" s="2" t="s">
        <v>887</v>
      </c>
      <c r="P85" s="2" t="s">
        <v>886</v>
      </c>
    </row>
    <row r="86" spans="1:16" x14ac:dyDescent="0.2">
      <c r="A86" s="2" t="s">
        <v>556</v>
      </c>
      <c r="B86" s="2" t="s">
        <v>892</v>
      </c>
      <c r="H86" s="2" t="s">
        <v>557</v>
      </c>
      <c r="I86" s="2" t="s">
        <v>558</v>
      </c>
      <c r="J86" s="2" t="s">
        <v>893</v>
      </c>
      <c r="O86" s="2" t="s">
        <v>891</v>
      </c>
      <c r="P86" s="2" t="s">
        <v>890</v>
      </c>
    </row>
    <row r="87" spans="1:16" x14ac:dyDescent="0.2">
      <c r="A87" s="2" t="s">
        <v>556</v>
      </c>
      <c r="B87" s="2" t="s">
        <v>896</v>
      </c>
      <c r="H87" s="2" t="s">
        <v>557</v>
      </c>
      <c r="I87" s="2" t="s">
        <v>558</v>
      </c>
      <c r="J87" s="2" t="s">
        <v>897</v>
      </c>
      <c r="O87" s="2" t="s">
        <v>895</v>
      </c>
      <c r="P87" s="2" t="s">
        <v>894</v>
      </c>
    </row>
    <row r="88" spans="1:16" x14ac:dyDescent="0.2">
      <c r="A88" s="2" t="s">
        <v>556</v>
      </c>
      <c r="B88" s="2" t="s">
        <v>900</v>
      </c>
      <c r="H88" s="2" t="s">
        <v>557</v>
      </c>
      <c r="I88" s="2" t="s">
        <v>558</v>
      </c>
      <c r="J88" s="2" t="s">
        <v>901</v>
      </c>
      <c r="O88" s="2" t="s">
        <v>899</v>
      </c>
      <c r="P88" s="2" t="s">
        <v>898</v>
      </c>
    </row>
    <row r="89" spans="1:16" x14ac:dyDescent="0.2">
      <c r="A89" s="2" t="s">
        <v>556</v>
      </c>
      <c r="B89" s="2" t="s">
        <v>904</v>
      </c>
      <c r="H89" s="2" t="s">
        <v>557</v>
      </c>
      <c r="I89" s="2" t="s">
        <v>558</v>
      </c>
      <c r="J89" s="2" t="s">
        <v>905</v>
      </c>
      <c r="O89" s="2" t="s">
        <v>903</v>
      </c>
      <c r="P89" s="2" t="s">
        <v>902</v>
      </c>
    </row>
    <row r="90" spans="1:16" x14ac:dyDescent="0.2">
      <c r="A90" s="2" t="s">
        <v>556</v>
      </c>
      <c r="B90" s="2" t="s">
        <v>908</v>
      </c>
      <c r="H90" s="2" t="s">
        <v>557</v>
      </c>
      <c r="I90" s="2" t="s">
        <v>558</v>
      </c>
      <c r="J90" s="2" t="s">
        <v>909</v>
      </c>
      <c r="O90" s="2" t="s">
        <v>907</v>
      </c>
      <c r="P90" s="2" t="s">
        <v>906</v>
      </c>
    </row>
    <row r="91" spans="1:16" x14ac:dyDescent="0.2">
      <c r="A91" s="2" t="s">
        <v>556</v>
      </c>
      <c r="B91" s="2" t="s">
        <v>912</v>
      </c>
      <c r="H91" s="2" t="s">
        <v>557</v>
      </c>
      <c r="I91" s="2" t="s">
        <v>558</v>
      </c>
      <c r="J91" s="2" t="s">
        <v>913</v>
      </c>
      <c r="O91" s="2" t="s">
        <v>911</v>
      </c>
      <c r="P91" s="2" t="s">
        <v>910</v>
      </c>
    </row>
    <row r="92" spans="1:16" x14ac:dyDescent="0.2">
      <c r="A92" s="2" t="s">
        <v>556</v>
      </c>
      <c r="B92" s="2" t="s">
        <v>916</v>
      </c>
      <c r="H92" s="2" t="s">
        <v>557</v>
      </c>
      <c r="I92" s="2" t="s">
        <v>558</v>
      </c>
      <c r="J92" s="2" t="s">
        <v>917</v>
      </c>
      <c r="O92" s="2" t="s">
        <v>915</v>
      </c>
      <c r="P92" s="2" t="s">
        <v>914</v>
      </c>
    </row>
    <row r="93" spans="1:16" x14ac:dyDescent="0.2">
      <c r="A93" s="2" t="s">
        <v>556</v>
      </c>
      <c r="B93" s="2" t="s">
        <v>920</v>
      </c>
      <c r="H93" s="2" t="s">
        <v>557</v>
      </c>
      <c r="I93" s="2" t="s">
        <v>558</v>
      </c>
      <c r="J93" s="2" t="s">
        <v>921</v>
      </c>
      <c r="O93" s="2" t="s">
        <v>919</v>
      </c>
      <c r="P93" s="2" t="s">
        <v>918</v>
      </c>
    </row>
    <row r="94" spans="1:16" x14ac:dyDescent="0.2">
      <c r="A94" s="2" t="s">
        <v>556</v>
      </c>
      <c r="B94" s="2" t="s">
        <v>924</v>
      </c>
      <c r="H94" s="2" t="s">
        <v>557</v>
      </c>
      <c r="I94" s="2" t="s">
        <v>558</v>
      </c>
      <c r="J94" s="2" t="s">
        <v>925</v>
      </c>
      <c r="O94" s="2" t="s">
        <v>923</v>
      </c>
      <c r="P94" s="2" t="s">
        <v>922</v>
      </c>
    </row>
    <row r="95" spans="1:16" x14ac:dyDescent="0.2">
      <c r="A95" s="2" t="s">
        <v>556</v>
      </c>
      <c r="B95" s="2" t="s">
        <v>928</v>
      </c>
      <c r="H95" s="2" t="s">
        <v>557</v>
      </c>
      <c r="I95" s="2" t="s">
        <v>558</v>
      </c>
      <c r="J95" s="2" t="s">
        <v>929</v>
      </c>
      <c r="O95" s="2" t="s">
        <v>927</v>
      </c>
      <c r="P95" s="2" t="s">
        <v>926</v>
      </c>
    </row>
    <row r="96" spans="1:16" x14ac:dyDescent="0.2">
      <c r="A96" s="2" t="s">
        <v>556</v>
      </c>
      <c r="B96" s="2" t="s">
        <v>932</v>
      </c>
      <c r="H96" s="2" t="s">
        <v>557</v>
      </c>
      <c r="I96" s="2" t="s">
        <v>558</v>
      </c>
      <c r="J96" s="2" t="s">
        <v>933</v>
      </c>
      <c r="O96" s="2" t="s">
        <v>931</v>
      </c>
      <c r="P96" s="2" t="s">
        <v>930</v>
      </c>
    </row>
    <row r="97" spans="1:16" x14ac:dyDescent="0.2">
      <c r="A97" s="2" t="s">
        <v>556</v>
      </c>
      <c r="B97" s="2" t="s">
        <v>936</v>
      </c>
      <c r="H97" s="2" t="s">
        <v>557</v>
      </c>
      <c r="I97" s="2" t="s">
        <v>558</v>
      </c>
      <c r="J97" s="2" t="s">
        <v>937</v>
      </c>
      <c r="O97" s="2" t="s">
        <v>935</v>
      </c>
      <c r="P97" s="2" t="s">
        <v>934</v>
      </c>
    </row>
    <row r="98" spans="1:16" x14ac:dyDescent="0.2">
      <c r="A98" s="2" t="s">
        <v>556</v>
      </c>
      <c r="B98" s="2" t="s">
        <v>940</v>
      </c>
      <c r="H98" s="2" t="s">
        <v>557</v>
      </c>
      <c r="I98" s="2" t="s">
        <v>558</v>
      </c>
      <c r="J98" s="2" t="s">
        <v>941</v>
      </c>
      <c r="O98" s="2" t="s">
        <v>939</v>
      </c>
      <c r="P98" s="2" t="s">
        <v>938</v>
      </c>
    </row>
    <row r="99" spans="1:16" x14ac:dyDescent="0.2">
      <c r="A99" s="2" t="s">
        <v>556</v>
      </c>
      <c r="B99" s="2" t="s">
        <v>944</v>
      </c>
      <c r="H99" s="2" t="s">
        <v>557</v>
      </c>
      <c r="I99" s="2" t="s">
        <v>558</v>
      </c>
      <c r="J99" s="2" t="s">
        <v>945</v>
      </c>
      <c r="O99" s="2" t="s">
        <v>943</v>
      </c>
      <c r="P99" s="2" t="s">
        <v>942</v>
      </c>
    </row>
    <row r="100" spans="1:16" x14ac:dyDescent="0.2">
      <c r="A100" s="2" t="s">
        <v>556</v>
      </c>
      <c r="B100" s="2" t="s">
        <v>948</v>
      </c>
      <c r="H100" s="2" t="s">
        <v>557</v>
      </c>
      <c r="I100" s="2" t="s">
        <v>558</v>
      </c>
      <c r="J100" s="2" t="s">
        <v>949</v>
      </c>
      <c r="O100" s="2" t="s">
        <v>947</v>
      </c>
      <c r="P100" s="2" t="s">
        <v>946</v>
      </c>
    </row>
    <row r="101" spans="1:16" x14ac:dyDescent="0.2">
      <c r="A101" s="2" t="s">
        <v>556</v>
      </c>
      <c r="B101" s="2" t="s">
        <v>952</v>
      </c>
      <c r="H101" s="2" t="s">
        <v>557</v>
      </c>
      <c r="I101" s="2" t="s">
        <v>558</v>
      </c>
      <c r="J101" s="2" t="s">
        <v>953</v>
      </c>
      <c r="O101" s="2" t="s">
        <v>951</v>
      </c>
      <c r="P101" s="2" t="s">
        <v>950</v>
      </c>
    </row>
    <row r="102" spans="1:16" x14ac:dyDescent="0.2">
      <c r="A102" s="2" t="s">
        <v>556</v>
      </c>
      <c r="B102" s="2" t="s">
        <v>956</v>
      </c>
      <c r="H102" s="2" t="s">
        <v>557</v>
      </c>
      <c r="I102" s="2" t="s">
        <v>558</v>
      </c>
      <c r="J102" s="2" t="s">
        <v>957</v>
      </c>
      <c r="O102" s="2" t="s">
        <v>955</v>
      </c>
      <c r="P102" s="2" t="s">
        <v>954</v>
      </c>
    </row>
    <row r="103" spans="1:16" x14ac:dyDescent="0.2">
      <c r="A103" s="2" t="s">
        <v>556</v>
      </c>
      <c r="B103" s="2" t="s">
        <v>960</v>
      </c>
      <c r="H103" s="2" t="s">
        <v>557</v>
      </c>
      <c r="I103" s="2" t="s">
        <v>558</v>
      </c>
      <c r="J103" s="2" t="s">
        <v>961</v>
      </c>
      <c r="O103" s="2" t="s">
        <v>959</v>
      </c>
      <c r="P103" s="2" t="s">
        <v>958</v>
      </c>
    </row>
    <row r="104" spans="1:16" x14ac:dyDescent="0.2">
      <c r="A104" s="2" t="s">
        <v>556</v>
      </c>
      <c r="B104" s="2" t="s">
        <v>964</v>
      </c>
      <c r="H104" s="2" t="s">
        <v>557</v>
      </c>
      <c r="I104" s="2" t="s">
        <v>558</v>
      </c>
      <c r="J104" s="2" t="s">
        <v>965</v>
      </c>
      <c r="O104" s="2" t="s">
        <v>963</v>
      </c>
      <c r="P104" s="2" t="s">
        <v>962</v>
      </c>
    </row>
    <row r="105" spans="1:16" x14ac:dyDescent="0.2">
      <c r="A105" s="2" t="s">
        <v>556</v>
      </c>
      <c r="B105" s="2" t="s">
        <v>968</v>
      </c>
      <c r="H105" s="2" t="s">
        <v>557</v>
      </c>
      <c r="I105" s="2" t="s">
        <v>558</v>
      </c>
      <c r="J105" s="2" t="s">
        <v>969</v>
      </c>
      <c r="O105" s="2" t="s">
        <v>967</v>
      </c>
      <c r="P105" s="2" t="s">
        <v>966</v>
      </c>
    </row>
    <row r="106" spans="1:16" x14ac:dyDescent="0.2">
      <c r="A106" s="2" t="s">
        <v>556</v>
      </c>
      <c r="B106" s="2" t="s">
        <v>972</v>
      </c>
      <c r="H106" s="2" t="s">
        <v>557</v>
      </c>
      <c r="I106" s="2" t="s">
        <v>558</v>
      </c>
      <c r="J106" s="2" t="s">
        <v>973</v>
      </c>
      <c r="O106" s="2" t="s">
        <v>971</v>
      </c>
      <c r="P106" s="2" t="s">
        <v>970</v>
      </c>
    </row>
    <row r="107" spans="1:16" x14ac:dyDescent="0.2">
      <c r="A107" s="2" t="s">
        <v>556</v>
      </c>
      <c r="B107" s="2" t="s">
        <v>976</v>
      </c>
      <c r="H107" s="2" t="s">
        <v>557</v>
      </c>
      <c r="I107" s="2" t="s">
        <v>558</v>
      </c>
      <c r="J107" s="2" t="s">
        <v>977</v>
      </c>
      <c r="O107" s="2" t="s">
        <v>975</v>
      </c>
      <c r="P107" s="2" t="s">
        <v>974</v>
      </c>
    </row>
    <row r="108" spans="1:16" x14ac:dyDescent="0.2">
      <c r="A108" s="2" t="s">
        <v>556</v>
      </c>
      <c r="B108" s="2" t="s">
        <v>980</v>
      </c>
      <c r="H108" s="2" t="s">
        <v>557</v>
      </c>
      <c r="I108" s="2" t="s">
        <v>558</v>
      </c>
      <c r="J108" s="2" t="s">
        <v>981</v>
      </c>
      <c r="O108" s="2" t="s">
        <v>979</v>
      </c>
      <c r="P108" s="2" t="s">
        <v>978</v>
      </c>
    </row>
    <row r="109" spans="1:16" x14ac:dyDescent="0.2">
      <c r="A109" s="2" t="s">
        <v>556</v>
      </c>
      <c r="B109" s="2" t="s">
        <v>984</v>
      </c>
      <c r="H109" s="2" t="s">
        <v>557</v>
      </c>
      <c r="I109" s="2" t="s">
        <v>558</v>
      </c>
      <c r="J109" s="2" t="s">
        <v>985</v>
      </c>
      <c r="O109" s="2" t="s">
        <v>983</v>
      </c>
      <c r="P109" s="2" t="s">
        <v>982</v>
      </c>
    </row>
    <row r="110" spans="1:16" x14ac:dyDescent="0.2">
      <c r="A110" s="2" t="s">
        <v>556</v>
      </c>
      <c r="B110" s="2" t="s">
        <v>984</v>
      </c>
      <c r="H110" s="2" t="s">
        <v>557</v>
      </c>
      <c r="I110" s="2" t="s">
        <v>558</v>
      </c>
      <c r="J110" s="2" t="s">
        <v>988</v>
      </c>
      <c r="O110" s="2" t="s">
        <v>987</v>
      </c>
      <c r="P110" s="2" t="s">
        <v>986</v>
      </c>
    </row>
    <row r="111" spans="1:16" x14ac:dyDescent="0.2">
      <c r="A111" s="2" t="s">
        <v>556</v>
      </c>
      <c r="B111" s="2" t="s">
        <v>991</v>
      </c>
      <c r="H111" s="2" t="s">
        <v>557</v>
      </c>
      <c r="I111" s="2" t="s">
        <v>558</v>
      </c>
      <c r="J111" s="2" t="s">
        <v>992</v>
      </c>
      <c r="O111" s="2" t="s">
        <v>990</v>
      </c>
      <c r="P111" s="2" t="s">
        <v>989</v>
      </c>
    </row>
    <row r="112" spans="1:16" x14ac:dyDescent="0.2">
      <c r="A112" s="2" t="s">
        <v>556</v>
      </c>
      <c r="B112" s="2" t="s">
        <v>995</v>
      </c>
      <c r="H112" s="2" t="s">
        <v>557</v>
      </c>
      <c r="I112" s="2" t="s">
        <v>558</v>
      </c>
      <c r="J112" s="2" t="s">
        <v>996</v>
      </c>
      <c r="O112" s="2" t="s">
        <v>994</v>
      </c>
      <c r="P112" s="2" t="s">
        <v>993</v>
      </c>
    </row>
    <row r="113" spans="1:16" x14ac:dyDescent="0.2">
      <c r="A113" s="2" t="s">
        <v>556</v>
      </c>
      <c r="B113" s="2" t="s">
        <v>999</v>
      </c>
      <c r="H113" s="2" t="s">
        <v>557</v>
      </c>
      <c r="I113" s="2" t="s">
        <v>558</v>
      </c>
      <c r="J113" s="2" t="s">
        <v>1000</v>
      </c>
      <c r="O113" s="2" t="s">
        <v>998</v>
      </c>
      <c r="P113" s="2" t="s">
        <v>997</v>
      </c>
    </row>
    <row r="114" spans="1:16" x14ac:dyDescent="0.2">
      <c r="A114" s="2" t="s">
        <v>556</v>
      </c>
      <c r="B114" s="2" t="s">
        <v>1003</v>
      </c>
      <c r="H114" s="2" t="s">
        <v>557</v>
      </c>
      <c r="I114" s="2" t="s">
        <v>558</v>
      </c>
      <c r="J114" s="2" t="s">
        <v>1004</v>
      </c>
      <c r="O114" s="2" t="s">
        <v>1002</v>
      </c>
      <c r="P114" s="2" t="s">
        <v>1001</v>
      </c>
    </row>
    <row r="115" spans="1:16" x14ac:dyDescent="0.2">
      <c r="A115" s="2" t="s">
        <v>556</v>
      </c>
      <c r="B115" s="2" t="s">
        <v>1007</v>
      </c>
      <c r="H115" s="2" t="s">
        <v>557</v>
      </c>
      <c r="I115" s="2" t="s">
        <v>558</v>
      </c>
      <c r="J115" s="2" t="s">
        <v>1008</v>
      </c>
      <c r="O115" s="2" t="s">
        <v>1006</v>
      </c>
      <c r="P115" s="2" t="s">
        <v>1005</v>
      </c>
    </row>
    <row r="116" spans="1:16" x14ac:dyDescent="0.2">
      <c r="A116" s="2" t="s">
        <v>556</v>
      </c>
      <c r="B116" s="2" t="s">
        <v>1011</v>
      </c>
      <c r="H116" s="2" t="s">
        <v>557</v>
      </c>
      <c r="I116" s="2" t="s">
        <v>558</v>
      </c>
      <c r="J116" s="2" t="s">
        <v>1012</v>
      </c>
      <c r="O116" s="2" t="s">
        <v>1010</v>
      </c>
      <c r="P116" s="2" t="s">
        <v>1009</v>
      </c>
    </row>
    <row r="117" spans="1:16" x14ac:dyDescent="0.2">
      <c r="A117" s="2" t="s">
        <v>556</v>
      </c>
      <c r="B117" s="2" t="s">
        <v>1015</v>
      </c>
      <c r="H117" s="2" t="s">
        <v>557</v>
      </c>
      <c r="I117" s="2" t="s">
        <v>558</v>
      </c>
      <c r="J117" s="2" t="s">
        <v>1016</v>
      </c>
      <c r="O117" s="2" t="s">
        <v>1014</v>
      </c>
      <c r="P117" s="2" t="s">
        <v>1013</v>
      </c>
    </row>
    <row r="118" spans="1:16" x14ac:dyDescent="0.2">
      <c r="A118" s="2" t="s">
        <v>556</v>
      </c>
      <c r="B118" s="2" t="s">
        <v>1019</v>
      </c>
      <c r="H118" s="2" t="s">
        <v>557</v>
      </c>
      <c r="I118" s="2" t="s">
        <v>558</v>
      </c>
      <c r="J118" s="2" t="s">
        <v>1020</v>
      </c>
      <c r="O118" s="2" t="s">
        <v>1018</v>
      </c>
      <c r="P118" s="2" t="s">
        <v>1017</v>
      </c>
    </row>
    <row r="119" spans="1:16" x14ac:dyDescent="0.2">
      <c r="A119" s="2" t="s">
        <v>556</v>
      </c>
      <c r="B119" s="2" t="s">
        <v>1023</v>
      </c>
      <c r="H119" s="2" t="s">
        <v>557</v>
      </c>
      <c r="I119" s="2" t="s">
        <v>558</v>
      </c>
      <c r="J119" s="2" t="s">
        <v>1024</v>
      </c>
      <c r="O119" s="2" t="s">
        <v>1022</v>
      </c>
      <c r="P119" s="2" t="s">
        <v>1021</v>
      </c>
    </row>
    <row r="120" spans="1:16" x14ac:dyDescent="0.2">
      <c r="A120" s="2" t="s">
        <v>556</v>
      </c>
      <c r="B120" s="2" t="s">
        <v>1027</v>
      </c>
      <c r="H120" s="2" t="s">
        <v>557</v>
      </c>
      <c r="I120" s="2" t="s">
        <v>558</v>
      </c>
      <c r="J120" s="2" t="s">
        <v>1028</v>
      </c>
      <c r="O120" s="2" t="s">
        <v>1026</v>
      </c>
      <c r="P120" s="2" t="s">
        <v>1025</v>
      </c>
    </row>
    <row r="121" spans="1:16" x14ac:dyDescent="0.2">
      <c r="A121" s="2" t="s">
        <v>556</v>
      </c>
      <c r="B121" s="2" t="s">
        <v>1031</v>
      </c>
      <c r="H121" s="2" t="s">
        <v>557</v>
      </c>
      <c r="I121" s="2" t="s">
        <v>558</v>
      </c>
      <c r="J121" s="2" t="s">
        <v>1032</v>
      </c>
      <c r="O121" s="2" t="s">
        <v>1030</v>
      </c>
      <c r="P121" s="2" t="s">
        <v>1029</v>
      </c>
    </row>
    <row r="122" spans="1:16" x14ac:dyDescent="0.2">
      <c r="A122" s="2" t="s">
        <v>556</v>
      </c>
      <c r="B122" s="2" t="s">
        <v>1035</v>
      </c>
      <c r="H122" s="2" t="s">
        <v>557</v>
      </c>
      <c r="I122" s="2" t="s">
        <v>558</v>
      </c>
      <c r="J122" s="2" t="s">
        <v>1036</v>
      </c>
      <c r="O122" s="2" t="s">
        <v>1034</v>
      </c>
      <c r="P122" s="2" t="s">
        <v>1033</v>
      </c>
    </row>
    <row r="123" spans="1:16" x14ac:dyDescent="0.2">
      <c r="A123" s="2" t="s">
        <v>556</v>
      </c>
      <c r="B123" s="2" t="s">
        <v>1039</v>
      </c>
      <c r="H123" s="2" t="s">
        <v>557</v>
      </c>
      <c r="I123" s="2" t="s">
        <v>558</v>
      </c>
      <c r="J123" s="2" t="s">
        <v>1040</v>
      </c>
      <c r="O123" s="2" t="s">
        <v>1038</v>
      </c>
      <c r="P123" s="2" t="s">
        <v>1037</v>
      </c>
    </row>
    <row r="124" spans="1:16" x14ac:dyDescent="0.2">
      <c r="A124" s="2" t="s">
        <v>556</v>
      </c>
      <c r="B124" s="2" t="s">
        <v>1042</v>
      </c>
      <c r="H124" s="2" t="s">
        <v>557</v>
      </c>
      <c r="I124" s="2" t="s">
        <v>558</v>
      </c>
      <c r="J124" s="2" t="s">
        <v>1043</v>
      </c>
      <c r="O124" s="2" t="s">
        <v>1014</v>
      </c>
      <c r="P124" s="2" t="s">
        <v>1041</v>
      </c>
    </row>
    <row r="125" spans="1:16" x14ac:dyDescent="0.2">
      <c r="A125" s="2" t="s">
        <v>556</v>
      </c>
      <c r="B125" s="2" t="s">
        <v>1046</v>
      </c>
      <c r="H125" s="2" t="s">
        <v>557</v>
      </c>
      <c r="I125" s="2" t="s">
        <v>558</v>
      </c>
      <c r="J125" s="2" t="s">
        <v>1047</v>
      </c>
      <c r="O125" s="2" t="s">
        <v>1045</v>
      </c>
      <c r="P125" s="2" t="s">
        <v>1044</v>
      </c>
    </row>
    <row r="126" spans="1:16" x14ac:dyDescent="0.2">
      <c r="A126" s="2" t="s">
        <v>556</v>
      </c>
      <c r="B126" s="2" t="s">
        <v>1049</v>
      </c>
      <c r="H126" s="2" t="s">
        <v>557</v>
      </c>
      <c r="I126" s="2" t="s">
        <v>558</v>
      </c>
      <c r="J126" s="2" t="s">
        <v>1050</v>
      </c>
      <c r="O126" s="2" t="s">
        <v>1045</v>
      </c>
      <c r="P126" s="2" t="s">
        <v>1048</v>
      </c>
    </row>
    <row r="127" spans="1:16" x14ac:dyDescent="0.2">
      <c r="A127" s="2" t="s">
        <v>556</v>
      </c>
      <c r="B127" s="2" t="s">
        <v>1052</v>
      </c>
      <c r="H127" s="2" t="s">
        <v>557</v>
      </c>
      <c r="I127" s="2" t="s">
        <v>558</v>
      </c>
      <c r="J127" s="2" t="s">
        <v>1053</v>
      </c>
      <c r="O127" s="2" t="s">
        <v>1045</v>
      </c>
      <c r="P127" s="2" t="s">
        <v>1051</v>
      </c>
    </row>
    <row r="128" spans="1:16" x14ac:dyDescent="0.2">
      <c r="A128" s="2" t="s">
        <v>556</v>
      </c>
      <c r="B128" s="2" t="s">
        <v>1055</v>
      </c>
      <c r="H128" s="2" t="s">
        <v>557</v>
      </c>
      <c r="I128" s="2" t="s">
        <v>558</v>
      </c>
      <c r="J128" s="2" t="s">
        <v>1056</v>
      </c>
      <c r="O128" s="2" t="s">
        <v>1045</v>
      </c>
      <c r="P128" s="2" t="s">
        <v>1054</v>
      </c>
    </row>
    <row r="129" spans="1:16" x14ac:dyDescent="0.2">
      <c r="A129" s="2" t="s">
        <v>556</v>
      </c>
      <c r="B129" s="2" t="s">
        <v>1058</v>
      </c>
      <c r="H129" s="2" t="s">
        <v>557</v>
      </c>
      <c r="I129" s="2" t="s">
        <v>558</v>
      </c>
      <c r="J129" s="2" t="s">
        <v>1059</v>
      </c>
      <c r="O129" s="2" t="s">
        <v>1045</v>
      </c>
      <c r="P129" s="2" t="s">
        <v>1057</v>
      </c>
    </row>
    <row r="130" spans="1:16" x14ac:dyDescent="0.2">
      <c r="A130" s="2" t="s">
        <v>556</v>
      </c>
      <c r="B130" s="2" t="s">
        <v>1061</v>
      </c>
      <c r="H130" s="2" t="s">
        <v>557</v>
      </c>
      <c r="I130" s="2" t="s">
        <v>558</v>
      </c>
      <c r="J130" s="2" t="s">
        <v>1062</v>
      </c>
      <c r="O130" s="2" t="s">
        <v>1045</v>
      </c>
      <c r="P130" s="2" t="s">
        <v>1060</v>
      </c>
    </row>
    <row r="131" spans="1:16" x14ac:dyDescent="0.2">
      <c r="A131" s="2" t="s">
        <v>556</v>
      </c>
      <c r="B131" s="2" t="s">
        <v>1064</v>
      </c>
      <c r="H131" s="2" t="s">
        <v>557</v>
      </c>
      <c r="I131" s="2" t="s">
        <v>558</v>
      </c>
      <c r="J131" s="2" t="s">
        <v>1065</v>
      </c>
      <c r="O131" s="2" t="s">
        <v>1045</v>
      </c>
      <c r="P131" s="2" t="s">
        <v>1063</v>
      </c>
    </row>
    <row r="132" spans="1:16" x14ac:dyDescent="0.2">
      <c r="A132" s="2" t="s">
        <v>556</v>
      </c>
      <c r="B132" s="2" t="s">
        <v>1067</v>
      </c>
      <c r="H132" s="2" t="s">
        <v>557</v>
      </c>
      <c r="I132" s="2" t="s">
        <v>558</v>
      </c>
      <c r="J132" s="2" t="s">
        <v>1068</v>
      </c>
      <c r="O132" s="2" t="s">
        <v>1045</v>
      </c>
      <c r="P132" s="2" t="s">
        <v>1066</v>
      </c>
    </row>
    <row r="133" spans="1:16" x14ac:dyDescent="0.2">
      <c r="A133" s="2" t="s">
        <v>556</v>
      </c>
      <c r="B133" s="2" t="s">
        <v>1070</v>
      </c>
      <c r="H133" s="2" t="s">
        <v>557</v>
      </c>
      <c r="I133" s="2" t="s">
        <v>558</v>
      </c>
      <c r="J133" s="2" t="s">
        <v>1071</v>
      </c>
      <c r="O133" s="2" t="s">
        <v>1045</v>
      </c>
      <c r="P133" s="2" t="s">
        <v>1069</v>
      </c>
    </row>
    <row r="134" spans="1:16" x14ac:dyDescent="0.2">
      <c r="A134" s="2" t="s">
        <v>556</v>
      </c>
      <c r="B134" s="2" t="s">
        <v>1073</v>
      </c>
      <c r="H134" s="2" t="s">
        <v>557</v>
      </c>
      <c r="I134" s="2" t="s">
        <v>558</v>
      </c>
      <c r="J134" s="2" t="s">
        <v>1074</v>
      </c>
      <c r="O134" s="2" t="s">
        <v>1045</v>
      </c>
      <c r="P134" s="2" t="s">
        <v>1072</v>
      </c>
    </row>
    <row r="135" spans="1:16" x14ac:dyDescent="0.2">
      <c r="A135" s="2" t="s">
        <v>556</v>
      </c>
      <c r="B135" s="2" t="s">
        <v>1076</v>
      </c>
      <c r="H135" s="2" t="s">
        <v>557</v>
      </c>
      <c r="I135" s="2" t="s">
        <v>558</v>
      </c>
      <c r="J135" s="2" t="s">
        <v>1077</v>
      </c>
      <c r="O135" s="2" t="s">
        <v>1045</v>
      </c>
      <c r="P135" s="2" t="s">
        <v>1075</v>
      </c>
    </row>
    <row r="136" spans="1:16" x14ac:dyDescent="0.2">
      <c r="A136" s="2" t="s">
        <v>556</v>
      </c>
      <c r="B136" s="2" t="s">
        <v>1079</v>
      </c>
      <c r="H136" s="2" t="s">
        <v>557</v>
      </c>
      <c r="I136" s="2" t="s">
        <v>558</v>
      </c>
      <c r="J136" s="2" t="s">
        <v>1080</v>
      </c>
      <c r="O136" s="2" t="s">
        <v>1045</v>
      </c>
      <c r="P136" s="2" t="s">
        <v>1078</v>
      </c>
    </row>
    <row r="137" spans="1:16" x14ac:dyDescent="0.2">
      <c r="A137" s="2" t="s">
        <v>556</v>
      </c>
      <c r="B137" s="2" t="s">
        <v>1082</v>
      </c>
      <c r="H137" s="2" t="s">
        <v>557</v>
      </c>
      <c r="I137" s="2" t="s">
        <v>558</v>
      </c>
      <c r="J137" s="2" t="s">
        <v>1083</v>
      </c>
      <c r="O137" s="2" t="s">
        <v>1045</v>
      </c>
      <c r="P137" s="2" t="s">
        <v>1081</v>
      </c>
    </row>
    <row r="138" spans="1:16" x14ac:dyDescent="0.2">
      <c r="A138" s="2" t="s">
        <v>556</v>
      </c>
      <c r="B138" s="2" t="s">
        <v>1085</v>
      </c>
      <c r="H138" s="2" t="s">
        <v>557</v>
      </c>
      <c r="I138" s="2" t="s">
        <v>558</v>
      </c>
      <c r="J138" s="2" t="s">
        <v>1086</v>
      </c>
      <c r="O138" s="2" t="s">
        <v>939</v>
      </c>
      <c r="P138" s="2" t="s">
        <v>1084</v>
      </c>
    </row>
    <row r="139" spans="1:16" x14ac:dyDescent="0.2">
      <c r="A139" s="2" t="s">
        <v>556</v>
      </c>
      <c r="B139" s="2" t="s">
        <v>1088</v>
      </c>
      <c r="H139" s="2" t="s">
        <v>557</v>
      </c>
      <c r="I139" s="2" t="s">
        <v>558</v>
      </c>
      <c r="J139" s="2" t="s">
        <v>1089</v>
      </c>
      <c r="O139" s="2" t="s">
        <v>939</v>
      </c>
      <c r="P139" s="2" t="s">
        <v>1087</v>
      </c>
    </row>
    <row r="140" spans="1:16" x14ac:dyDescent="0.2">
      <c r="A140" s="2" t="s">
        <v>556</v>
      </c>
      <c r="B140" s="2" t="s">
        <v>1091</v>
      </c>
      <c r="H140" s="2" t="s">
        <v>557</v>
      </c>
      <c r="I140" s="2" t="s">
        <v>558</v>
      </c>
      <c r="J140" s="2" t="s">
        <v>1092</v>
      </c>
      <c r="O140" s="2" t="s">
        <v>1045</v>
      </c>
      <c r="P140" s="2" t="s">
        <v>1090</v>
      </c>
    </row>
    <row r="141" spans="1:16" x14ac:dyDescent="0.2">
      <c r="A141" s="2" t="s">
        <v>556</v>
      </c>
      <c r="B141" s="2" t="s">
        <v>1094</v>
      </c>
      <c r="H141" s="2" t="s">
        <v>557</v>
      </c>
      <c r="I141" s="2" t="s">
        <v>558</v>
      </c>
      <c r="J141" s="2" t="s">
        <v>1095</v>
      </c>
      <c r="O141" s="2" t="s">
        <v>1045</v>
      </c>
      <c r="P141" s="2" t="s">
        <v>1093</v>
      </c>
    </row>
    <row r="142" spans="1:16" x14ac:dyDescent="0.2">
      <c r="A142" s="2" t="s">
        <v>556</v>
      </c>
      <c r="B142" s="2" t="s">
        <v>1097</v>
      </c>
      <c r="H142" s="2" t="s">
        <v>557</v>
      </c>
      <c r="I142" s="2" t="s">
        <v>558</v>
      </c>
      <c r="J142" s="2" t="s">
        <v>1098</v>
      </c>
      <c r="O142" s="2" t="s">
        <v>1045</v>
      </c>
      <c r="P142" s="2" t="s">
        <v>1096</v>
      </c>
    </row>
    <row r="143" spans="1:16" x14ac:dyDescent="0.2">
      <c r="A143" s="2" t="s">
        <v>556</v>
      </c>
      <c r="B143" s="2" t="s">
        <v>1100</v>
      </c>
      <c r="H143" s="2" t="s">
        <v>557</v>
      </c>
      <c r="I143" s="2" t="s">
        <v>558</v>
      </c>
      <c r="J143" s="2" t="s">
        <v>1101</v>
      </c>
      <c r="O143" s="2" t="s">
        <v>1045</v>
      </c>
      <c r="P143" s="2" t="s">
        <v>1099</v>
      </c>
    </row>
    <row r="144" spans="1:16" x14ac:dyDescent="0.2">
      <c r="A144" s="2" t="s">
        <v>556</v>
      </c>
      <c r="B144" s="2" t="s">
        <v>1103</v>
      </c>
      <c r="H144" s="2" t="s">
        <v>557</v>
      </c>
      <c r="I144" s="2" t="s">
        <v>558</v>
      </c>
      <c r="J144" s="2" t="s">
        <v>1104</v>
      </c>
      <c r="O144" s="2" t="s">
        <v>1045</v>
      </c>
      <c r="P144" s="2" t="s">
        <v>1102</v>
      </c>
    </row>
    <row r="145" spans="1:16" x14ac:dyDescent="0.2">
      <c r="A145" s="2" t="s">
        <v>556</v>
      </c>
      <c r="B145" s="2" t="s">
        <v>1106</v>
      </c>
      <c r="H145" s="2" t="s">
        <v>557</v>
      </c>
      <c r="I145" s="2" t="s">
        <v>558</v>
      </c>
      <c r="J145" s="2" t="s">
        <v>1107</v>
      </c>
      <c r="O145" s="2" t="s">
        <v>1045</v>
      </c>
      <c r="P145" s="2" t="s">
        <v>1105</v>
      </c>
    </row>
    <row r="146" spans="1:16" x14ac:dyDescent="0.2">
      <c r="A146" s="2" t="s">
        <v>556</v>
      </c>
      <c r="B146" s="2" t="s">
        <v>1109</v>
      </c>
      <c r="H146" s="2" t="s">
        <v>557</v>
      </c>
      <c r="I146" s="2" t="s">
        <v>558</v>
      </c>
      <c r="J146" s="2" t="s">
        <v>1110</v>
      </c>
      <c r="O146" s="2" t="s">
        <v>1045</v>
      </c>
      <c r="P146" s="2" t="s">
        <v>1108</v>
      </c>
    </row>
    <row r="147" spans="1:16" x14ac:dyDescent="0.2">
      <c r="A147" s="2" t="s">
        <v>556</v>
      </c>
      <c r="B147" s="2" t="s">
        <v>1112</v>
      </c>
      <c r="H147" s="2" t="s">
        <v>557</v>
      </c>
      <c r="I147" s="2" t="s">
        <v>558</v>
      </c>
      <c r="J147" s="2" t="s">
        <v>1113</v>
      </c>
      <c r="O147" s="2" t="s">
        <v>1045</v>
      </c>
      <c r="P147" s="2" t="s">
        <v>1111</v>
      </c>
    </row>
    <row r="148" spans="1:16" x14ac:dyDescent="0.2">
      <c r="A148" s="2" t="s">
        <v>556</v>
      </c>
      <c r="B148" s="2" t="s">
        <v>1115</v>
      </c>
      <c r="H148" s="2" t="s">
        <v>557</v>
      </c>
      <c r="I148" s="2" t="s">
        <v>558</v>
      </c>
      <c r="J148" s="2" t="s">
        <v>1116</v>
      </c>
      <c r="O148" s="2" t="s">
        <v>1045</v>
      </c>
      <c r="P148" s="2" t="s">
        <v>1114</v>
      </c>
    </row>
    <row r="149" spans="1:16" x14ac:dyDescent="0.2">
      <c r="A149" s="2" t="s">
        <v>556</v>
      </c>
      <c r="B149" s="2" t="s">
        <v>1118</v>
      </c>
      <c r="H149" s="2" t="s">
        <v>557</v>
      </c>
      <c r="I149" s="2" t="s">
        <v>558</v>
      </c>
      <c r="J149" s="2" t="s">
        <v>1119</v>
      </c>
      <c r="O149" s="2" t="s">
        <v>1045</v>
      </c>
      <c r="P149" s="2" t="s">
        <v>1117</v>
      </c>
    </row>
    <row r="150" spans="1:16" x14ac:dyDescent="0.2">
      <c r="A150" s="2" t="s">
        <v>556</v>
      </c>
      <c r="B150" s="2" t="s">
        <v>1121</v>
      </c>
      <c r="H150" s="2" t="s">
        <v>557</v>
      </c>
      <c r="I150" s="2" t="s">
        <v>558</v>
      </c>
      <c r="J150" s="2" t="s">
        <v>1122</v>
      </c>
      <c r="O150" s="2" t="s">
        <v>1045</v>
      </c>
      <c r="P150" s="2" t="s">
        <v>1120</v>
      </c>
    </row>
    <row r="151" spans="1:16" x14ac:dyDescent="0.2">
      <c r="A151" s="2" t="s">
        <v>556</v>
      </c>
      <c r="B151" s="2" t="s">
        <v>1121</v>
      </c>
      <c r="H151" s="2" t="s">
        <v>557</v>
      </c>
      <c r="I151" s="2" t="s">
        <v>558</v>
      </c>
      <c r="J151" s="2" t="s">
        <v>1124</v>
      </c>
      <c r="O151" s="2" t="s">
        <v>1045</v>
      </c>
      <c r="P151" s="2" t="s">
        <v>1123</v>
      </c>
    </row>
    <row r="152" spans="1:16" x14ac:dyDescent="0.2">
      <c r="A152" s="2" t="s">
        <v>556</v>
      </c>
      <c r="B152" s="2" t="s">
        <v>1126</v>
      </c>
      <c r="H152" s="2" t="s">
        <v>557</v>
      </c>
      <c r="I152" s="2" t="s">
        <v>558</v>
      </c>
      <c r="J152" s="2" t="s">
        <v>1127</v>
      </c>
      <c r="O152" s="2" t="s">
        <v>1045</v>
      </c>
      <c r="P152" s="2" t="s">
        <v>1125</v>
      </c>
    </row>
    <row r="153" spans="1:16" x14ac:dyDescent="0.2">
      <c r="A153" s="2" t="s">
        <v>556</v>
      </c>
      <c r="B153" s="2" t="s">
        <v>1129</v>
      </c>
      <c r="H153" s="2" t="s">
        <v>557</v>
      </c>
      <c r="I153" s="2" t="s">
        <v>558</v>
      </c>
      <c r="J153" s="2" t="s">
        <v>1130</v>
      </c>
      <c r="O153" s="2" t="s">
        <v>939</v>
      </c>
      <c r="P153" s="2" t="s">
        <v>1128</v>
      </c>
    </row>
    <row r="154" spans="1:16" x14ac:dyDescent="0.2">
      <c r="A154" s="2" t="s">
        <v>556</v>
      </c>
      <c r="B154" s="2" t="s">
        <v>1133</v>
      </c>
      <c r="H154" s="2" t="s">
        <v>557</v>
      </c>
      <c r="I154" s="2" t="s">
        <v>558</v>
      </c>
      <c r="J154" s="2" t="s">
        <v>1134</v>
      </c>
      <c r="O154" s="2" t="s">
        <v>1132</v>
      </c>
      <c r="P154" s="2" t="s">
        <v>1131</v>
      </c>
    </row>
    <row r="155" spans="1:16" x14ac:dyDescent="0.2">
      <c r="A155" s="2" t="s">
        <v>556</v>
      </c>
      <c r="B155" s="2" t="s">
        <v>1121</v>
      </c>
      <c r="H155" s="2" t="s">
        <v>557</v>
      </c>
      <c r="I155" s="2" t="s">
        <v>558</v>
      </c>
      <c r="J155" s="2" t="s">
        <v>1137</v>
      </c>
      <c r="O155" s="2" t="s">
        <v>1136</v>
      </c>
      <c r="P155" s="2" t="s">
        <v>1135</v>
      </c>
    </row>
    <row r="156" spans="1:16" x14ac:dyDescent="0.2">
      <c r="A156" s="2" t="s">
        <v>556</v>
      </c>
      <c r="B156" s="2" t="s">
        <v>1126</v>
      </c>
      <c r="H156" s="2" t="s">
        <v>557</v>
      </c>
      <c r="I156" s="2" t="s">
        <v>558</v>
      </c>
      <c r="J156" s="2" t="s">
        <v>1139</v>
      </c>
      <c r="O156" s="2" t="s">
        <v>907</v>
      </c>
      <c r="P156" s="2" t="s">
        <v>1138</v>
      </c>
    </row>
    <row r="157" spans="1:16" x14ac:dyDescent="0.2">
      <c r="A157" s="2" t="s">
        <v>556</v>
      </c>
      <c r="B157" s="2" t="s">
        <v>1129</v>
      </c>
      <c r="H157" s="2" t="s">
        <v>557</v>
      </c>
      <c r="I157" s="2" t="s">
        <v>558</v>
      </c>
      <c r="J157" s="2" t="s">
        <v>1142</v>
      </c>
      <c r="O157" s="2" t="s">
        <v>1141</v>
      </c>
      <c r="P157" s="2" t="s">
        <v>1140</v>
      </c>
    </row>
    <row r="158" spans="1:16" x14ac:dyDescent="0.2">
      <c r="A158" s="2" t="s">
        <v>556</v>
      </c>
      <c r="B158" s="2" t="s">
        <v>1133</v>
      </c>
      <c r="H158" s="2" t="s">
        <v>557</v>
      </c>
      <c r="I158" s="2" t="s">
        <v>558</v>
      </c>
      <c r="J158" s="2" t="s">
        <v>1144</v>
      </c>
      <c r="O158" s="2" t="s">
        <v>903</v>
      </c>
      <c r="P158" s="2" t="s">
        <v>1143</v>
      </c>
    </row>
    <row r="159" spans="1:16" x14ac:dyDescent="0.2">
      <c r="A159" s="2" t="s">
        <v>556</v>
      </c>
      <c r="B159" s="2" t="s">
        <v>1147</v>
      </c>
      <c r="H159" s="2" t="s">
        <v>557</v>
      </c>
      <c r="I159" s="2" t="s">
        <v>558</v>
      </c>
      <c r="J159" s="2" t="s">
        <v>1148</v>
      </c>
      <c r="O159" s="2" t="s">
        <v>1146</v>
      </c>
      <c r="P159" s="2" t="s">
        <v>1145</v>
      </c>
    </row>
    <row r="160" spans="1:16" x14ac:dyDescent="0.2">
      <c r="A160" s="2" t="s">
        <v>556</v>
      </c>
      <c r="B160" s="2" t="s">
        <v>1151</v>
      </c>
      <c r="H160" s="2" t="s">
        <v>557</v>
      </c>
      <c r="I160" s="2" t="s">
        <v>558</v>
      </c>
      <c r="J160" s="2" t="s">
        <v>1152</v>
      </c>
      <c r="O160" s="2" t="s">
        <v>1150</v>
      </c>
      <c r="P160" s="2" t="s">
        <v>1149</v>
      </c>
    </row>
    <row r="161" spans="1:16" x14ac:dyDescent="0.2">
      <c r="A161" s="2" t="s">
        <v>556</v>
      </c>
      <c r="B161" s="2" t="s">
        <v>1155</v>
      </c>
      <c r="H161" s="2" t="s">
        <v>557</v>
      </c>
      <c r="I161" s="2" t="s">
        <v>558</v>
      </c>
      <c r="J161" s="2" t="s">
        <v>1156</v>
      </c>
      <c r="O161" s="2" t="s">
        <v>1154</v>
      </c>
      <c r="P161" s="2" t="s">
        <v>1153</v>
      </c>
    </row>
    <row r="162" spans="1:16" x14ac:dyDescent="0.2">
      <c r="A162" s="2" t="s">
        <v>556</v>
      </c>
      <c r="B162" s="2" t="s">
        <v>1158</v>
      </c>
      <c r="H162" s="2" t="s">
        <v>557</v>
      </c>
      <c r="I162" s="2" t="s">
        <v>558</v>
      </c>
      <c r="J162" s="2" t="s">
        <v>1159</v>
      </c>
      <c r="O162" s="2" t="s">
        <v>895</v>
      </c>
      <c r="P162" s="2" t="s">
        <v>1157</v>
      </c>
    </row>
    <row r="163" spans="1:16" x14ac:dyDescent="0.2">
      <c r="A163" s="2" t="s">
        <v>556</v>
      </c>
      <c r="B163" s="2" t="s">
        <v>1162</v>
      </c>
      <c r="H163" s="2" t="s">
        <v>557</v>
      </c>
      <c r="I163" s="2" t="s">
        <v>558</v>
      </c>
      <c r="J163" s="2" t="s">
        <v>1163</v>
      </c>
      <c r="O163" s="2" t="s">
        <v>1161</v>
      </c>
      <c r="P163" s="2" t="s">
        <v>1160</v>
      </c>
    </row>
    <row r="164" spans="1:16" x14ac:dyDescent="0.2">
      <c r="A164" s="2" t="s">
        <v>556</v>
      </c>
      <c r="B164" s="2" t="s">
        <v>1166</v>
      </c>
      <c r="H164" s="2" t="s">
        <v>557</v>
      </c>
      <c r="I164" s="2" t="s">
        <v>558</v>
      </c>
      <c r="J164" s="2" t="s">
        <v>1167</v>
      </c>
      <c r="O164" s="2" t="s">
        <v>1165</v>
      </c>
      <c r="P164" s="2" t="s">
        <v>1164</v>
      </c>
    </row>
    <row r="165" spans="1:16" x14ac:dyDescent="0.2">
      <c r="A165" s="2" t="s">
        <v>556</v>
      </c>
      <c r="B165" s="2" t="s">
        <v>1166</v>
      </c>
      <c r="H165" s="2" t="s">
        <v>557</v>
      </c>
      <c r="I165" s="2" t="s">
        <v>558</v>
      </c>
      <c r="J165" s="2" t="s">
        <v>1167</v>
      </c>
      <c r="O165" s="2" t="s">
        <v>1169</v>
      </c>
      <c r="P165" s="2" t="s">
        <v>1168</v>
      </c>
    </row>
    <row r="166" spans="1:16" x14ac:dyDescent="0.2">
      <c r="A166" s="2" t="s">
        <v>556</v>
      </c>
      <c r="B166" s="2" t="s">
        <v>1172</v>
      </c>
      <c r="H166" s="2" t="s">
        <v>557</v>
      </c>
      <c r="I166" s="2" t="s">
        <v>558</v>
      </c>
      <c r="J166" s="2" t="s">
        <v>1173</v>
      </c>
      <c r="O166" s="2" t="s">
        <v>1171</v>
      </c>
      <c r="P166" s="2" t="s">
        <v>1170</v>
      </c>
    </row>
    <row r="167" spans="1:16" x14ac:dyDescent="0.2">
      <c r="A167" s="2" t="s">
        <v>556</v>
      </c>
      <c r="B167" s="2" t="s">
        <v>1175</v>
      </c>
      <c r="H167" s="2" t="s">
        <v>557</v>
      </c>
      <c r="I167" s="2" t="s">
        <v>558</v>
      </c>
      <c r="J167" s="2" t="s">
        <v>1176</v>
      </c>
      <c r="O167" s="2" t="s">
        <v>1169</v>
      </c>
      <c r="P167" s="2" t="s">
        <v>1174</v>
      </c>
    </row>
    <row r="168" spans="1:16" x14ac:dyDescent="0.2">
      <c r="A168" s="2" t="s">
        <v>556</v>
      </c>
      <c r="B168" s="2" t="s">
        <v>1178</v>
      </c>
      <c r="H168" s="2" t="s">
        <v>557</v>
      </c>
      <c r="I168" s="2" t="s">
        <v>558</v>
      </c>
      <c r="J168" s="2" t="s">
        <v>1179</v>
      </c>
      <c r="O168" s="2" t="s">
        <v>1169</v>
      </c>
      <c r="P168" s="2" t="s">
        <v>1177</v>
      </c>
    </row>
    <row r="169" spans="1:16" x14ac:dyDescent="0.2">
      <c r="A169" s="2" t="s">
        <v>556</v>
      </c>
      <c r="B169" s="2" t="s">
        <v>1181</v>
      </c>
      <c r="H169" s="2" t="s">
        <v>557</v>
      </c>
      <c r="I169" s="2" t="s">
        <v>558</v>
      </c>
      <c r="J169" s="2" t="s">
        <v>1182</v>
      </c>
      <c r="O169" s="2" t="s">
        <v>891</v>
      </c>
      <c r="P169" s="2" t="s">
        <v>1180</v>
      </c>
    </row>
    <row r="170" spans="1:16" x14ac:dyDescent="0.2">
      <c r="A170" s="2" t="s">
        <v>556</v>
      </c>
      <c r="B170" s="2" t="s">
        <v>1185</v>
      </c>
      <c r="H170" s="2" t="s">
        <v>557</v>
      </c>
      <c r="I170" s="2" t="s">
        <v>558</v>
      </c>
      <c r="J170" s="2" t="s">
        <v>1186</v>
      </c>
      <c r="O170" s="2" t="s">
        <v>1184</v>
      </c>
      <c r="P170" s="2" t="s">
        <v>1183</v>
      </c>
    </row>
    <row r="171" spans="1:16" x14ac:dyDescent="0.2">
      <c r="A171" s="2" t="s">
        <v>556</v>
      </c>
      <c r="B171" s="2" t="s">
        <v>1188</v>
      </c>
      <c r="H171" s="2" t="s">
        <v>557</v>
      </c>
      <c r="I171" s="2" t="s">
        <v>558</v>
      </c>
      <c r="J171" s="2" t="s">
        <v>1189</v>
      </c>
      <c r="O171" s="2" t="s">
        <v>1161</v>
      </c>
      <c r="P171" s="2" t="s">
        <v>1187</v>
      </c>
    </row>
    <row r="172" spans="1:16" x14ac:dyDescent="0.2">
      <c r="A172" s="2" t="s">
        <v>556</v>
      </c>
      <c r="B172" s="2" t="s">
        <v>1191</v>
      </c>
      <c r="H172" s="2" t="s">
        <v>557</v>
      </c>
      <c r="I172" s="2" t="s">
        <v>558</v>
      </c>
      <c r="J172" s="2" t="s">
        <v>1192</v>
      </c>
      <c r="O172" s="2" t="s">
        <v>1161</v>
      </c>
      <c r="P172" s="2" t="s">
        <v>1190</v>
      </c>
    </row>
    <row r="173" spans="1:16" x14ac:dyDescent="0.2">
      <c r="A173" s="2" t="s">
        <v>556</v>
      </c>
      <c r="B173" s="2" t="s">
        <v>1194</v>
      </c>
      <c r="H173" s="2" t="s">
        <v>557</v>
      </c>
      <c r="I173" s="2" t="s">
        <v>558</v>
      </c>
      <c r="J173" s="2" t="s">
        <v>1195</v>
      </c>
      <c r="O173" s="2" t="s">
        <v>895</v>
      </c>
      <c r="P173" s="2" t="s">
        <v>1193</v>
      </c>
    </row>
    <row r="174" spans="1:16" x14ac:dyDescent="0.2">
      <c r="A174" s="2" t="s">
        <v>556</v>
      </c>
      <c r="B174" s="2" t="s">
        <v>1198</v>
      </c>
      <c r="H174" s="2" t="s">
        <v>557</v>
      </c>
      <c r="I174" s="2" t="s">
        <v>558</v>
      </c>
      <c r="J174" s="2" t="s">
        <v>1199</v>
      </c>
      <c r="O174" s="2" t="s">
        <v>1197</v>
      </c>
      <c r="P174" s="2" t="s">
        <v>1196</v>
      </c>
    </row>
    <row r="175" spans="1:16" x14ac:dyDescent="0.2">
      <c r="A175" s="2" t="s">
        <v>556</v>
      </c>
      <c r="B175" s="2" t="s">
        <v>1201</v>
      </c>
      <c r="H175" s="2" t="s">
        <v>557</v>
      </c>
      <c r="I175" s="2" t="s">
        <v>558</v>
      </c>
      <c r="J175" s="2" t="s">
        <v>1202</v>
      </c>
      <c r="O175" s="2" t="s">
        <v>1150</v>
      </c>
      <c r="P175" s="2" t="s">
        <v>1200</v>
      </c>
    </row>
    <row r="176" spans="1:16" x14ac:dyDescent="0.2">
      <c r="A176" s="2" t="s">
        <v>556</v>
      </c>
      <c r="B176" s="2" t="s">
        <v>1205</v>
      </c>
      <c r="H176" s="2" t="s">
        <v>557</v>
      </c>
      <c r="I176" s="2" t="s">
        <v>558</v>
      </c>
      <c r="J176" s="2" t="s">
        <v>1206</v>
      </c>
      <c r="O176" s="2" t="s">
        <v>1204</v>
      </c>
      <c r="P176" s="2" t="s">
        <v>1203</v>
      </c>
    </row>
    <row r="177" spans="1:16" x14ac:dyDescent="0.2">
      <c r="A177" s="2" t="s">
        <v>556</v>
      </c>
      <c r="B177" s="2" t="s">
        <v>1208</v>
      </c>
      <c r="H177" s="2" t="s">
        <v>557</v>
      </c>
      <c r="I177" s="2" t="s">
        <v>558</v>
      </c>
      <c r="J177" s="2" t="s">
        <v>1209</v>
      </c>
      <c r="O177" s="2" t="s">
        <v>1146</v>
      </c>
      <c r="P177" s="2" t="s">
        <v>1207</v>
      </c>
    </row>
    <row r="178" spans="1:16" x14ac:dyDescent="0.2">
      <c r="A178" s="2" t="s">
        <v>556</v>
      </c>
      <c r="B178" s="2" t="s">
        <v>1211</v>
      </c>
      <c r="H178" s="2" t="s">
        <v>557</v>
      </c>
      <c r="I178" s="2" t="s">
        <v>558</v>
      </c>
      <c r="J178" s="2" t="s">
        <v>1212</v>
      </c>
      <c r="O178" s="2" t="s">
        <v>1146</v>
      </c>
      <c r="P178" s="2" t="s">
        <v>1210</v>
      </c>
    </row>
    <row r="179" spans="1:16" x14ac:dyDescent="0.2">
      <c r="A179" s="2" t="s">
        <v>556</v>
      </c>
      <c r="B179" s="2" t="s">
        <v>1214</v>
      </c>
      <c r="H179" s="2" t="s">
        <v>557</v>
      </c>
      <c r="I179" s="2" t="s">
        <v>558</v>
      </c>
      <c r="J179" s="2" t="s">
        <v>1215</v>
      </c>
      <c r="O179" s="2" t="s">
        <v>903</v>
      </c>
      <c r="P179" s="2" t="s">
        <v>1213</v>
      </c>
    </row>
    <row r="180" spans="1:16" x14ac:dyDescent="0.2">
      <c r="A180" s="2" t="s">
        <v>556</v>
      </c>
      <c r="B180" s="2" t="s">
        <v>1217</v>
      </c>
      <c r="H180" s="2" t="s">
        <v>557</v>
      </c>
      <c r="I180" s="2" t="s">
        <v>558</v>
      </c>
      <c r="J180" s="2" t="s">
        <v>1218</v>
      </c>
      <c r="O180" s="2" t="s">
        <v>903</v>
      </c>
      <c r="P180" s="2" t="s">
        <v>1216</v>
      </c>
    </row>
    <row r="181" spans="1:16" x14ac:dyDescent="0.2">
      <c r="A181" s="2" t="s">
        <v>556</v>
      </c>
      <c r="B181" s="2" t="s">
        <v>1221</v>
      </c>
      <c r="H181" s="2" t="s">
        <v>557</v>
      </c>
      <c r="I181" s="2" t="s">
        <v>558</v>
      </c>
      <c r="J181" s="2" t="s">
        <v>1222</v>
      </c>
      <c r="O181" s="2" t="s">
        <v>1220</v>
      </c>
      <c r="P181" s="2" t="s">
        <v>1219</v>
      </c>
    </row>
    <row r="182" spans="1:16" x14ac:dyDescent="0.2">
      <c r="A182" s="2" t="s">
        <v>556</v>
      </c>
      <c r="B182" s="2" t="s">
        <v>1224</v>
      </c>
      <c r="H182" s="2" t="s">
        <v>557</v>
      </c>
      <c r="I182" s="2" t="s">
        <v>558</v>
      </c>
      <c r="J182" s="2" t="s">
        <v>1225</v>
      </c>
      <c r="O182" s="2" t="s">
        <v>1220</v>
      </c>
      <c r="P182" s="2" t="s">
        <v>1223</v>
      </c>
    </row>
    <row r="183" spans="1:16" x14ac:dyDescent="0.2">
      <c r="A183" s="2" t="s">
        <v>556</v>
      </c>
      <c r="B183" s="2" t="s">
        <v>1227</v>
      </c>
      <c r="H183" s="2" t="s">
        <v>557</v>
      </c>
      <c r="I183" s="2" t="s">
        <v>558</v>
      </c>
      <c r="J183" s="2" t="s">
        <v>1228</v>
      </c>
      <c r="O183" s="2" t="s">
        <v>1220</v>
      </c>
      <c r="P183" s="2" t="s">
        <v>1226</v>
      </c>
    </row>
    <row r="184" spans="1:16" x14ac:dyDescent="0.2">
      <c r="A184" s="2" t="s">
        <v>556</v>
      </c>
      <c r="B184" s="2" t="s">
        <v>1230</v>
      </c>
      <c r="H184" s="2" t="s">
        <v>557</v>
      </c>
      <c r="I184" s="2" t="s">
        <v>558</v>
      </c>
      <c r="J184" s="2" t="s">
        <v>1231</v>
      </c>
      <c r="O184" s="2" t="s">
        <v>1220</v>
      </c>
      <c r="P184" s="2" t="s">
        <v>1229</v>
      </c>
    </row>
    <row r="185" spans="1:16" x14ac:dyDescent="0.2">
      <c r="A185" s="2" t="s">
        <v>556</v>
      </c>
      <c r="B185" s="2" t="s">
        <v>1233</v>
      </c>
      <c r="H185" s="2" t="s">
        <v>557</v>
      </c>
      <c r="I185" s="2" t="s">
        <v>558</v>
      </c>
      <c r="J185" s="2" t="s">
        <v>1234</v>
      </c>
      <c r="O185" s="2" t="s">
        <v>1220</v>
      </c>
      <c r="P185" s="2" t="s">
        <v>1232</v>
      </c>
    </row>
    <row r="186" spans="1:16" x14ac:dyDescent="0.2">
      <c r="A186" s="2" t="s">
        <v>556</v>
      </c>
      <c r="B186" s="2" t="s">
        <v>1236</v>
      </c>
      <c r="H186" s="2" t="s">
        <v>557</v>
      </c>
      <c r="I186" s="2" t="s">
        <v>558</v>
      </c>
      <c r="J186" s="2" t="s">
        <v>1237</v>
      </c>
      <c r="O186" s="2" t="s">
        <v>1220</v>
      </c>
      <c r="P186" s="2" t="s">
        <v>1235</v>
      </c>
    </row>
    <row r="187" spans="1:16" x14ac:dyDescent="0.2">
      <c r="A187" s="2" t="s">
        <v>556</v>
      </c>
      <c r="B187" s="2" t="s">
        <v>1240</v>
      </c>
      <c r="H187" s="2" t="s">
        <v>557</v>
      </c>
      <c r="I187" s="2" t="s">
        <v>558</v>
      </c>
      <c r="J187" s="2" t="s">
        <v>1241</v>
      </c>
      <c r="O187" s="2" t="s">
        <v>1239</v>
      </c>
      <c r="P187" s="2" t="s">
        <v>1238</v>
      </c>
    </row>
    <row r="188" spans="1:16" x14ac:dyDescent="0.2">
      <c r="A188" s="2" t="s">
        <v>556</v>
      </c>
      <c r="B188" s="2" t="s">
        <v>1243</v>
      </c>
      <c r="H188" s="2" t="s">
        <v>557</v>
      </c>
      <c r="I188" s="2" t="s">
        <v>558</v>
      </c>
      <c r="J188" s="2" t="s">
        <v>1244</v>
      </c>
      <c r="O188" s="2" t="s">
        <v>1239</v>
      </c>
      <c r="P188" s="2" t="s">
        <v>1242</v>
      </c>
    </row>
    <row r="189" spans="1:16" x14ac:dyDescent="0.2">
      <c r="A189" s="2" t="s">
        <v>556</v>
      </c>
      <c r="B189" s="2" t="s">
        <v>1246</v>
      </c>
      <c r="H189" s="2" t="s">
        <v>557</v>
      </c>
      <c r="I189" s="2" t="s">
        <v>558</v>
      </c>
      <c r="J189" s="2" t="s">
        <v>1247</v>
      </c>
      <c r="O189" s="2" t="s">
        <v>1239</v>
      </c>
      <c r="P189" s="2" t="s">
        <v>1245</v>
      </c>
    </row>
    <row r="190" spans="1:16" x14ac:dyDescent="0.2">
      <c r="A190" s="2" t="s">
        <v>556</v>
      </c>
      <c r="B190" s="2" t="s">
        <v>1249</v>
      </c>
      <c r="H190" s="2" t="s">
        <v>557</v>
      </c>
      <c r="I190" s="2" t="s">
        <v>558</v>
      </c>
      <c r="J190" s="2" t="s">
        <v>1250</v>
      </c>
      <c r="O190" s="2" t="s">
        <v>1239</v>
      </c>
      <c r="P190" s="2" t="s">
        <v>1248</v>
      </c>
    </row>
    <row r="191" spans="1:16" x14ac:dyDescent="0.2">
      <c r="A191" s="2" t="s">
        <v>556</v>
      </c>
      <c r="B191" s="2" t="s">
        <v>1249</v>
      </c>
      <c r="H191" s="2" t="s">
        <v>557</v>
      </c>
      <c r="I191" s="2" t="s">
        <v>558</v>
      </c>
      <c r="J191" s="2" t="s">
        <v>1252</v>
      </c>
      <c r="O191" s="2" t="s">
        <v>1220</v>
      </c>
      <c r="P191" s="2" t="s">
        <v>1251</v>
      </c>
    </row>
    <row r="192" spans="1:16" x14ac:dyDescent="0.2">
      <c r="A192" s="2" t="s">
        <v>556</v>
      </c>
      <c r="B192" s="2" t="s">
        <v>1254</v>
      </c>
      <c r="H192" s="2" t="s">
        <v>557</v>
      </c>
      <c r="I192" s="2" t="s">
        <v>558</v>
      </c>
      <c r="J192" s="2" t="s">
        <v>1255</v>
      </c>
      <c r="O192" s="2" t="s">
        <v>1220</v>
      </c>
      <c r="P192" s="2" t="s">
        <v>1253</v>
      </c>
    </row>
    <row r="193" spans="1:16" x14ac:dyDescent="0.2">
      <c r="A193" s="2" t="s">
        <v>556</v>
      </c>
      <c r="B193" s="2" t="s">
        <v>1257</v>
      </c>
      <c r="H193" s="2" t="s">
        <v>557</v>
      </c>
      <c r="I193" s="2" t="s">
        <v>558</v>
      </c>
      <c r="J193" s="2" t="s">
        <v>1258</v>
      </c>
      <c r="O193" s="2" t="s">
        <v>1220</v>
      </c>
      <c r="P193" s="2" t="s">
        <v>1256</v>
      </c>
    </row>
    <row r="194" spans="1:16" x14ac:dyDescent="0.2">
      <c r="A194" s="2" t="s">
        <v>556</v>
      </c>
      <c r="B194" s="2" t="s">
        <v>1260</v>
      </c>
      <c r="H194" s="2" t="s">
        <v>557</v>
      </c>
      <c r="I194" s="2" t="s">
        <v>558</v>
      </c>
      <c r="J194" s="2" t="s">
        <v>1261</v>
      </c>
      <c r="O194" s="2" t="s">
        <v>1220</v>
      </c>
      <c r="P194" s="2" t="s">
        <v>1259</v>
      </c>
    </row>
    <row r="195" spans="1:16" x14ac:dyDescent="0.2">
      <c r="A195" s="2" t="s">
        <v>556</v>
      </c>
      <c r="B195" s="2" t="s">
        <v>1264</v>
      </c>
      <c r="H195" s="2" t="s">
        <v>557</v>
      </c>
      <c r="I195" s="2" t="s">
        <v>558</v>
      </c>
      <c r="J195" s="2" t="s">
        <v>1265</v>
      </c>
      <c r="O195" s="2" t="s">
        <v>1263</v>
      </c>
      <c r="P195" s="2" t="s">
        <v>1262</v>
      </c>
    </row>
    <row r="196" spans="1:16" x14ac:dyDescent="0.2">
      <c r="A196" s="2" t="s">
        <v>556</v>
      </c>
      <c r="B196" s="2" t="s">
        <v>1267</v>
      </c>
      <c r="H196" s="2" t="s">
        <v>557</v>
      </c>
      <c r="I196" s="2" t="s">
        <v>558</v>
      </c>
      <c r="J196" s="2" t="s">
        <v>1268</v>
      </c>
      <c r="O196" s="2" t="s">
        <v>907</v>
      </c>
      <c r="P196" s="2" t="s">
        <v>1266</v>
      </c>
    </row>
    <row r="197" spans="1:16" x14ac:dyDescent="0.2">
      <c r="A197" s="2" t="s">
        <v>556</v>
      </c>
      <c r="B197" s="2" t="s">
        <v>1270</v>
      </c>
      <c r="H197" s="2" t="s">
        <v>557</v>
      </c>
      <c r="I197" s="2" t="s">
        <v>558</v>
      </c>
      <c r="J197" s="2" t="s">
        <v>1271</v>
      </c>
      <c r="O197" s="2" t="s">
        <v>907</v>
      </c>
      <c r="P197" s="2" t="s">
        <v>1269</v>
      </c>
    </row>
    <row r="198" spans="1:16" x14ac:dyDescent="0.2">
      <c r="A198" s="2" t="s">
        <v>556</v>
      </c>
      <c r="B198" s="2" t="s">
        <v>1273</v>
      </c>
      <c r="H198" s="2" t="s">
        <v>557</v>
      </c>
      <c r="I198" s="2" t="s">
        <v>558</v>
      </c>
      <c r="J198" s="2" t="s">
        <v>1274</v>
      </c>
      <c r="O198" s="2" t="s">
        <v>1263</v>
      </c>
      <c r="P198" s="2" t="s">
        <v>1272</v>
      </c>
    </row>
    <row r="199" spans="1:16" x14ac:dyDescent="0.2">
      <c r="A199" s="2" t="s">
        <v>556</v>
      </c>
      <c r="B199" s="2" t="s">
        <v>1276</v>
      </c>
      <c r="H199" s="2" t="s">
        <v>557</v>
      </c>
      <c r="I199" s="2" t="s">
        <v>558</v>
      </c>
      <c r="J199" s="2" t="s">
        <v>1277</v>
      </c>
      <c r="O199" s="2" t="s">
        <v>1141</v>
      </c>
      <c r="P199" s="2" t="s">
        <v>1275</v>
      </c>
    </row>
    <row r="200" spans="1:16" x14ac:dyDescent="0.2">
      <c r="A200" s="2" t="s">
        <v>556</v>
      </c>
      <c r="B200" s="2" t="s">
        <v>1279</v>
      </c>
      <c r="H200" s="2" t="s">
        <v>557</v>
      </c>
      <c r="I200" s="2" t="s">
        <v>558</v>
      </c>
      <c r="J200" s="2" t="s">
        <v>1280</v>
      </c>
      <c r="O200" s="2" t="s">
        <v>1141</v>
      </c>
      <c r="P200" s="2" t="s">
        <v>1278</v>
      </c>
    </row>
    <row r="201" spans="1:16" x14ac:dyDescent="0.2">
      <c r="A201" s="2" t="s">
        <v>556</v>
      </c>
      <c r="B201" s="2" t="s">
        <v>1283</v>
      </c>
      <c r="H201" s="2" t="s">
        <v>557</v>
      </c>
      <c r="I201" s="2" t="s">
        <v>558</v>
      </c>
      <c r="J201" s="2" t="s">
        <v>1284</v>
      </c>
      <c r="O201" s="2" t="s">
        <v>1282</v>
      </c>
      <c r="P201" s="2" t="s">
        <v>1281</v>
      </c>
    </row>
    <row r="202" spans="1:16" x14ac:dyDescent="0.2">
      <c r="A202" s="2" t="s">
        <v>556</v>
      </c>
      <c r="B202" s="2" t="s">
        <v>1286</v>
      </c>
      <c r="H202" s="2" t="s">
        <v>557</v>
      </c>
      <c r="I202" s="2" t="s">
        <v>558</v>
      </c>
      <c r="J202" s="2" t="s">
        <v>1287</v>
      </c>
      <c r="O202" s="2" t="s">
        <v>1282</v>
      </c>
      <c r="P202" s="2" t="s">
        <v>1285</v>
      </c>
    </row>
    <row r="203" spans="1:16" x14ac:dyDescent="0.2">
      <c r="A203" s="2" t="s">
        <v>556</v>
      </c>
      <c r="B203" s="2" t="s">
        <v>1289</v>
      </c>
      <c r="H203" s="2" t="s">
        <v>557</v>
      </c>
      <c r="I203" s="2" t="s">
        <v>558</v>
      </c>
      <c r="J203" s="2" t="s">
        <v>1290</v>
      </c>
      <c r="O203" s="2" t="s">
        <v>1146</v>
      </c>
      <c r="P203" s="2" t="s">
        <v>1288</v>
      </c>
    </row>
    <row r="204" spans="1:16" x14ac:dyDescent="0.2">
      <c r="A204" s="2" t="s">
        <v>556</v>
      </c>
      <c r="B204" s="2" t="s">
        <v>1292</v>
      </c>
      <c r="H204" s="2" t="s">
        <v>557</v>
      </c>
      <c r="I204" s="2" t="s">
        <v>558</v>
      </c>
      <c r="J204" s="2" t="s">
        <v>1293</v>
      </c>
      <c r="O204" s="2" t="s">
        <v>1204</v>
      </c>
      <c r="P204" s="2" t="s">
        <v>1291</v>
      </c>
    </row>
    <row r="205" spans="1:16" x14ac:dyDescent="0.2">
      <c r="A205" s="2" t="s">
        <v>556</v>
      </c>
      <c r="B205" s="2" t="s">
        <v>1295</v>
      </c>
      <c r="H205" s="2" t="s">
        <v>557</v>
      </c>
      <c r="I205" s="2" t="s">
        <v>558</v>
      </c>
      <c r="J205" s="2" t="s">
        <v>1296</v>
      </c>
      <c r="O205" s="2" t="s">
        <v>1161</v>
      </c>
      <c r="P205" s="2" t="s">
        <v>1294</v>
      </c>
    </row>
    <row r="206" spans="1:16" x14ac:dyDescent="0.2">
      <c r="A206" s="2" t="s">
        <v>556</v>
      </c>
      <c r="B206" s="2" t="s">
        <v>1298</v>
      </c>
      <c r="H206" s="2" t="s">
        <v>557</v>
      </c>
      <c r="I206" s="2" t="s">
        <v>558</v>
      </c>
      <c r="J206" s="2" t="s">
        <v>1299</v>
      </c>
      <c r="O206" s="2" t="s">
        <v>883</v>
      </c>
      <c r="P206" s="2" t="s">
        <v>1297</v>
      </c>
    </row>
    <row r="207" spans="1:16" x14ac:dyDescent="0.2">
      <c r="A207" s="2" t="s">
        <v>556</v>
      </c>
      <c r="B207" s="2" t="s">
        <v>1301</v>
      </c>
      <c r="H207" s="2" t="s">
        <v>557</v>
      </c>
      <c r="I207" s="2" t="s">
        <v>558</v>
      </c>
      <c r="J207" s="2" t="s">
        <v>1302</v>
      </c>
      <c r="O207" s="2" t="s">
        <v>879</v>
      </c>
      <c r="P207" s="2" t="s">
        <v>1300</v>
      </c>
    </row>
    <row r="208" spans="1:16" x14ac:dyDescent="0.2">
      <c r="A208" s="2" t="s">
        <v>556</v>
      </c>
      <c r="B208" s="2" t="s">
        <v>1305</v>
      </c>
      <c r="H208" s="2" t="s">
        <v>557</v>
      </c>
      <c r="I208" s="2" t="s">
        <v>558</v>
      </c>
      <c r="J208" s="2" t="s">
        <v>1306</v>
      </c>
      <c r="O208" s="2" t="s">
        <v>1304</v>
      </c>
      <c r="P208" s="2" t="s">
        <v>1303</v>
      </c>
    </row>
    <row r="209" spans="1:16" x14ac:dyDescent="0.2">
      <c r="A209" s="2" t="s">
        <v>556</v>
      </c>
      <c r="B209" s="2" t="s">
        <v>1308</v>
      </c>
      <c r="H209" s="2" t="s">
        <v>557</v>
      </c>
      <c r="I209" s="2" t="s">
        <v>558</v>
      </c>
      <c r="J209" s="2" t="s">
        <v>1309</v>
      </c>
      <c r="O209" s="2" t="s">
        <v>875</v>
      </c>
      <c r="P209" s="2" t="s">
        <v>1307</v>
      </c>
    </row>
    <row r="210" spans="1:16" x14ac:dyDescent="0.2">
      <c r="A210" s="2" t="s">
        <v>556</v>
      </c>
      <c r="B210" s="2" t="s">
        <v>1312</v>
      </c>
      <c r="H210" s="2" t="s">
        <v>557</v>
      </c>
      <c r="I210" s="2" t="s">
        <v>558</v>
      </c>
      <c r="J210" s="2" t="s">
        <v>1313</v>
      </c>
      <c r="O210" s="2" t="s">
        <v>1311</v>
      </c>
      <c r="P210" s="2" t="s">
        <v>1310</v>
      </c>
    </row>
    <row r="211" spans="1:16" x14ac:dyDescent="0.2">
      <c r="A211" s="2" t="s">
        <v>556</v>
      </c>
      <c r="B211" s="2" t="s">
        <v>1316</v>
      </c>
      <c r="H211" s="2" t="s">
        <v>557</v>
      </c>
      <c r="I211" s="2" t="s">
        <v>558</v>
      </c>
      <c r="J211" s="2" t="s">
        <v>1317</v>
      </c>
      <c r="O211" s="2" t="s">
        <v>1315</v>
      </c>
      <c r="P211" s="2" t="s">
        <v>1314</v>
      </c>
    </row>
    <row r="212" spans="1:16" x14ac:dyDescent="0.2">
      <c r="A212" s="2" t="s">
        <v>556</v>
      </c>
      <c r="B212" s="2" t="s">
        <v>1319</v>
      </c>
      <c r="H212" s="2" t="s">
        <v>557</v>
      </c>
      <c r="I212" s="2" t="s">
        <v>558</v>
      </c>
      <c r="J212" s="2" t="s">
        <v>1320</v>
      </c>
      <c r="O212" s="2" t="s">
        <v>863</v>
      </c>
      <c r="P212" s="2" t="s">
        <v>1318</v>
      </c>
    </row>
    <row r="213" spans="1:16" x14ac:dyDescent="0.2">
      <c r="A213" s="2" t="s">
        <v>556</v>
      </c>
      <c r="B213" s="2" t="s">
        <v>1323</v>
      </c>
      <c r="H213" s="2" t="s">
        <v>557</v>
      </c>
      <c r="I213" s="2" t="s">
        <v>558</v>
      </c>
      <c r="J213" s="2" t="s">
        <v>1324</v>
      </c>
      <c r="O213" s="2" t="s">
        <v>1322</v>
      </c>
      <c r="P213" s="2" t="s">
        <v>1321</v>
      </c>
    </row>
    <row r="214" spans="1:16" x14ac:dyDescent="0.2">
      <c r="A214" s="2" t="s">
        <v>556</v>
      </c>
      <c r="B214" s="2" t="s">
        <v>1327</v>
      </c>
      <c r="H214" s="2" t="s">
        <v>557</v>
      </c>
      <c r="I214" s="2" t="s">
        <v>558</v>
      </c>
      <c r="J214" s="2" t="s">
        <v>1328</v>
      </c>
      <c r="O214" s="2" t="s">
        <v>1326</v>
      </c>
      <c r="P214" s="2" t="s">
        <v>1325</v>
      </c>
    </row>
    <row r="215" spans="1:16" x14ac:dyDescent="0.2">
      <c r="A215" s="2" t="s">
        <v>556</v>
      </c>
      <c r="B215" s="2" t="s">
        <v>1331</v>
      </c>
      <c r="H215" s="2" t="s">
        <v>557</v>
      </c>
      <c r="I215" s="2" t="s">
        <v>558</v>
      </c>
      <c r="J215" s="2" t="s">
        <v>1332</v>
      </c>
      <c r="O215" s="2" t="s">
        <v>1330</v>
      </c>
      <c r="P215" s="2" t="s">
        <v>1329</v>
      </c>
    </row>
    <row r="216" spans="1:16" x14ac:dyDescent="0.2">
      <c r="A216" s="2" t="s">
        <v>556</v>
      </c>
      <c r="B216" s="2" t="s">
        <v>1335</v>
      </c>
      <c r="H216" s="2" t="s">
        <v>557</v>
      </c>
      <c r="I216" s="2" t="s">
        <v>558</v>
      </c>
      <c r="J216" s="2" t="s">
        <v>1336</v>
      </c>
      <c r="O216" s="2" t="s">
        <v>1334</v>
      </c>
      <c r="P216" s="2" t="s">
        <v>1333</v>
      </c>
    </row>
    <row r="217" spans="1:16" x14ac:dyDescent="0.2">
      <c r="A217" s="2" t="s">
        <v>556</v>
      </c>
      <c r="B217" s="2" t="s">
        <v>1339</v>
      </c>
      <c r="H217" s="2" t="s">
        <v>557</v>
      </c>
      <c r="I217" s="2" t="s">
        <v>558</v>
      </c>
      <c r="J217" s="2" t="s">
        <v>1340</v>
      </c>
      <c r="O217" s="2" t="s">
        <v>1338</v>
      </c>
      <c r="P217" s="2" t="s">
        <v>1337</v>
      </c>
    </row>
    <row r="218" spans="1:16" x14ac:dyDescent="0.2">
      <c r="A218" s="2" t="s">
        <v>556</v>
      </c>
      <c r="B218" s="2" t="s">
        <v>1342</v>
      </c>
      <c r="H218" s="2" t="s">
        <v>557</v>
      </c>
      <c r="I218" s="2" t="s">
        <v>558</v>
      </c>
      <c r="J218" s="2" t="s">
        <v>1343</v>
      </c>
      <c r="O218" s="2" t="s">
        <v>835</v>
      </c>
      <c r="P218" s="2" t="s">
        <v>1341</v>
      </c>
    </row>
    <row r="219" spans="1:16" x14ac:dyDescent="0.2">
      <c r="A219" s="2" t="s">
        <v>556</v>
      </c>
      <c r="B219" s="2" t="s">
        <v>1345</v>
      </c>
      <c r="H219" s="2" t="s">
        <v>557</v>
      </c>
      <c r="I219" s="2" t="s">
        <v>558</v>
      </c>
      <c r="J219" s="2" t="s">
        <v>1346</v>
      </c>
      <c r="O219" s="2" t="s">
        <v>831</v>
      </c>
      <c r="P219" s="2" t="s">
        <v>1344</v>
      </c>
    </row>
    <row r="220" spans="1:16" x14ac:dyDescent="0.2">
      <c r="A220" s="2" t="s">
        <v>556</v>
      </c>
      <c r="B220" s="2" t="s">
        <v>1345</v>
      </c>
      <c r="H220" s="2" t="s">
        <v>557</v>
      </c>
      <c r="I220" s="2" t="s">
        <v>558</v>
      </c>
      <c r="J220" s="2" t="s">
        <v>1349</v>
      </c>
      <c r="O220" s="2" t="s">
        <v>1348</v>
      </c>
      <c r="P220" s="2" t="s">
        <v>1347</v>
      </c>
    </row>
    <row r="221" spans="1:16" x14ac:dyDescent="0.2">
      <c r="A221" s="2" t="s">
        <v>556</v>
      </c>
      <c r="B221" s="2" t="s">
        <v>1352</v>
      </c>
      <c r="H221" s="2" t="s">
        <v>557</v>
      </c>
      <c r="I221" s="2" t="s">
        <v>558</v>
      </c>
      <c r="J221" s="2" t="s">
        <v>1353</v>
      </c>
      <c r="O221" s="2" t="s">
        <v>1351</v>
      </c>
      <c r="P221" s="2" t="s">
        <v>1350</v>
      </c>
    </row>
    <row r="222" spans="1:16" x14ac:dyDescent="0.2">
      <c r="A222" s="2" t="s">
        <v>556</v>
      </c>
      <c r="B222" s="2" t="s">
        <v>1356</v>
      </c>
      <c r="H222" s="2" t="s">
        <v>557</v>
      </c>
      <c r="I222" s="2" t="s">
        <v>558</v>
      </c>
      <c r="J222" s="2" t="s">
        <v>1357</v>
      </c>
      <c r="O222" s="2" t="s">
        <v>1355</v>
      </c>
      <c r="P222" s="2" t="s">
        <v>1354</v>
      </c>
    </row>
    <row r="223" spans="1:16" x14ac:dyDescent="0.2">
      <c r="A223" s="2" t="s">
        <v>556</v>
      </c>
      <c r="B223" s="2" t="s">
        <v>1360</v>
      </c>
      <c r="H223" s="2" t="s">
        <v>557</v>
      </c>
      <c r="I223" s="2" t="s">
        <v>558</v>
      </c>
      <c r="J223" s="2" t="s">
        <v>1361</v>
      </c>
      <c r="O223" s="2" t="s">
        <v>1359</v>
      </c>
      <c r="P223" s="2" t="s">
        <v>1358</v>
      </c>
    </row>
    <row r="224" spans="1:16" x14ac:dyDescent="0.2">
      <c r="A224" s="2" t="s">
        <v>556</v>
      </c>
      <c r="B224" s="2" t="s">
        <v>1363</v>
      </c>
      <c r="H224" s="2" t="s">
        <v>557</v>
      </c>
      <c r="I224" s="2" t="s">
        <v>558</v>
      </c>
      <c r="J224" s="2" t="s">
        <v>1364</v>
      </c>
      <c r="O224" s="2" t="s">
        <v>707</v>
      </c>
      <c r="P224" s="2" t="s">
        <v>1362</v>
      </c>
    </row>
    <row r="225" spans="1:16" x14ac:dyDescent="0.2">
      <c r="A225" s="2" t="s">
        <v>556</v>
      </c>
      <c r="B225" s="2" t="s">
        <v>1366</v>
      </c>
      <c r="H225" s="2" t="s">
        <v>557</v>
      </c>
      <c r="I225" s="2" t="s">
        <v>558</v>
      </c>
      <c r="J225" s="2" t="s">
        <v>1367</v>
      </c>
      <c r="O225" s="2" t="s">
        <v>703</v>
      </c>
      <c r="P225" s="2" t="s">
        <v>1365</v>
      </c>
    </row>
    <row r="226" spans="1:16" x14ac:dyDescent="0.2">
      <c r="A226" s="2" t="s">
        <v>556</v>
      </c>
      <c r="B226" s="2" t="s">
        <v>1370</v>
      </c>
      <c r="H226" s="2" t="s">
        <v>557</v>
      </c>
      <c r="I226" s="2" t="s">
        <v>558</v>
      </c>
      <c r="J226" s="2" t="s">
        <v>1371</v>
      </c>
      <c r="O226" s="2" t="s">
        <v>1369</v>
      </c>
      <c r="P226" s="2" t="s">
        <v>1368</v>
      </c>
    </row>
    <row r="227" spans="1:16" x14ac:dyDescent="0.2">
      <c r="A227" s="2" t="s">
        <v>556</v>
      </c>
      <c r="B227" s="2" t="s">
        <v>1374</v>
      </c>
      <c r="H227" s="2" t="s">
        <v>557</v>
      </c>
      <c r="I227" s="2" t="s">
        <v>558</v>
      </c>
      <c r="J227" s="2" t="s">
        <v>1375</v>
      </c>
      <c r="O227" s="2" t="s">
        <v>1373</v>
      </c>
      <c r="P227" s="2" t="s">
        <v>1372</v>
      </c>
    </row>
    <row r="228" spans="1:16" x14ac:dyDescent="0.2">
      <c r="A228" s="2" t="s">
        <v>556</v>
      </c>
      <c r="B228" s="2" t="s">
        <v>1374</v>
      </c>
      <c r="H228" s="2" t="s">
        <v>557</v>
      </c>
      <c r="I228" s="2" t="s">
        <v>558</v>
      </c>
      <c r="J228" s="2" t="s">
        <v>1375</v>
      </c>
      <c r="O228" s="2" t="s">
        <v>1377</v>
      </c>
      <c r="P228" s="2" t="s">
        <v>1376</v>
      </c>
    </row>
    <row r="229" spans="1:16" x14ac:dyDescent="0.2">
      <c r="A229" s="2" t="s">
        <v>556</v>
      </c>
      <c r="B229" s="2" t="s">
        <v>1380</v>
      </c>
      <c r="H229" s="2" t="s">
        <v>557</v>
      </c>
      <c r="I229" s="2" t="s">
        <v>558</v>
      </c>
      <c r="J229" s="2" t="s">
        <v>1381</v>
      </c>
      <c r="O229" s="2" t="s">
        <v>1379</v>
      </c>
      <c r="P229" s="2" t="s">
        <v>1378</v>
      </c>
    </row>
    <row r="230" spans="1:16" x14ac:dyDescent="0.2">
      <c r="A230" s="2" t="s">
        <v>556</v>
      </c>
      <c r="B230" s="2" t="s">
        <v>1384</v>
      </c>
      <c r="H230" s="2" t="s">
        <v>557</v>
      </c>
      <c r="I230" s="2" t="s">
        <v>558</v>
      </c>
      <c r="J230" s="2" t="s">
        <v>1385</v>
      </c>
      <c r="O230" s="2" t="s">
        <v>1383</v>
      </c>
      <c r="P230" s="2" t="s">
        <v>1382</v>
      </c>
    </row>
    <row r="231" spans="1:16" x14ac:dyDescent="0.2">
      <c r="A231" s="2" t="s">
        <v>556</v>
      </c>
      <c r="B231" s="2" t="s">
        <v>1388</v>
      </c>
      <c r="H231" s="2" t="s">
        <v>557</v>
      </c>
      <c r="I231" s="2" t="s">
        <v>558</v>
      </c>
      <c r="J231" s="2" t="s">
        <v>1389</v>
      </c>
      <c r="O231" s="2" t="s">
        <v>1387</v>
      </c>
      <c r="P231" s="2" t="s">
        <v>1386</v>
      </c>
    </row>
    <row r="232" spans="1:16" x14ac:dyDescent="0.2">
      <c r="A232" s="2" t="s">
        <v>556</v>
      </c>
      <c r="B232" s="2" t="s">
        <v>1391</v>
      </c>
      <c r="H232" s="2" t="s">
        <v>557</v>
      </c>
      <c r="I232" s="2" t="s">
        <v>558</v>
      </c>
      <c r="J232" s="2" t="s">
        <v>1392</v>
      </c>
      <c r="O232" s="2" t="s">
        <v>1387</v>
      </c>
      <c r="P232" s="2" t="s">
        <v>1390</v>
      </c>
    </row>
    <row r="233" spans="1:16" x14ac:dyDescent="0.2">
      <c r="A233" s="2" t="s">
        <v>556</v>
      </c>
      <c r="B233" s="2" t="s">
        <v>1394</v>
      </c>
      <c r="H233" s="2" t="s">
        <v>557</v>
      </c>
      <c r="I233" s="2" t="s">
        <v>558</v>
      </c>
      <c r="J233" s="2" t="s">
        <v>1395</v>
      </c>
      <c r="O233" s="2" t="s">
        <v>1387</v>
      </c>
      <c r="P233" s="2" t="s">
        <v>1393</v>
      </c>
    </row>
    <row r="234" spans="1:16" x14ac:dyDescent="0.2">
      <c r="A234" s="2" t="s">
        <v>556</v>
      </c>
      <c r="B234" s="2" t="s">
        <v>1397</v>
      </c>
      <c r="H234" s="2" t="s">
        <v>557</v>
      </c>
      <c r="I234" s="2" t="s">
        <v>558</v>
      </c>
      <c r="J234" s="2" t="s">
        <v>1398</v>
      </c>
      <c r="O234" s="2" t="s">
        <v>1387</v>
      </c>
      <c r="P234" s="2" t="s">
        <v>1396</v>
      </c>
    </row>
    <row r="235" spans="1:16" x14ac:dyDescent="0.2">
      <c r="A235" s="2" t="s">
        <v>556</v>
      </c>
      <c r="B235" s="2" t="s">
        <v>1401</v>
      </c>
      <c r="H235" s="2" t="s">
        <v>557</v>
      </c>
      <c r="I235" s="2" t="s">
        <v>558</v>
      </c>
      <c r="J235" s="2" t="s">
        <v>1402</v>
      </c>
      <c r="O235" s="2" t="s">
        <v>1400</v>
      </c>
      <c r="P235" s="2" t="s">
        <v>1399</v>
      </c>
    </row>
    <row r="236" spans="1:16" x14ac:dyDescent="0.2">
      <c r="A236" s="2" t="s">
        <v>556</v>
      </c>
      <c r="B236" s="2" t="s">
        <v>1401</v>
      </c>
      <c r="H236" s="2" t="s">
        <v>557</v>
      </c>
      <c r="I236" s="2" t="s">
        <v>558</v>
      </c>
      <c r="J236" s="2" t="s">
        <v>1404</v>
      </c>
      <c r="O236" s="2" t="s">
        <v>1387</v>
      </c>
      <c r="P236" s="2" t="s">
        <v>1403</v>
      </c>
    </row>
    <row r="237" spans="1:16" x14ac:dyDescent="0.2">
      <c r="A237" s="2" t="s">
        <v>556</v>
      </c>
      <c r="B237" s="2" t="s">
        <v>1406</v>
      </c>
      <c r="H237" s="2" t="s">
        <v>557</v>
      </c>
      <c r="I237" s="2" t="s">
        <v>558</v>
      </c>
      <c r="J237" s="2" t="s">
        <v>1407</v>
      </c>
      <c r="O237" s="2" t="s">
        <v>1400</v>
      </c>
      <c r="P237" s="2" t="s">
        <v>1405</v>
      </c>
    </row>
    <row r="238" spans="1:16" x14ac:dyDescent="0.2">
      <c r="A238" s="2" t="s">
        <v>556</v>
      </c>
      <c r="B238" s="2" t="s">
        <v>1409</v>
      </c>
      <c r="H238" s="2" t="s">
        <v>557</v>
      </c>
      <c r="I238" s="2" t="s">
        <v>558</v>
      </c>
      <c r="J238" s="2" t="s">
        <v>1410</v>
      </c>
      <c r="O238" s="2" t="s">
        <v>1387</v>
      </c>
      <c r="P238" s="2" t="s">
        <v>1408</v>
      </c>
    </row>
    <row r="239" spans="1:16" x14ac:dyDescent="0.2">
      <c r="A239" s="2" t="s">
        <v>556</v>
      </c>
      <c r="B239" s="2" t="s">
        <v>1413</v>
      </c>
      <c r="H239" s="2" t="s">
        <v>557</v>
      </c>
      <c r="I239" s="2" t="s">
        <v>558</v>
      </c>
      <c r="J239" s="2" t="s">
        <v>1414</v>
      </c>
      <c r="O239" s="2" t="s">
        <v>1412</v>
      </c>
      <c r="P239" s="2" t="s">
        <v>1411</v>
      </c>
    </row>
    <row r="240" spans="1:16" x14ac:dyDescent="0.2">
      <c r="A240" s="2" t="s">
        <v>556</v>
      </c>
      <c r="B240" s="2" t="s">
        <v>1416</v>
      </c>
      <c r="H240" s="2" t="s">
        <v>557</v>
      </c>
      <c r="I240" s="2" t="s">
        <v>558</v>
      </c>
      <c r="J240" s="2" t="s">
        <v>1417</v>
      </c>
      <c r="O240" s="2" t="s">
        <v>1412</v>
      </c>
      <c r="P240" s="2" t="s">
        <v>1415</v>
      </c>
    </row>
    <row r="241" spans="1:16" x14ac:dyDescent="0.2">
      <c r="A241" s="2" t="s">
        <v>556</v>
      </c>
      <c r="B241" s="2" t="s">
        <v>1419</v>
      </c>
      <c r="H241" s="2" t="s">
        <v>557</v>
      </c>
      <c r="I241" s="2" t="s">
        <v>558</v>
      </c>
      <c r="J241" s="2" t="s">
        <v>1420</v>
      </c>
      <c r="O241" s="2" t="s">
        <v>1412</v>
      </c>
      <c r="P241" s="2" t="s">
        <v>1418</v>
      </c>
    </row>
    <row r="242" spans="1:16" x14ac:dyDescent="0.2">
      <c r="A242" s="2" t="s">
        <v>556</v>
      </c>
      <c r="B242" s="2" t="s">
        <v>1422</v>
      </c>
      <c r="H242" s="2" t="s">
        <v>557</v>
      </c>
      <c r="I242" s="2" t="s">
        <v>558</v>
      </c>
      <c r="J242" s="2" t="s">
        <v>1423</v>
      </c>
      <c r="O242" s="2" t="s">
        <v>1412</v>
      </c>
      <c r="P242" s="2" t="s">
        <v>1421</v>
      </c>
    </row>
    <row r="243" spans="1:16" x14ac:dyDescent="0.2">
      <c r="A243" s="2" t="s">
        <v>556</v>
      </c>
      <c r="B243" s="2" t="s">
        <v>1426</v>
      </c>
      <c r="H243" s="2" t="s">
        <v>557</v>
      </c>
      <c r="I243" s="2" t="s">
        <v>558</v>
      </c>
      <c r="J243" s="2" t="s">
        <v>1427</v>
      </c>
      <c r="O243" s="2" t="s">
        <v>1425</v>
      </c>
      <c r="P243" s="2" t="s">
        <v>1424</v>
      </c>
    </row>
    <row r="244" spans="1:16" x14ac:dyDescent="0.2">
      <c r="A244" s="2" t="s">
        <v>556</v>
      </c>
      <c r="B244" s="2" t="s">
        <v>1429</v>
      </c>
      <c r="H244" s="2" t="s">
        <v>557</v>
      </c>
      <c r="I244" s="2" t="s">
        <v>558</v>
      </c>
      <c r="J244" s="2" t="s">
        <v>1430</v>
      </c>
      <c r="O244" s="2" t="s">
        <v>1425</v>
      </c>
      <c r="P244" s="2" t="s">
        <v>1428</v>
      </c>
    </row>
    <row r="245" spans="1:16" x14ac:dyDescent="0.2">
      <c r="A245" s="2" t="s">
        <v>556</v>
      </c>
      <c r="B245" s="2" t="s">
        <v>1432</v>
      </c>
      <c r="H245" s="2" t="s">
        <v>557</v>
      </c>
      <c r="I245" s="2" t="s">
        <v>558</v>
      </c>
      <c r="J245" s="2" t="s">
        <v>1433</v>
      </c>
      <c r="O245" s="2" t="s">
        <v>1425</v>
      </c>
      <c r="P245" s="2" t="s">
        <v>1431</v>
      </c>
    </row>
    <row r="246" spans="1:16" x14ac:dyDescent="0.2">
      <c r="A246" s="2" t="s">
        <v>556</v>
      </c>
      <c r="B246" s="2" t="s">
        <v>1435</v>
      </c>
      <c r="H246" s="2" t="s">
        <v>557</v>
      </c>
      <c r="I246" s="2" t="s">
        <v>558</v>
      </c>
      <c r="J246" s="2" t="s">
        <v>1436</v>
      </c>
      <c r="O246" s="2" t="s">
        <v>1425</v>
      </c>
      <c r="P246" s="2" t="s">
        <v>1434</v>
      </c>
    </row>
    <row r="247" spans="1:16" x14ac:dyDescent="0.2">
      <c r="A247" s="2" t="s">
        <v>556</v>
      </c>
      <c r="B247" s="2" t="s">
        <v>1438</v>
      </c>
      <c r="H247" s="2" t="s">
        <v>557</v>
      </c>
      <c r="I247" s="2" t="s">
        <v>558</v>
      </c>
      <c r="J247" s="2" t="s">
        <v>1439</v>
      </c>
      <c r="O247" s="2" t="s">
        <v>1425</v>
      </c>
      <c r="P247" s="2" t="s">
        <v>1437</v>
      </c>
    </row>
    <row r="248" spans="1:16" x14ac:dyDescent="0.2">
      <c r="A248" s="2" t="s">
        <v>556</v>
      </c>
      <c r="B248" s="2" t="s">
        <v>1441</v>
      </c>
      <c r="H248" s="2" t="s">
        <v>557</v>
      </c>
      <c r="I248" s="2" t="s">
        <v>558</v>
      </c>
      <c r="J248" s="2" t="s">
        <v>1442</v>
      </c>
      <c r="O248" s="2" t="s">
        <v>1425</v>
      </c>
      <c r="P248" s="2" t="s">
        <v>1440</v>
      </c>
    </row>
    <row r="249" spans="1:16" x14ac:dyDescent="0.2">
      <c r="A249" s="2" t="s">
        <v>556</v>
      </c>
      <c r="B249" s="2" t="s">
        <v>1445</v>
      </c>
      <c r="H249" s="2" t="s">
        <v>557</v>
      </c>
      <c r="I249" s="2" t="s">
        <v>558</v>
      </c>
      <c r="J249" s="2" t="s">
        <v>1446</v>
      </c>
      <c r="O249" s="2" t="s">
        <v>1444</v>
      </c>
      <c r="P249" s="2" t="s">
        <v>1443</v>
      </c>
    </row>
    <row r="250" spans="1:16" x14ac:dyDescent="0.2">
      <c r="A250" s="2" t="s">
        <v>556</v>
      </c>
      <c r="B250" s="2" t="s">
        <v>1448</v>
      </c>
      <c r="H250" s="2" t="s">
        <v>557</v>
      </c>
      <c r="I250" s="2" t="s">
        <v>558</v>
      </c>
      <c r="J250" s="2" t="s">
        <v>1449</v>
      </c>
      <c r="O250" s="2" t="s">
        <v>1444</v>
      </c>
      <c r="P250" s="2" t="s">
        <v>1447</v>
      </c>
    </row>
    <row r="251" spans="1:16" x14ac:dyDescent="0.2">
      <c r="A251" s="2" t="s">
        <v>556</v>
      </c>
      <c r="B251" s="2" t="s">
        <v>1451</v>
      </c>
      <c r="H251" s="2" t="s">
        <v>557</v>
      </c>
      <c r="I251" s="2" t="s">
        <v>558</v>
      </c>
      <c r="J251" s="2" t="s">
        <v>1452</v>
      </c>
      <c r="O251" s="2" t="s">
        <v>1444</v>
      </c>
      <c r="P251" s="2" t="s">
        <v>1450</v>
      </c>
    </row>
    <row r="252" spans="1:16" x14ac:dyDescent="0.2">
      <c r="A252" s="2" t="s">
        <v>556</v>
      </c>
      <c r="B252" s="2" t="s">
        <v>1454</v>
      </c>
      <c r="H252" s="2" t="s">
        <v>557</v>
      </c>
      <c r="I252" s="2" t="s">
        <v>558</v>
      </c>
      <c r="J252" s="2" t="s">
        <v>1455</v>
      </c>
      <c r="O252" s="2" t="s">
        <v>1444</v>
      </c>
      <c r="P252" s="2" t="s">
        <v>1453</v>
      </c>
    </row>
    <row r="253" spans="1:16" x14ac:dyDescent="0.2">
      <c r="A253" s="2" t="s">
        <v>556</v>
      </c>
      <c r="B253" s="2" t="s">
        <v>1457</v>
      </c>
      <c r="H253" s="2" t="s">
        <v>557</v>
      </c>
      <c r="I253" s="2" t="s">
        <v>558</v>
      </c>
      <c r="J253" s="2" t="s">
        <v>1458</v>
      </c>
      <c r="O253" s="2" t="s">
        <v>1425</v>
      </c>
      <c r="P253" s="2" t="s">
        <v>1456</v>
      </c>
    </row>
    <row r="254" spans="1:16" x14ac:dyDescent="0.2">
      <c r="A254" s="2" t="s">
        <v>556</v>
      </c>
      <c r="B254" s="2" t="s">
        <v>1460</v>
      </c>
      <c r="H254" s="2" t="s">
        <v>557</v>
      </c>
      <c r="I254" s="2" t="s">
        <v>558</v>
      </c>
      <c r="J254" s="2" t="s">
        <v>1461</v>
      </c>
      <c r="O254" s="2" t="s">
        <v>1425</v>
      </c>
      <c r="P254" s="2" t="s">
        <v>1459</v>
      </c>
    </row>
    <row r="255" spans="1:16" x14ac:dyDescent="0.2">
      <c r="A255" s="2" t="s">
        <v>556</v>
      </c>
      <c r="B255" s="2" t="s">
        <v>1464</v>
      </c>
      <c r="H255" s="2" t="s">
        <v>557</v>
      </c>
      <c r="I255" s="2" t="s">
        <v>558</v>
      </c>
      <c r="J255" s="2" t="s">
        <v>1465</v>
      </c>
      <c r="O255" s="2" t="s">
        <v>1463</v>
      </c>
      <c r="P255" s="2" t="s">
        <v>1462</v>
      </c>
    </row>
    <row r="256" spans="1:16" x14ac:dyDescent="0.2">
      <c r="A256" s="2" t="s">
        <v>556</v>
      </c>
      <c r="B256" s="2" t="s">
        <v>1468</v>
      </c>
      <c r="H256" s="2" t="s">
        <v>557</v>
      </c>
      <c r="I256" s="2" t="s">
        <v>558</v>
      </c>
      <c r="J256" s="2" t="s">
        <v>1469</v>
      </c>
      <c r="O256" s="2" t="s">
        <v>1467</v>
      </c>
      <c r="P256" s="2" t="s">
        <v>1466</v>
      </c>
    </row>
    <row r="257" spans="1:16" x14ac:dyDescent="0.2">
      <c r="A257" s="2" t="s">
        <v>556</v>
      </c>
      <c r="B257" s="2" t="s">
        <v>1471</v>
      </c>
      <c r="H257" s="2" t="s">
        <v>557</v>
      </c>
      <c r="I257" s="2" t="s">
        <v>558</v>
      </c>
      <c r="J257" s="2" t="s">
        <v>1472</v>
      </c>
      <c r="O257" s="2" t="s">
        <v>1467</v>
      </c>
      <c r="P257" s="2" t="s">
        <v>1470</v>
      </c>
    </row>
    <row r="258" spans="1:16" x14ac:dyDescent="0.2">
      <c r="A258" s="2" t="s">
        <v>556</v>
      </c>
      <c r="B258" s="2" t="s">
        <v>1475</v>
      </c>
      <c r="H258" s="2" t="s">
        <v>557</v>
      </c>
      <c r="I258" s="2" t="s">
        <v>558</v>
      </c>
      <c r="J258" s="2" t="s">
        <v>1476</v>
      </c>
      <c r="O258" s="2" t="s">
        <v>1474</v>
      </c>
      <c r="P258" s="2" t="s">
        <v>1473</v>
      </c>
    </row>
    <row r="259" spans="1:16" x14ac:dyDescent="0.2">
      <c r="A259" s="2" t="s">
        <v>556</v>
      </c>
      <c r="B259" s="2" t="s">
        <v>1477</v>
      </c>
      <c r="H259" s="2" t="s">
        <v>557</v>
      </c>
      <c r="I259" s="2" t="s">
        <v>558</v>
      </c>
      <c r="J259" s="2" t="s">
        <v>1476</v>
      </c>
      <c r="O259" s="2" t="s">
        <v>1474</v>
      </c>
      <c r="P259" s="2" t="s">
        <v>1473</v>
      </c>
    </row>
    <row r="260" spans="1:16" x14ac:dyDescent="0.2">
      <c r="A260" s="2" t="s">
        <v>556</v>
      </c>
      <c r="B260" s="2" t="s">
        <v>1480</v>
      </c>
      <c r="H260" s="2" t="s">
        <v>557</v>
      </c>
      <c r="I260" s="2" t="s">
        <v>558</v>
      </c>
      <c r="J260" s="2" t="s">
        <v>1481</v>
      </c>
      <c r="O260" s="2" t="s">
        <v>1479</v>
      </c>
      <c r="P260" s="2" t="s">
        <v>1478</v>
      </c>
    </row>
    <row r="261" spans="1:16" x14ac:dyDescent="0.2">
      <c r="A261" s="2" t="s">
        <v>556</v>
      </c>
      <c r="B261" s="2" t="s">
        <v>1484</v>
      </c>
      <c r="H261" s="2" t="s">
        <v>557</v>
      </c>
      <c r="I261" s="2" t="s">
        <v>558</v>
      </c>
      <c r="J261" s="2" t="s">
        <v>1485</v>
      </c>
      <c r="O261" s="2" t="s">
        <v>1483</v>
      </c>
      <c r="P261" s="2" t="s">
        <v>1482</v>
      </c>
    </row>
    <row r="262" spans="1:16" x14ac:dyDescent="0.2">
      <c r="A262" s="2" t="s">
        <v>556</v>
      </c>
      <c r="B262" s="2" t="s">
        <v>1488</v>
      </c>
      <c r="H262" s="2" t="s">
        <v>557</v>
      </c>
      <c r="I262" s="2" t="s">
        <v>558</v>
      </c>
      <c r="J262" s="2" t="s">
        <v>1489</v>
      </c>
      <c r="O262" s="2" t="s">
        <v>1487</v>
      </c>
      <c r="P262" s="2" t="s">
        <v>1486</v>
      </c>
    </row>
    <row r="263" spans="1:16" x14ac:dyDescent="0.2">
      <c r="A263" s="2" t="s">
        <v>556</v>
      </c>
      <c r="B263" s="2" t="s">
        <v>1492</v>
      </c>
      <c r="H263" s="2" t="s">
        <v>557</v>
      </c>
      <c r="I263" s="2" t="s">
        <v>558</v>
      </c>
      <c r="J263" s="2" t="s">
        <v>1493</v>
      </c>
      <c r="O263" s="2" t="s">
        <v>1491</v>
      </c>
      <c r="P263" s="2" t="s">
        <v>1490</v>
      </c>
    </row>
    <row r="264" spans="1:16" x14ac:dyDescent="0.2">
      <c r="A264" s="2" t="s">
        <v>556</v>
      </c>
      <c r="B264" s="2" t="s">
        <v>1496</v>
      </c>
      <c r="H264" s="2" t="s">
        <v>557</v>
      </c>
      <c r="I264" s="2" t="s">
        <v>558</v>
      </c>
      <c r="J264" s="2" t="s">
        <v>1497</v>
      </c>
      <c r="O264" s="2" t="s">
        <v>1495</v>
      </c>
      <c r="P264" s="2" t="s">
        <v>1494</v>
      </c>
    </row>
    <row r="265" spans="1:16" x14ac:dyDescent="0.2">
      <c r="A265" s="2" t="s">
        <v>556</v>
      </c>
      <c r="B265" s="2" t="s">
        <v>1499</v>
      </c>
      <c r="H265" s="2" t="s">
        <v>557</v>
      </c>
      <c r="I265" s="2" t="s">
        <v>558</v>
      </c>
      <c r="J265" s="2" t="s">
        <v>1500</v>
      </c>
      <c r="O265" s="2" t="s">
        <v>1495</v>
      </c>
      <c r="P265" s="2" t="s">
        <v>1498</v>
      </c>
    </row>
    <row r="266" spans="1:16" x14ac:dyDescent="0.2">
      <c r="A266" s="2" t="s">
        <v>556</v>
      </c>
      <c r="B266" s="2" t="s">
        <v>1503</v>
      </c>
      <c r="H266" s="2" t="s">
        <v>557</v>
      </c>
      <c r="I266" s="2" t="s">
        <v>558</v>
      </c>
      <c r="J266" s="2" t="s">
        <v>1504</v>
      </c>
      <c r="O266" s="2" t="s">
        <v>1502</v>
      </c>
      <c r="P266" s="2" t="s">
        <v>1501</v>
      </c>
    </row>
    <row r="267" spans="1:16" x14ac:dyDescent="0.2">
      <c r="A267" s="2" t="s">
        <v>556</v>
      </c>
      <c r="B267" s="2" t="s">
        <v>1507</v>
      </c>
      <c r="H267" s="2" t="s">
        <v>557</v>
      </c>
      <c r="I267" s="2" t="s">
        <v>558</v>
      </c>
      <c r="J267" s="2" t="s">
        <v>1508</v>
      </c>
      <c r="O267" s="2" t="s">
        <v>1506</v>
      </c>
      <c r="P267" s="2" t="s">
        <v>1505</v>
      </c>
    </row>
    <row r="268" spans="1:16" x14ac:dyDescent="0.2">
      <c r="A268" s="2" t="s">
        <v>556</v>
      </c>
      <c r="B268" s="2" t="s">
        <v>1510</v>
      </c>
      <c r="H268" s="2" t="s">
        <v>557</v>
      </c>
      <c r="I268" s="2" t="s">
        <v>558</v>
      </c>
      <c r="J268" s="2" t="s">
        <v>1511</v>
      </c>
      <c r="O268" s="2" t="s">
        <v>1506</v>
      </c>
      <c r="P268" s="2" t="s">
        <v>1509</v>
      </c>
    </row>
    <row r="269" spans="1:16" x14ac:dyDescent="0.2">
      <c r="A269" s="2" t="s">
        <v>556</v>
      </c>
      <c r="B269" s="2" t="s">
        <v>1513</v>
      </c>
      <c r="H269" s="2" t="s">
        <v>557</v>
      </c>
      <c r="I269" s="2" t="s">
        <v>558</v>
      </c>
      <c r="J269" s="2" t="s">
        <v>1514</v>
      </c>
      <c r="O269" s="2" t="s">
        <v>573</v>
      </c>
      <c r="P269" s="2" t="s">
        <v>1512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9"/>
  <sheetViews>
    <sheetView topLeftCell="A133" workbookViewId="0">
      <selection activeCell="G133" sqref="G1:N1048576"/>
    </sheetView>
  </sheetViews>
  <sheetFormatPr defaultRowHeight="14.25" x14ac:dyDescent="0.2"/>
  <cols>
    <col min="1" max="1" width="34.125" customWidth="1"/>
    <col min="8" max="8" width="9" style="1"/>
  </cols>
  <sheetData>
    <row r="1" spans="1:14" x14ac:dyDescent="0.2">
      <c r="A1" t="s">
        <v>0</v>
      </c>
      <c r="B1" t="s">
        <v>1</v>
      </c>
      <c r="C1" t="s">
        <v>2</v>
      </c>
    </row>
    <row r="2" spans="1:14" x14ac:dyDescent="0.2">
      <c r="A2" t="s">
        <v>3</v>
      </c>
      <c r="B2" t="s">
        <v>4</v>
      </c>
      <c r="G2" t="str">
        <f>MID(A2,8,8)</f>
        <v>104.7275</v>
      </c>
      <c r="H2" s="1" t="str">
        <f>MID(A2,18,7)</f>
        <v>17.0181</v>
      </c>
      <c r="J2" t="str">
        <f>MID(B2,1,3)</f>
        <v>RT1</v>
      </c>
      <c r="K2" t="str">
        <f>MID(B2,5,2)</f>
        <v>SG</v>
      </c>
      <c r="L2" t="str">
        <f>MID(B2,8,4)</f>
        <v>2031</v>
      </c>
      <c r="M2" t="str">
        <f>MID(B2,13,4)</f>
        <v>0100</v>
      </c>
      <c r="N2" t="str">
        <f>MID(B2,18,5)</f>
        <v>0+025</v>
      </c>
    </row>
    <row r="3" spans="1:14" x14ac:dyDescent="0.2">
      <c r="A3" t="s">
        <v>5</v>
      </c>
      <c r="B3" t="s">
        <v>6</v>
      </c>
      <c r="G3" t="str">
        <f t="shared" ref="G3:G66" si="0">MID(A3,8,8)</f>
        <v>104.7272</v>
      </c>
      <c r="H3" s="1" t="str">
        <f t="shared" ref="H3:H66" si="1">MID(A3,18,8)</f>
        <v xml:space="preserve"> 17.0183</v>
      </c>
      <c r="J3" t="str">
        <f t="shared" ref="J3:J10" si="2">MID(B3,1,3)</f>
        <v>RT2</v>
      </c>
      <c r="K3" t="str">
        <f t="shared" ref="K3:K10" si="3">MID(B3,5,2)</f>
        <v>SG</v>
      </c>
      <c r="L3" t="str">
        <f t="shared" ref="L3:L10" si="4">MID(B3,8,4)</f>
        <v>2031</v>
      </c>
      <c r="M3" t="str">
        <f t="shared" ref="M3:M10" si="5">MID(B3,13,4)</f>
        <v>0100</v>
      </c>
      <c r="N3" t="str">
        <f t="shared" ref="N3:N10" si="6">MID(B3,18,5)</f>
        <v>0+060</v>
      </c>
    </row>
    <row r="4" spans="1:14" x14ac:dyDescent="0.2">
      <c r="A4" t="s">
        <v>7</v>
      </c>
      <c r="B4" t="s">
        <v>8</v>
      </c>
      <c r="G4" t="str">
        <f t="shared" si="0"/>
        <v>104.7269</v>
      </c>
      <c r="H4" s="1" t="str">
        <f t="shared" si="1"/>
        <v xml:space="preserve"> 17.0185</v>
      </c>
      <c r="J4" t="str">
        <f t="shared" si="2"/>
        <v>RT3</v>
      </c>
      <c r="K4" t="str">
        <f t="shared" si="3"/>
        <v>SG</v>
      </c>
      <c r="L4" t="str">
        <f t="shared" si="4"/>
        <v>2031</v>
      </c>
      <c r="M4" t="str">
        <f t="shared" si="5"/>
        <v>0100</v>
      </c>
      <c r="N4" t="str">
        <f t="shared" si="6"/>
        <v>0+100</v>
      </c>
    </row>
    <row r="5" spans="1:14" x14ac:dyDescent="0.2">
      <c r="A5" t="s">
        <v>9</v>
      </c>
      <c r="B5" t="s">
        <v>10</v>
      </c>
      <c r="G5" t="str">
        <f t="shared" si="0"/>
        <v>104.7265</v>
      </c>
      <c r="H5" s="1" t="str">
        <f t="shared" si="1"/>
        <v xml:space="preserve"> 17.0187</v>
      </c>
      <c r="J5" t="str">
        <f t="shared" si="2"/>
        <v>RT4</v>
      </c>
      <c r="K5" t="str">
        <f t="shared" si="3"/>
        <v>SG</v>
      </c>
      <c r="L5" t="str">
        <f t="shared" si="4"/>
        <v>2031</v>
      </c>
      <c r="M5" t="str">
        <f t="shared" si="5"/>
        <v>0100</v>
      </c>
      <c r="N5" t="str">
        <f t="shared" si="6"/>
        <v>0+150</v>
      </c>
    </row>
    <row r="6" spans="1:14" x14ac:dyDescent="0.2">
      <c r="A6" t="s">
        <v>11</v>
      </c>
      <c r="B6" t="s">
        <v>12</v>
      </c>
      <c r="G6" t="str">
        <f t="shared" si="0"/>
        <v>104.7260</v>
      </c>
      <c r="H6" s="1" t="str">
        <f t="shared" si="1"/>
        <v xml:space="preserve"> 17.0190</v>
      </c>
      <c r="J6" t="str">
        <f t="shared" si="2"/>
        <v>RT5</v>
      </c>
      <c r="K6" t="str">
        <f t="shared" si="3"/>
        <v>SG</v>
      </c>
      <c r="L6" t="str">
        <f t="shared" si="4"/>
        <v>2031</v>
      </c>
      <c r="M6" t="str">
        <f t="shared" si="5"/>
        <v>0100</v>
      </c>
      <c r="N6" t="str">
        <f t="shared" si="6"/>
        <v>0+200</v>
      </c>
    </row>
    <row r="7" spans="1:14" x14ac:dyDescent="0.2">
      <c r="A7" t="s">
        <v>13</v>
      </c>
      <c r="B7" t="s">
        <v>14</v>
      </c>
      <c r="G7" t="str">
        <f t="shared" si="0"/>
        <v>104.7256</v>
      </c>
      <c r="H7" s="1" t="str">
        <f t="shared" si="1"/>
        <v xml:space="preserve"> 17.0192</v>
      </c>
      <c r="J7" t="str">
        <f t="shared" si="2"/>
        <v>RT6</v>
      </c>
      <c r="K7" t="str">
        <f t="shared" si="3"/>
        <v>SG</v>
      </c>
      <c r="L7" t="str">
        <f t="shared" si="4"/>
        <v>2031</v>
      </c>
      <c r="M7" t="str">
        <f t="shared" si="5"/>
        <v>0100</v>
      </c>
      <c r="N7" t="str">
        <f t="shared" si="6"/>
        <v>0+250</v>
      </c>
    </row>
    <row r="8" spans="1:14" x14ac:dyDescent="0.2">
      <c r="A8" t="s">
        <v>15</v>
      </c>
      <c r="B8" t="s">
        <v>16</v>
      </c>
      <c r="G8" t="str">
        <f t="shared" si="0"/>
        <v>104.7251</v>
      </c>
      <c r="H8" s="1" t="str">
        <f t="shared" si="1"/>
        <v xml:space="preserve"> 17.0195</v>
      </c>
      <c r="J8" t="str">
        <f t="shared" si="2"/>
        <v>RT7</v>
      </c>
      <c r="K8" t="str">
        <f t="shared" si="3"/>
        <v>SG</v>
      </c>
      <c r="L8" t="str">
        <f t="shared" si="4"/>
        <v>2031</v>
      </c>
      <c r="M8" t="str">
        <f t="shared" si="5"/>
        <v>0100</v>
      </c>
      <c r="N8" t="str">
        <f t="shared" si="6"/>
        <v>0+300</v>
      </c>
    </row>
    <row r="9" spans="1:14" x14ac:dyDescent="0.2">
      <c r="A9" t="s">
        <v>17</v>
      </c>
      <c r="B9" t="s">
        <v>18</v>
      </c>
      <c r="G9" t="str">
        <f t="shared" si="0"/>
        <v>104.7247</v>
      </c>
      <c r="H9" s="1" t="str">
        <f t="shared" si="1"/>
        <v xml:space="preserve"> 17.0197</v>
      </c>
      <c r="J9" t="str">
        <f t="shared" si="2"/>
        <v>RT8</v>
      </c>
      <c r="K9" t="str">
        <f t="shared" si="3"/>
        <v>SG</v>
      </c>
      <c r="L9" t="str">
        <f t="shared" si="4"/>
        <v>2031</v>
      </c>
      <c r="M9" t="str">
        <f t="shared" si="5"/>
        <v>0100</v>
      </c>
      <c r="N9" t="str">
        <f t="shared" si="6"/>
        <v>0+350</v>
      </c>
    </row>
    <row r="10" spans="1:14" x14ac:dyDescent="0.2">
      <c r="A10" t="s">
        <v>19</v>
      </c>
      <c r="B10" t="s">
        <v>20</v>
      </c>
      <c r="G10" t="str">
        <f t="shared" si="0"/>
        <v>104.7243</v>
      </c>
      <c r="H10" s="1" t="str">
        <f t="shared" si="1"/>
        <v xml:space="preserve"> 17.0199</v>
      </c>
      <c r="J10" t="str">
        <f t="shared" si="2"/>
        <v>RT9</v>
      </c>
      <c r="K10" t="str">
        <f t="shared" si="3"/>
        <v>SG</v>
      </c>
      <c r="L10" t="str">
        <f t="shared" si="4"/>
        <v>2031</v>
      </c>
      <c r="M10" t="str">
        <f t="shared" si="5"/>
        <v>0100</v>
      </c>
      <c r="N10" t="str">
        <f t="shared" si="6"/>
        <v>0+400</v>
      </c>
    </row>
    <row r="11" spans="1:14" x14ac:dyDescent="0.2">
      <c r="A11" t="s">
        <v>21</v>
      </c>
      <c r="B11" t="s">
        <v>22</v>
      </c>
      <c r="G11" t="str">
        <f t="shared" si="0"/>
        <v>104.7239</v>
      </c>
      <c r="H11" s="1" t="str">
        <f t="shared" si="1"/>
        <v xml:space="preserve"> 17.0201</v>
      </c>
      <c r="J11" t="str">
        <f>MID(B11,1,4)</f>
        <v>RT10</v>
      </c>
      <c r="K11" t="str">
        <f>MID(B11,6,2)</f>
        <v>SG</v>
      </c>
      <c r="L11" t="str">
        <f>MID(B11,9,4)</f>
        <v>2031</v>
      </c>
      <c r="M11" t="str">
        <f>MID(B11,14,4)</f>
        <v>0100</v>
      </c>
      <c r="N11" t="str">
        <f>MID(B11,19,5)</f>
        <v>0+450</v>
      </c>
    </row>
    <row r="12" spans="1:14" x14ac:dyDescent="0.2">
      <c r="A12" t="s">
        <v>23</v>
      </c>
      <c r="B12" t="s">
        <v>24</v>
      </c>
      <c r="G12" t="str">
        <f t="shared" si="0"/>
        <v>104.7235</v>
      </c>
      <c r="H12" s="1" t="str">
        <f t="shared" si="1"/>
        <v xml:space="preserve"> 17.0204</v>
      </c>
      <c r="J12" t="str">
        <f t="shared" ref="J12:J75" si="7">MID(B12,1,4)</f>
        <v>RT11</v>
      </c>
      <c r="K12" t="str">
        <f t="shared" ref="K12:K75" si="8">MID(B12,6,2)</f>
        <v>SG</v>
      </c>
      <c r="L12" t="str">
        <f t="shared" ref="L12:L75" si="9">MID(B12,9,4)</f>
        <v>2031</v>
      </c>
      <c r="M12" t="str">
        <f t="shared" ref="M12:M75" si="10">MID(B12,14,4)</f>
        <v>0100</v>
      </c>
      <c r="N12" t="str">
        <f t="shared" ref="N12:N75" si="11">MID(B12,19,5)</f>
        <v>0+500</v>
      </c>
    </row>
    <row r="13" spans="1:14" x14ac:dyDescent="0.2">
      <c r="A13" t="s">
        <v>25</v>
      </c>
      <c r="B13" t="s">
        <v>26</v>
      </c>
      <c r="G13" t="str">
        <f t="shared" si="0"/>
        <v>104.7230</v>
      </c>
      <c r="H13" s="1" t="str">
        <f t="shared" si="1"/>
        <v xml:space="preserve"> 17.0206</v>
      </c>
      <c r="J13" t="str">
        <f t="shared" si="7"/>
        <v>RT12</v>
      </c>
      <c r="K13" t="str">
        <f t="shared" si="8"/>
        <v>SG</v>
      </c>
      <c r="L13" t="str">
        <f t="shared" si="9"/>
        <v>2031</v>
      </c>
      <c r="M13" t="str">
        <f t="shared" si="10"/>
        <v>0100</v>
      </c>
      <c r="N13" t="str">
        <f t="shared" si="11"/>
        <v>0+550</v>
      </c>
    </row>
    <row r="14" spans="1:14" x14ac:dyDescent="0.2">
      <c r="A14" t="s">
        <v>27</v>
      </c>
      <c r="B14" t="s">
        <v>28</v>
      </c>
      <c r="G14" t="str">
        <f t="shared" si="0"/>
        <v>104.7226</v>
      </c>
      <c r="H14" s="1" t="str">
        <f>MID(A14,18,7)</f>
        <v>17.0208</v>
      </c>
      <c r="J14" t="str">
        <f t="shared" si="7"/>
        <v>RT13</v>
      </c>
      <c r="K14" t="str">
        <f t="shared" si="8"/>
        <v>SG</v>
      </c>
      <c r="L14" t="str">
        <f t="shared" si="9"/>
        <v>2031</v>
      </c>
      <c r="M14" t="str">
        <f t="shared" si="10"/>
        <v>0100</v>
      </c>
      <c r="N14" t="str">
        <f t="shared" si="11"/>
        <v>0+600</v>
      </c>
    </row>
    <row r="15" spans="1:14" x14ac:dyDescent="0.2">
      <c r="A15" t="s">
        <v>29</v>
      </c>
      <c r="B15" t="s">
        <v>30</v>
      </c>
      <c r="G15" t="str">
        <f t="shared" si="0"/>
        <v>104.7222</v>
      </c>
      <c r="H15" s="1" t="str">
        <f t="shared" si="1"/>
        <v xml:space="preserve"> 17.0210</v>
      </c>
      <c r="J15" t="str">
        <f t="shared" si="7"/>
        <v>RT14</v>
      </c>
      <c r="K15" t="str">
        <f t="shared" si="8"/>
        <v>SG</v>
      </c>
      <c r="L15" t="str">
        <f t="shared" si="9"/>
        <v>2031</v>
      </c>
      <c r="M15" t="str">
        <f t="shared" si="10"/>
        <v>0100</v>
      </c>
      <c r="N15" t="str">
        <f t="shared" si="11"/>
        <v>0+650</v>
      </c>
    </row>
    <row r="16" spans="1:14" x14ac:dyDescent="0.2">
      <c r="A16" t="s">
        <v>31</v>
      </c>
      <c r="B16" t="s">
        <v>32</v>
      </c>
      <c r="G16" t="str">
        <f t="shared" si="0"/>
        <v>104.7217</v>
      </c>
      <c r="H16" s="1" t="str">
        <f t="shared" si="1"/>
        <v xml:space="preserve"> 17.0213</v>
      </c>
      <c r="J16" t="str">
        <f t="shared" si="7"/>
        <v>RT15</v>
      </c>
      <c r="K16" t="str">
        <f t="shared" si="8"/>
        <v>SG</v>
      </c>
      <c r="L16" t="str">
        <f t="shared" si="9"/>
        <v>2031</v>
      </c>
      <c r="M16" t="str">
        <f t="shared" si="10"/>
        <v>0100</v>
      </c>
      <c r="N16" t="str">
        <f t="shared" si="11"/>
        <v>0+700</v>
      </c>
    </row>
    <row r="17" spans="1:14" x14ac:dyDescent="0.2">
      <c r="A17" t="s">
        <v>33</v>
      </c>
      <c r="B17" t="s">
        <v>34</v>
      </c>
      <c r="G17" t="str">
        <f t="shared" si="0"/>
        <v>104.7214</v>
      </c>
      <c r="H17" s="1" t="str">
        <f t="shared" si="1"/>
        <v xml:space="preserve"> 17.0215</v>
      </c>
      <c r="J17" t="str">
        <f t="shared" si="7"/>
        <v>RT16</v>
      </c>
      <c r="K17" t="str">
        <f t="shared" si="8"/>
        <v>SG</v>
      </c>
      <c r="L17" t="str">
        <f t="shared" si="9"/>
        <v>2031</v>
      </c>
      <c r="M17" t="str">
        <f t="shared" si="10"/>
        <v>0100</v>
      </c>
      <c r="N17" t="str">
        <f t="shared" si="11"/>
        <v>0+750</v>
      </c>
    </row>
    <row r="18" spans="1:14" x14ac:dyDescent="0.2">
      <c r="A18" t="s">
        <v>35</v>
      </c>
      <c r="B18" t="s">
        <v>36</v>
      </c>
      <c r="G18" t="str">
        <f t="shared" si="0"/>
        <v>104.7209</v>
      </c>
      <c r="H18" s="1" t="str">
        <f t="shared" si="1"/>
        <v xml:space="preserve"> 17.0218</v>
      </c>
      <c r="J18" t="str">
        <f t="shared" si="7"/>
        <v>RT17</v>
      </c>
      <c r="K18" t="str">
        <f t="shared" si="8"/>
        <v>SG</v>
      </c>
      <c r="L18" t="str">
        <f t="shared" si="9"/>
        <v>2031</v>
      </c>
      <c r="M18" t="str">
        <f t="shared" si="10"/>
        <v>0100</v>
      </c>
      <c r="N18" t="str">
        <f t="shared" si="11"/>
        <v>0+800</v>
      </c>
    </row>
    <row r="19" spans="1:14" x14ac:dyDescent="0.2">
      <c r="A19" t="s">
        <v>37</v>
      </c>
      <c r="B19" t="s">
        <v>38</v>
      </c>
      <c r="G19" t="str">
        <f t="shared" si="0"/>
        <v>104.7205</v>
      </c>
      <c r="H19" s="1" t="str">
        <f t="shared" si="1"/>
        <v xml:space="preserve"> 17.0220</v>
      </c>
      <c r="J19" t="str">
        <f t="shared" si="7"/>
        <v>RT18</v>
      </c>
      <c r="K19" t="str">
        <f t="shared" si="8"/>
        <v>SG</v>
      </c>
      <c r="L19" t="str">
        <f t="shared" si="9"/>
        <v>2031</v>
      </c>
      <c r="M19" t="str">
        <f t="shared" si="10"/>
        <v>0100</v>
      </c>
      <c r="N19" t="str">
        <f t="shared" si="11"/>
        <v>0+850</v>
      </c>
    </row>
    <row r="20" spans="1:14" x14ac:dyDescent="0.2">
      <c r="A20" t="s">
        <v>39</v>
      </c>
      <c r="B20" t="s">
        <v>40</v>
      </c>
      <c r="G20" t="str">
        <f t="shared" si="0"/>
        <v>104.7201</v>
      </c>
      <c r="H20" s="1" t="str">
        <f t="shared" si="1"/>
        <v xml:space="preserve"> 17.0222</v>
      </c>
      <c r="J20" t="str">
        <f t="shared" si="7"/>
        <v>RT19</v>
      </c>
      <c r="K20" t="str">
        <f t="shared" si="8"/>
        <v>SG</v>
      </c>
      <c r="L20" t="str">
        <f t="shared" si="9"/>
        <v>2031</v>
      </c>
      <c r="M20" t="str">
        <f t="shared" si="10"/>
        <v>0100</v>
      </c>
      <c r="N20" t="str">
        <f t="shared" si="11"/>
        <v>0+900</v>
      </c>
    </row>
    <row r="21" spans="1:14" x14ac:dyDescent="0.2">
      <c r="A21" t="s">
        <v>41</v>
      </c>
      <c r="B21" t="s">
        <v>42</v>
      </c>
      <c r="G21" t="str">
        <f t="shared" si="0"/>
        <v>104.7196</v>
      </c>
      <c r="H21" s="1" t="str">
        <f t="shared" si="1"/>
        <v xml:space="preserve"> 17.0225</v>
      </c>
      <c r="J21" t="str">
        <f t="shared" si="7"/>
        <v>RT20</v>
      </c>
      <c r="K21" t="str">
        <f t="shared" si="8"/>
        <v>SG</v>
      </c>
      <c r="L21" t="str">
        <f t="shared" si="9"/>
        <v>2031</v>
      </c>
      <c r="M21" t="str">
        <f t="shared" si="10"/>
        <v>0100</v>
      </c>
      <c r="N21" t="str">
        <f t="shared" si="11"/>
        <v>0+995</v>
      </c>
    </row>
    <row r="22" spans="1:14" x14ac:dyDescent="0.2">
      <c r="A22" t="s">
        <v>43</v>
      </c>
      <c r="B22" t="s">
        <v>44</v>
      </c>
      <c r="G22" t="str">
        <f t="shared" si="0"/>
        <v>104.7192</v>
      </c>
      <c r="H22" s="1" t="str">
        <f t="shared" si="1"/>
        <v xml:space="preserve"> 17.0228</v>
      </c>
      <c r="J22" t="str">
        <f t="shared" si="7"/>
        <v>RT21</v>
      </c>
      <c r="K22" t="str">
        <f t="shared" si="8"/>
        <v>SG</v>
      </c>
      <c r="L22" t="str">
        <f t="shared" si="9"/>
        <v>2031</v>
      </c>
      <c r="M22" t="str">
        <f t="shared" si="10"/>
        <v>0100</v>
      </c>
      <c r="N22" t="str">
        <f t="shared" si="11"/>
        <v>1+035</v>
      </c>
    </row>
    <row r="23" spans="1:14" x14ac:dyDescent="0.2">
      <c r="A23" t="s">
        <v>45</v>
      </c>
      <c r="B23" t="s">
        <v>46</v>
      </c>
      <c r="G23" t="str">
        <f t="shared" si="0"/>
        <v>104.7188</v>
      </c>
      <c r="H23" s="1" t="str">
        <f>MID(A23,18,7)</f>
        <v>17.0231</v>
      </c>
      <c r="J23" t="str">
        <f t="shared" si="7"/>
        <v>RT22</v>
      </c>
      <c r="K23" t="str">
        <f t="shared" si="8"/>
        <v>SG</v>
      </c>
      <c r="L23" t="str">
        <f t="shared" si="9"/>
        <v>2031</v>
      </c>
      <c r="M23" t="str">
        <f t="shared" si="10"/>
        <v>0100</v>
      </c>
      <c r="N23" t="str">
        <f t="shared" si="11"/>
        <v>1+070</v>
      </c>
    </row>
    <row r="24" spans="1:14" x14ac:dyDescent="0.2">
      <c r="A24" t="s">
        <v>47</v>
      </c>
      <c r="B24" t="s">
        <v>48</v>
      </c>
      <c r="G24" t="str">
        <f t="shared" si="0"/>
        <v>104.7184</v>
      </c>
      <c r="H24" s="1" t="str">
        <f t="shared" si="1"/>
        <v xml:space="preserve"> 17.0234</v>
      </c>
      <c r="J24" t="str">
        <f t="shared" si="7"/>
        <v>RT23</v>
      </c>
      <c r="K24" t="str">
        <f t="shared" si="8"/>
        <v>SG</v>
      </c>
      <c r="L24" t="str">
        <f t="shared" si="9"/>
        <v>2031</v>
      </c>
      <c r="M24" t="str">
        <f t="shared" si="10"/>
        <v>0100</v>
      </c>
      <c r="N24" t="str">
        <f t="shared" si="11"/>
        <v>1+120</v>
      </c>
    </row>
    <row r="25" spans="1:14" x14ac:dyDescent="0.2">
      <c r="A25" t="s">
        <v>49</v>
      </c>
      <c r="B25" t="s">
        <v>50</v>
      </c>
      <c r="G25" t="str">
        <f t="shared" si="0"/>
        <v>104.7181</v>
      </c>
      <c r="H25" s="1" t="str">
        <f t="shared" si="1"/>
        <v xml:space="preserve"> 17.0236</v>
      </c>
      <c r="J25" t="str">
        <f t="shared" si="7"/>
        <v>RT24</v>
      </c>
      <c r="K25" t="str">
        <f t="shared" si="8"/>
        <v>SG</v>
      </c>
      <c r="L25" t="str">
        <f t="shared" si="9"/>
        <v>2031</v>
      </c>
      <c r="M25" t="str">
        <f t="shared" si="10"/>
        <v>0100</v>
      </c>
      <c r="N25" t="str">
        <f t="shared" si="11"/>
        <v>1+170</v>
      </c>
    </row>
    <row r="26" spans="1:14" x14ac:dyDescent="0.2">
      <c r="A26" t="s">
        <v>51</v>
      </c>
      <c r="B26" t="s">
        <v>52</v>
      </c>
      <c r="G26" t="str">
        <f t="shared" si="0"/>
        <v>104.7179</v>
      </c>
      <c r="H26" s="1" t="str">
        <f t="shared" si="1"/>
        <v xml:space="preserve"> 17.0238</v>
      </c>
      <c r="J26" t="str">
        <f t="shared" si="7"/>
        <v>RT25</v>
      </c>
      <c r="K26" t="str">
        <f t="shared" si="8"/>
        <v>SG</v>
      </c>
      <c r="L26" t="str">
        <f t="shared" si="9"/>
        <v>2031</v>
      </c>
      <c r="M26" t="str">
        <f t="shared" si="10"/>
        <v>0100</v>
      </c>
      <c r="N26" t="str">
        <f t="shared" si="11"/>
        <v>1+220</v>
      </c>
    </row>
    <row r="27" spans="1:14" x14ac:dyDescent="0.2">
      <c r="A27" t="s">
        <v>53</v>
      </c>
      <c r="B27" t="s">
        <v>54</v>
      </c>
      <c r="G27" t="str">
        <f t="shared" si="0"/>
        <v>104.7176</v>
      </c>
      <c r="H27" s="1" t="str">
        <f t="shared" si="1"/>
        <v xml:space="preserve"> 17.0240</v>
      </c>
      <c r="J27" t="str">
        <f t="shared" si="7"/>
        <v>RT26</v>
      </c>
      <c r="K27" t="str">
        <f t="shared" si="8"/>
        <v>SG</v>
      </c>
      <c r="L27" t="str">
        <f t="shared" si="9"/>
        <v>2031</v>
      </c>
      <c r="M27" t="str">
        <f t="shared" si="10"/>
        <v>0100</v>
      </c>
      <c r="N27" t="str">
        <f t="shared" si="11"/>
        <v>1+270</v>
      </c>
    </row>
    <row r="28" spans="1:14" x14ac:dyDescent="0.2">
      <c r="A28" t="s">
        <v>55</v>
      </c>
      <c r="B28" t="s">
        <v>56</v>
      </c>
      <c r="G28" t="str">
        <f t="shared" si="0"/>
        <v>104.7173</v>
      </c>
      <c r="H28" s="1" t="str">
        <f>MID(A28,18,7)</f>
        <v>17.0242</v>
      </c>
      <c r="J28" t="str">
        <f t="shared" si="7"/>
        <v>RT27</v>
      </c>
      <c r="K28" t="str">
        <f t="shared" si="8"/>
        <v>SG</v>
      </c>
      <c r="L28" t="str">
        <f t="shared" si="9"/>
        <v>2031</v>
      </c>
      <c r="M28" t="str">
        <f t="shared" si="10"/>
        <v>0100</v>
      </c>
      <c r="N28" t="str">
        <f t="shared" si="11"/>
        <v>1+320</v>
      </c>
    </row>
    <row r="29" spans="1:14" x14ac:dyDescent="0.2">
      <c r="A29" t="s">
        <v>57</v>
      </c>
      <c r="B29" t="s">
        <v>58</v>
      </c>
      <c r="G29" t="str">
        <f t="shared" si="0"/>
        <v>104.7170</v>
      </c>
      <c r="H29" s="1" t="str">
        <f t="shared" si="1"/>
        <v xml:space="preserve"> 17.0244</v>
      </c>
      <c r="J29" t="str">
        <f t="shared" si="7"/>
        <v>RT28</v>
      </c>
      <c r="K29" t="str">
        <f t="shared" si="8"/>
        <v>SG</v>
      </c>
      <c r="L29" t="str">
        <f t="shared" si="9"/>
        <v>2031</v>
      </c>
      <c r="M29" t="str">
        <f t="shared" si="10"/>
        <v>0100</v>
      </c>
      <c r="N29" t="str">
        <f t="shared" si="11"/>
        <v>1+370</v>
      </c>
    </row>
    <row r="30" spans="1:14" x14ac:dyDescent="0.2">
      <c r="A30" t="s">
        <v>59</v>
      </c>
      <c r="B30" t="s">
        <v>60</v>
      </c>
      <c r="G30" t="str">
        <f t="shared" si="0"/>
        <v>104.7168</v>
      </c>
      <c r="H30" s="1" t="str">
        <f t="shared" si="1"/>
        <v xml:space="preserve"> 17.0246</v>
      </c>
      <c r="J30" t="str">
        <f t="shared" si="7"/>
        <v>RT29</v>
      </c>
      <c r="K30" t="str">
        <f t="shared" si="8"/>
        <v>SG</v>
      </c>
      <c r="L30" t="str">
        <f t="shared" si="9"/>
        <v>2031</v>
      </c>
      <c r="M30" t="str">
        <f t="shared" si="10"/>
        <v>0100</v>
      </c>
      <c r="N30" t="str">
        <f t="shared" si="11"/>
        <v>1+420</v>
      </c>
    </row>
    <row r="31" spans="1:14" x14ac:dyDescent="0.2">
      <c r="A31" t="s">
        <v>61</v>
      </c>
      <c r="B31" t="s">
        <v>62</v>
      </c>
      <c r="G31" t="str">
        <f t="shared" si="0"/>
        <v>104.7165</v>
      </c>
      <c r="H31" s="1" t="str">
        <f t="shared" si="1"/>
        <v xml:space="preserve"> 17.0248</v>
      </c>
      <c r="J31" t="str">
        <f t="shared" si="7"/>
        <v>RT30</v>
      </c>
      <c r="K31" t="str">
        <f t="shared" si="8"/>
        <v>SG</v>
      </c>
      <c r="L31" t="str">
        <f t="shared" si="9"/>
        <v>2031</v>
      </c>
      <c r="M31" t="str">
        <f t="shared" si="10"/>
        <v>0100</v>
      </c>
      <c r="N31" t="str">
        <f t="shared" si="11"/>
        <v>1+470</v>
      </c>
    </row>
    <row r="32" spans="1:14" x14ac:dyDescent="0.2">
      <c r="A32" t="s">
        <v>63</v>
      </c>
      <c r="B32" t="s">
        <v>64</v>
      </c>
      <c r="G32" t="str">
        <f t="shared" si="0"/>
        <v>104.7162</v>
      </c>
      <c r="H32" s="1" t="str">
        <f>MID(A32,18,7)</f>
        <v>17.0250</v>
      </c>
      <c r="J32" t="str">
        <f t="shared" si="7"/>
        <v>RT31</v>
      </c>
      <c r="K32" t="str">
        <f t="shared" si="8"/>
        <v>SG</v>
      </c>
      <c r="L32" t="str">
        <f t="shared" si="9"/>
        <v>2031</v>
      </c>
      <c r="M32" t="str">
        <f t="shared" si="10"/>
        <v>0100</v>
      </c>
      <c r="N32" t="str">
        <f t="shared" si="11"/>
        <v>1+520</v>
      </c>
    </row>
    <row r="33" spans="1:14" x14ac:dyDescent="0.2">
      <c r="A33" t="s">
        <v>65</v>
      </c>
      <c r="B33" t="s">
        <v>66</v>
      </c>
      <c r="G33" t="str">
        <f t="shared" si="0"/>
        <v>104.7157</v>
      </c>
      <c r="H33" s="1" t="str">
        <f t="shared" si="1"/>
        <v xml:space="preserve"> 17.0254</v>
      </c>
      <c r="J33" t="str">
        <f t="shared" si="7"/>
        <v>RT32</v>
      </c>
      <c r="K33" t="str">
        <f t="shared" si="8"/>
        <v>SG</v>
      </c>
      <c r="L33" t="str">
        <f t="shared" si="9"/>
        <v>2031</v>
      </c>
      <c r="M33" t="str">
        <f t="shared" si="10"/>
        <v>0100</v>
      </c>
      <c r="N33" t="str">
        <f t="shared" si="11"/>
        <v>1+580</v>
      </c>
    </row>
    <row r="34" spans="1:14" x14ac:dyDescent="0.2">
      <c r="A34" t="s">
        <v>67</v>
      </c>
      <c r="B34" t="s">
        <v>68</v>
      </c>
      <c r="G34" t="str">
        <f t="shared" si="0"/>
        <v>104.7159</v>
      </c>
      <c r="H34" s="1" t="str">
        <f t="shared" si="1"/>
        <v xml:space="preserve"> 17.0253</v>
      </c>
      <c r="J34" t="str">
        <f t="shared" si="7"/>
        <v>RT31</v>
      </c>
      <c r="K34" t="str">
        <f t="shared" si="8"/>
        <v>SG</v>
      </c>
      <c r="L34" t="str">
        <f t="shared" si="9"/>
        <v>2031</v>
      </c>
      <c r="M34" t="str">
        <f t="shared" si="10"/>
        <v>0100</v>
      </c>
      <c r="N34" t="str">
        <f t="shared" si="11"/>
        <v>1+570</v>
      </c>
    </row>
    <row r="35" spans="1:14" x14ac:dyDescent="0.2">
      <c r="A35" t="s">
        <v>69</v>
      </c>
      <c r="B35" t="s">
        <v>70</v>
      </c>
      <c r="G35" t="str">
        <f t="shared" si="0"/>
        <v>104.7127</v>
      </c>
      <c r="H35" s="1" t="str">
        <f t="shared" si="1"/>
        <v xml:space="preserve"> 17.0277</v>
      </c>
      <c r="J35" t="str">
        <f t="shared" si="7"/>
        <v>RT32</v>
      </c>
      <c r="K35" t="str">
        <f t="shared" si="8"/>
        <v>SG</v>
      </c>
      <c r="L35" t="str">
        <f t="shared" si="9"/>
        <v>2031</v>
      </c>
      <c r="M35" t="str">
        <f t="shared" si="10"/>
        <v>0100</v>
      </c>
      <c r="N35" t="str">
        <f t="shared" si="11"/>
        <v>1+920</v>
      </c>
    </row>
    <row r="36" spans="1:14" x14ac:dyDescent="0.2">
      <c r="A36" t="s">
        <v>71</v>
      </c>
      <c r="B36" t="s">
        <v>72</v>
      </c>
      <c r="G36" t="str">
        <f t="shared" si="0"/>
        <v>104.7124</v>
      </c>
      <c r="H36" s="1" t="str">
        <f t="shared" si="1"/>
        <v xml:space="preserve"> 17.0279</v>
      </c>
      <c r="J36" t="str">
        <f t="shared" si="7"/>
        <v>RT33</v>
      </c>
      <c r="K36" t="str">
        <f t="shared" si="8"/>
        <v>SG</v>
      </c>
      <c r="L36" t="str">
        <f t="shared" si="9"/>
        <v>2031</v>
      </c>
      <c r="M36" t="str">
        <f t="shared" si="10"/>
        <v>0100</v>
      </c>
      <c r="N36" t="str">
        <f t="shared" si="11"/>
        <v>1+960</v>
      </c>
    </row>
    <row r="37" spans="1:14" x14ac:dyDescent="0.2">
      <c r="A37" t="s">
        <v>73</v>
      </c>
      <c r="B37" t="s">
        <v>74</v>
      </c>
      <c r="G37" t="str">
        <f t="shared" si="0"/>
        <v>104.7121</v>
      </c>
      <c r="H37" s="1" t="str">
        <f t="shared" si="1"/>
        <v xml:space="preserve"> 17.0281</v>
      </c>
      <c r="J37" t="str">
        <f t="shared" si="7"/>
        <v>RT34</v>
      </c>
      <c r="K37" t="str">
        <f t="shared" si="8"/>
        <v>SG</v>
      </c>
      <c r="L37" t="str">
        <f t="shared" si="9"/>
        <v>2031</v>
      </c>
      <c r="M37" t="str">
        <f t="shared" si="10"/>
        <v>0100</v>
      </c>
      <c r="N37" t="str">
        <f t="shared" si="11"/>
        <v>2+000</v>
      </c>
    </row>
    <row r="38" spans="1:14" x14ac:dyDescent="0.2">
      <c r="A38" t="s">
        <v>75</v>
      </c>
      <c r="B38" t="s">
        <v>76</v>
      </c>
      <c r="G38" t="str">
        <f t="shared" si="0"/>
        <v>104.7118</v>
      </c>
      <c r="H38" s="1" t="str">
        <f>MID(A38,18,7)</f>
        <v>17.0284</v>
      </c>
      <c r="J38" t="str">
        <f t="shared" si="7"/>
        <v>RT35</v>
      </c>
      <c r="K38" t="str">
        <f t="shared" si="8"/>
        <v>SG</v>
      </c>
      <c r="L38" t="str">
        <f t="shared" si="9"/>
        <v>2031</v>
      </c>
      <c r="M38" t="str">
        <f t="shared" si="10"/>
        <v>0100</v>
      </c>
      <c r="N38" t="str">
        <f t="shared" si="11"/>
        <v>2+040</v>
      </c>
    </row>
    <row r="39" spans="1:14" x14ac:dyDescent="0.2">
      <c r="A39" t="s">
        <v>77</v>
      </c>
      <c r="B39" t="s">
        <v>78</v>
      </c>
      <c r="G39" t="str">
        <f t="shared" si="0"/>
        <v>104.7115</v>
      </c>
      <c r="H39" s="1" t="str">
        <f t="shared" si="1"/>
        <v xml:space="preserve"> 17.0286</v>
      </c>
      <c r="J39" t="str">
        <f t="shared" si="7"/>
        <v>RT36</v>
      </c>
      <c r="K39" t="str">
        <f t="shared" si="8"/>
        <v>SG</v>
      </c>
      <c r="L39" t="str">
        <f t="shared" si="9"/>
        <v>2031</v>
      </c>
      <c r="M39" t="str">
        <f t="shared" si="10"/>
        <v>0100</v>
      </c>
      <c r="N39" t="str">
        <f t="shared" si="11"/>
        <v>2+080</v>
      </c>
    </row>
    <row r="40" spans="1:14" x14ac:dyDescent="0.2">
      <c r="A40" t="s">
        <v>79</v>
      </c>
      <c r="B40" t="s">
        <v>80</v>
      </c>
      <c r="G40" t="str">
        <f t="shared" si="0"/>
        <v>104.7110</v>
      </c>
      <c r="H40" s="1" t="str">
        <f t="shared" si="1"/>
        <v xml:space="preserve"> 17.0290</v>
      </c>
      <c r="J40" t="str">
        <f t="shared" si="7"/>
        <v>RT37</v>
      </c>
      <c r="K40" t="str">
        <f t="shared" si="8"/>
        <v>SG</v>
      </c>
      <c r="L40" t="str">
        <f t="shared" si="9"/>
        <v>2031</v>
      </c>
      <c r="M40" t="str">
        <f t="shared" si="10"/>
        <v>0100</v>
      </c>
      <c r="N40" t="str">
        <f t="shared" si="11"/>
        <v>2+120</v>
      </c>
    </row>
    <row r="41" spans="1:14" x14ac:dyDescent="0.2">
      <c r="A41" t="s">
        <v>81</v>
      </c>
      <c r="B41" t="s">
        <v>82</v>
      </c>
      <c r="G41" t="str">
        <f t="shared" si="0"/>
        <v>104.7101</v>
      </c>
      <c r="H41" s="1" t="str">
        <f t="shared" si="1"/>
        <v xml:space="preserve"> 17.0297</v>
      </c>
      <c r="J41" t="str">
        <f t="shared" si="7"/>
        <v>RT38</v>
      </c>
      <c r="K41" t="str">
        <f t="shared" si="8"/>
        <v>SG</v>
      </c>
      <c r="L41" t="str">
        <f t="shared" si="9"/>
        <v>2031</v>
      </c>
      <c r="M41" t="str">
        <f t="shared" si="10"/>
        <v>0100</v>
      </c>
      <c r="N41" t="str">
        <f t="shared" si="11"/>
        <v>2+250</v>
      </c>
    </row>
    <row r="42" spans="1:14" x14ac:dyDescent="0.2">
      <c r="A42" t="s">
        <v>83</v>
      </c>
      <c r="B42" t="s">
        <v>84</v>
      </c>
      <c r="G42" t="str">
        <f t="shared" si="0"/>
        <v>104.7096</v>
      </c>
      <c r="H42" s="1" t="str">
        <f t="shared" si="1"/>
        <v xml:space="preserve"> 17.0301</v>
      </c>
      <c r="J42" t="str">
        <f t="shared" si="7"/>
        <v>RT39</v>
      </c>
      <c r="K42" t="str">
        <f t="shared" si="8"/>
        <v>SG</v>
      </c>
      <c r="L42" t="str">
        <f t="shared" si="9"/>
        <v>2031</v>
      </c>
      <c r="M42" t="str">
        <f t="shared" si="10"/>
        <v>0100</v>
      </c>
      <c r="N42" t="str">
        <f t="shared" si="11"/>
        <v>2+290</v>
      </c>
    </row>
    <row r="43" spans="1:14" x14ac:dyDescent="0.2">
      <c r="A43" t="s">
        <v>85</v>
      </c>
      <c r="B43" t="s">
        <v>86</v>
      </c>
      <c r="G43" t="str">
        <f t="shared" si="0"/>
        <v>104.7091</v>
      </c>
      <c r="H43" s="1" t="str">
        <f t="shared" si="1"/>
        <v xml:space="preserve"> 17.0305</v>
      </c>
      <c r="J43" t="str">
        <f t="shared" si="7"/>
        <v>RT40</v>
      </c>
      <c r="K43" t="str">
        <f t="shared" si="8"/>
        <v>SG</v>
      </c>
      <c r="L43" t="str">
        <f t="shared" si="9"/>
        <v>2031</v>
      </c>
      <c r="M43" t="str">
        <f t="shared" si="10"/>
        <v>0100</v>
      </c>
      <c r="N43" t="str">
        <f t="shared" si="11"/>
        <v>2+330</v>
      </c>
    </row>
    <row r="44" spans="1:14" x14ac:dyDescent="0.2">
      <c r="A44" t="s">
        <v>87</v>
      </c>
      <c r="B44" t="s">
        <v>88</v>
      </c>
      <c r="G44" t="str">
        <f t="shared" si="0"/>
        <v>104.7088</v>
      </c>
      <c r="H44" s="1" t="str">
        <f t="shared" si="1"/>
        <v xml:space="preserve"> 17.0308</v>
      </c>
      <c r="J44" t="str">
        <f t="shared" si="7"/>
        <v>RT41</v>
      </c>
      <c r="K44" t="str">
        <f t="shared" si="8"/>
        <v>SG</v>
      </c>
      <c r="L44" t="str">
        <f t="shared" si="9"/>
        <v>2031</v>
      </c>
      <c r="M44" t="str">
        <f t="shared" si="10"/>
        <v>0100</v>
      </c>
      <c r="N44" t="str">
        <f t="shared" si="11"/>
        <v>2+370</v>
      </c>
    </row>
    <row r="45" spans="1:14" x14ac:dyDescent="0.2">
      <c r="A45" t="s">
        <v>89</v>
      </c>
      <c r="B45" t="s">
        <v>90</v>
      </c>
      <c r="G45" t="str">
        <f t="shared" si="0"/>
        <v>104.7085</v>
      </c>
      <c r="H45" s="1" t="str">
        <f t="shared" si="1"/>
        <v xml:space="preserve"> 17.0311</v>
      </c>
      <c r="J45" t="str">
        <f t="shared" si="7"/>
        <v>RT42</v>
      </c>
      <c r="K45" t="str">
        <f t="shared" si="8"/>
        <v>SG</v>
      </c>
      <c r="L45" t="str">
        <f t="shared" si="9"/>
        <v>2031</v>
      </c>
      <c r="M45" t="str">
        <f t="shared" si="10"/>
        <v>0100</v>
      </c>
      <c r="N45" t="str">
        <f t="shared" si="11"/>
        <v>2+410</v>
      </c>
    </row>
    <row r="46" spans="1:14" x14ac:dyDescent="0.2">
      <c r="A46" t="s">
        <v>91</v>
      </c>
      <c r="B46" t="s">
        <v>92</v>
      </c>
      <c r="G46" t="str">
        <f t="shared" si="0"/>
        <v>104.7080</v>
      </c>
      <c r="H46" s="1" t="str">
        <f t="shared" si="1"/>
        <v xml:space="preserve"> 17.0315</v>
      </c>
      <c r="J46" t="str">
        <f t="shared" si="7"/>
        <v>RT43</v>
      </c>
      <c r="K46" t="str">
        <f t="shared" si="8"/>
        <v>SG</v>
      </c>
      <c r="L46" t="str">
        <f t="shared" si="9"/>
        <v>2031</v>
      </c>
      <c r="M46" t="str">
        <f t="shared" si="10"/>
        <v>0100</v>
      </c>
      <c r="N46" t="str">
        <f t="shared" si="11"/>
        <v>2+450</v>
      </c>
    </row>
    <row r="47" spans="1:14" x14ac:dyDescent="0.2">
      <c r="A47" t="s">
        <v>93</v>
      </c>
      <c r="B47" t="s">
        <v>94</v>
      </c>
      <c r="G47" t="str">
        <f t="shared" si="0"/>
        <v>104.7077</v>
      </c>
      <c r="H47" s="1" t="str">
        <f t="shared" si="1"/>
        <v xml:space="preserve"> 17.0317</v>
      </c>
      <c r="J47" t="str">
        <f t="shared" si="7"/>
        <v>RT44</v>
      </c>
      <c r="K47" t="str">
        <f t="shared" si="8"/>
        <v>SG</v>
      </c>
      <c r="L47" t="str">
        <f t="shared" si="9"/>
        <v>2031</v>
      </c>
      <c r="M47" t="str">
        <f t="shared" si="10"/>
        <v>0100</v>
      </c>
      <c r="N47" t="str">
        <f t="shared" si="11"/>
        <v>2+490</v>
      </c>
    </row>
    <row r="48" spans="1:14" x14ac:dyDescent="0.2">
      <c r="A48" t="s">
        <v>95</v>
      </c>
      <c r="B48" t="s">
        <v>96</v>
      </c>
      <c r="G48" t="str">
        <f t="shared" si="0"/>
        <v>104.7075</v>
      </c>
      <c r="H48" s="1" t="str">
        <f t="shared" si="1"/>
        <v xml:space="preserve"> 17.0319</v>
      </c>
      <c r="J48" t="str">
        <f t="shared" si="7"/>
        <v>RT45</v>
      </c>
      <c r="K48" t="str">
        <f t="shared" si="8"/>
        <v>SG</v>
      </c>
      <c r="L48" t="str">
        <f t="shared" si="9"/>
        <v>2031</v>
      </c>
      <c r="M48" t="str">
        <f t="shared" si="10"/>
        <v>0100</v>
      </c>
      <c r="N48" t="str">
        <f t="shared" si="11"/>
        <v>2+530</v>
      </c>
    </row>
    <row r="49" spans="1:14" x14ac:dyDescent="0.2">
      <c r="A49" t="s">
        <v>97</v>
      </c>
      <c r="B49" t="s">
        <v>98</v>
      </c>
      <c r="G49" t="str">
        <f t="shared" si="0"/>
        <v>104.7072</v>
      </c>
      <c r="H49" s="1" t="str">
        <f t="shared" si="1"/>
        <v xml:space="preserve"> 17.0321</v>
      </c>
      <c r="J49" t="str">
        <f t="shared" si="7"/>
        <v>RT46</v>
      </c>
      <c r="K49" t="str">
        <f t="shared" si="8"/>
        <v>SG</v>
      </c>
      <c r="L49" t="str">
        <f t="shared" si="9"/>
        <v>2031</v>
      </c>
      <c r="M49" t="str">
        <f t="shared" si="10"/>
        <v>0100</v>
      </c>
      <c r="N49" t="str">
        <f t="shared" si="11"/>
        <v>2+570</v>
      </c>
    </row>
    <row r="50" spans="1:14" x14ac:dyDescent="0.2">
      <c r="A50" t="s">
        <v>99</v>
      </c>
      <c r="B50" t="s">
        <v>100</v>
      </c>
      <c r="G50" t="str">
        <f t="shared" si="0"/>
        <v>104.7069</v>
      </c>
      <c r="H50" s="1" t="str">
        <f t="shared" si="1"/>
        <v xml:space="preserve"> 17.0324</v>
      </c>
      <c r="J50" t="str">
        <f t="shared" si="7"/>
        <v>RT47</v>
      </c>
      <c r="K50" t="str">
        <f t="shared" si="8"/>
        <v>SG</v>
      </c>
      <c r="L50" t="str">
        <f t="shared" si="9"/>
        <v>2031</v>
      </c>
      <c r="M50" t="str">
        <f t="shared" si="10"/>
        <v>0100</v>
      </c>
      <c r="N50" t="str">
        <f t="shared" si="11"/>
        <v>2+610</v>
      </c>
    </row>
    <row r="51" spans="1:14" x14ac:dyDescent="0.2">
      <c r="A51" t="s">
        <v>101</v>
      </c>
      <c r="B51" t="s">
        <v>102</v>
      </c>
      <c r="G51" t="str">
        <f t="shared" si="0"/>
        <v>104.7066</v>
      </c>
      <c r="H51" s="1" t="str">
        <f t="shared" si="1"/>
        <v xml:space="preserve"> 17.0326</v>
      </c>
      <c r="J51" t="str">
        <f t="shared" si="7"/>
        <v>RT48</v>
      </c>
      <c r="K51" t="str">
        <f t="shared" si="8"/>
        <v>SG</v>
      </c>
      <c r="L51" t="str">
        <f t="shared" si="9"/>
        <v>2031</v>
      </c>
      <c r="M51" t="str">
        <f t="shared" si="10"/>
        <v>0100</v>
      </c>
      <c r="N51" t="str">
        <f t="shared" si="11"/>
        <v>2+650</v>
      </c>
    </row>
    <row r="52" spans="1:14" x14ac:dyDescent="0.2">
      <c r="A52" t="s">
        <v>103</v>
      </c>
      <c r="B52" t="s">
        <v>104</v>
      </c>
      <c r="G52" t="str">
        <f t="shared" si="0"/>
        <v>104.7063</v>
      </c>
      <c r="H52" s="1" t="str">
        <f t="shared" si="1"/>
        <v xml:space="preserve"> 17.0329</v>
      </c>
      <c r="J52" t="str">
        <f t="shared" si="7"/>
        <v>RT49</v>
      </c>
      <c r="K52" t="str">
        <f t="shared" si="8"/>
        <v>SG</v>
      </c>
      <c r="L52" t="str">
        <f t="shared" si="9"/>
        <v>2031</v>
      </c>
      <c r="M52" t="str">
        <f t="shared" si="10"/>
        <v>0100</v>
      </c>
      <c r="N52" t="str">
        <f t="shared" si="11"/>
        <v>2+690</v>
      </c>
    </row>
    <row r="53" spans="1:14" x14ac:dyDescent="0.2">
      <c r="A53" t="s">
        <v>105</v>
      </c>
      <c r="B53" t="s">
        <v>106</v>
      </c>
      <c r="G53" t="str">
        <f t="shared" si="0"/>
        <v>104.7059</v>
      </c>
      <c r="H53" s="1" t="str">
        <f t="shared" si="1"/>
        <v xml:space="preserve"> 17.0332</v>
      </c>
      <c r="J53" t="str">
        <f t="shared" si="7"/>
        <v>RT50</v>
      </c>
      <c r="K53" t="str">
        <f t="shared" si="8"/>
        <v>SG</v>
      </c>
      <c r="L53" t="str">
        <f t="shared" si="9"/>
        <v>2031</v>
      </c>
      <c r="M53" t="str">
        <f t="shared" si="10"/>
        <v>0100</v>
      </c>
      <c r="N53" t="str">
        <f t="shared" si="11"/>
        <v>2+730</v>
      </c>
    </row>
    <row r="54" spans="1:14" x14ac:dyDescent="0.2">
      <c r="A54" t="s">
        <v>107</v>
      </c>
      <c r="B54" t="s">
        <v>108</v>
      </c>
      <c r="G54" t="str">
        <f t="shared" si="0"/>
        <v>104.7056</v>
      </c>
      <c r="H54" s="1" t="str">
        <f t="shared" si="1"/>
        <v xml:space="preserve"> 17.0335</v>
      </c>
      <c r="J54" t="str">
        <f t="shared" si="7"/>
        <v>RT51</v>
      </c>
      <c r="K54" t="str">
        <f t="shared" si="8"/>
        <v>SG</v>
      </c>
      <c r="L54" t="str">
        <f t="shared" si="9"/>
        <v>2031</v>
      </c>
      <c r="M54" t="str">
        <f t="shared" si="10"/>
        <v>0100</v>
      </c>
      <c r="N54" t="str">
        <f t="shared" si="11"/>
        <v>2+770</v>
      </c>
    </row>
    <row r="55" spans="1:14" x14ac:dyDescent="0.2">
      <c r="A55" t="s">
        <v>109</v>
      </c>
      <c r="B55" t="s">
        <v>110</v>
      </c>
      <c r="G55" t="str">
        <f t="shared" si="0"/>
        <v>104.7052</v>
      </c>
      <c r="H55" s="1" t="str">
        <f t="shared" si="1"/>
        <v xml:space="preserve"> 17.0338</v>
      </c>
      <c r="J55" t="str">
        <f t="shared" si="7"/>
        <v>RT52</v>
      </c>
      <c r="K55" t="str">
        <f t="shared" si="8"/>
        <v>SG</v>
      </c>
      <c r="L55" t="str">
        <f t="shared" si="9"/>
        <v>2031</v>
      </c>
      <c r="M55" t="str">
        <f t="shared" si="10"/>
        <v>0100</v>
      </c>
      <c r="N55" t="str">
        <f t="shared" si="11"/>
        <v>2+810</v>
      </c>
    </row>
    <row r="56" spans="1:14" x14ac:dyDescent="0.2">
      <c r="A56" t="s">
        <v>111</v>
      </c>
      <c r="B56" t="s">
        <v>112</v>
      </c>
      <c r="G56" t="str">
        <f t="shared" si="0"/>
        <v>104.7048</v>
      </c>
      <c r="H56" s="1" t="str">
        <f t="shared" si="1"/>
        <v xml:space="preserve"> 17.0341</v>
      </c>
      <c r="J56" t="str">
        <f t="shared" si="7"/>
        <v>RT53</v>
      </c>
      <c r="K56" t="str">
        <f t="shared" si="8"/>
        <v>SG</v>
      </c>
      <c r="L56" t="str">
        <f t="shared" si="9"/>
        <v>2031</v>
      </c>
      <c r="M56" t="str">
        <f t="shared" si="10"/>
        <v>0100</v>
      </c>
      <c r="N56" t="str">
        <f t="shared" si="11"/>
        <v>2+870</v>
      </c>
    </row>
    <row r="57" spans="1:14" x14ac:dyDescent="0.2">
      <c r="A57" t="s">
        <v>113</v>
      </c>
      <c r="B57" t="s">
        <v>114</v>
      </c>
      <c r="G57" t="str">
        <f t="shared" si="0"/>
        <v>104.7044</v>
      </c>
      <c r="H57" s="1" t="str">
        <f t="shared" si="1"/>
        <v xml:space="preserve"> 17.0344</v>
      </c>
      <c r="J57" t="str">
        <f t="shared" si="7"/>
        <v>RT54</v>
      </c>
      <c r="K57" t="str">
        <f t="shared" si="8"/>
        <v>SG</v>
      </c>
      <c r="L57" t="str">
        <f t="shared" si="9"/>
        <v>2031</v>
      </c>
      <c r="M57" t="str">
        <f t="shared" si="10"/>
        <v>0100</v>
      </c>
      <c r="N57" t="str">
        <f t="shared" si="11"/>
        <v>2+910</v>
      </c>
    </row>
    <row r="58" spans="1:14" x14ac:dyDescent="0.2">
      <c r="A58" t="s">
        <v>115</v>
      </c>
      <c r="B58" t="s">
        <v>116</v>
      </c>
      <c r="G58" t="str">
        <f t="shared" si="0"/>
        <v>104.7041</v>
      </c>
      <c r="H58" s="1" t="str">
        <f t="shared" si="1"/>
        <v xml:space="preserve"> 17.0347</v>
      </c>
      <c r="J58" t="str">
        <f t="shared" si="7"/>
        <v>RT55</v>
      </c>
      <c r="K58" t="str">
        <f t="shared" si="8"/>
        <v>SG</v>
      </c>
      <c r="L58" t="str">
        <f t="shared" si="9"/>
        <v>2031</v>
      </c>
      <c r="M58" t="str">
        <f t="shared" si="10"/>
        <v>0100</v>
      </c>
      <c r="N58" t="str">
        <f t="shared" si="11"/>
        <v>2+980</v>
      </c>
    </row>
    <row r="59" spans="1:14" x14ac:dyDescent="0.2">
      <c r="A59" t="s">
        <v>117</v>
      </c>
      <c r="B59" t="s">
        <v>118</v>
      </c>
      <c r="G59" t="str">
        <f t="shared" si="0"/>
        <v>104.7037</v>
      </c>
      <c r="H59" s="1" t="str">
        <f t="shared" si="1"/>
        <v xml:space="preserve"> 17.0350</v>
      </c>
      <c r="J59" t="str">
        <f t="shared" si="7"/>
        <v>RT56</v>
      </c>
      <c r="K59" t="str">
        <f t="shared" si="8"/>
        <v>SG</v>
      </c>
      <c r="L59" t="str">
        <f t="shared" si="9"/>
        <v>2031</v>
      </c>
      <c r="M59" t="str">
        <f t="shared" si="10"/>
        <v>0100</v>
      </c>
      <c r="N59" t="str">
        <f t="shared" si="11"/>
        <v>3+020</v>
      </c>
    </row>
    <row r="60" spans="1:14" x14ac:dyDescent="0.2">
      <c r="A60" t="s">
        <v>119</v>
      </c>
      <c r="B60" t="s">
        <v>120</v>
      </c>
      <c r="G60" t="str">
        <f t="shared" si="0"/>
        <v>104.7034</v>
      </c>
      <c r="H60" s="1" t="str">
        <f t="shared" si="1"/>
        <v xml:space="preserve"> 17.0353</v>
      </c>
      <c r="J60" t="str">
        <f t="shared" si="7"/>
        <v>RT57</v>
      </c>
      <c r="K60" t="str">
        <f t="shared" si="8"/>
        <v>SG</v>
      </c>
      <c r="L60" t="str">
        <f>MID(B60,9,4)</f>
        <v>2031</v>
      </c>
      <c r="M60" t="str">
        <f t="shared" si="10"/>
        <v>0100</v>
      </c>
      <c r="N60" t="str">
        <f t="shared" si="11"/>
        <v>3+060</v>
      </c>
    </row>
    <row r="61" spans="1:14" x14ac:dyDescent="0.2">
      <c r="A61" t="s">
        <v>121</v>
      </c>
      <c r="B61" t="s">
        <v>122</v>
      </c>
      <c r="G61" t="str">
        <f t="shared" si="0"/>
        <v>104.7030</v>
      </c>
      <c r="H61" s="1" t="str">
        <f t="shared" si="1"/>
        <v xml:space="preserve"> 17.0356</v>
      </c>
      <c r="J61" t="str">
        <f t="shared" si="7"/>
        <v>RT58</v>
      </c>
      <c r="K61" t="str">
        <f t="shared" si="8"/>
        <v>SG</v>
      </c>
      <c r="L61" t="str">
        <f t="shared" si="9"/>
        <v>2031</v>
      </c>
      <c r="M61" t="str">
        <f t="shared" si="10"/>
        <v>0100</v>
      </c>
      <c r="N61" t="str">
        <f t="shared" si="11"/>
        <v>3+100</v>
      </c>
    </row>
    <row r="62" spans="1:14" x14ac:dyDescent="0.2">
      <c r="A62" t="s">
        <v>123</v>
      </c>
      <c r="B62" t="s">
        <v>124</v>
      </c>
      <c r="G62" t="str">
        <f t="shared" si="0"/>
        <v>104.7018</v>
      </c>
      <c r="H62" s="1" t="str">
        <f t="shared" si="1"/>
        <v xml:space="preserve"> 17.0365</v>
      </c>
      <c r="J62" t="str">
        <f t="shared" si="7"/>
        <v>RT59</v>
      </c>
      <c r="K62" t="str">
        <f t="shared" si="8"/>
        <v>SG</v>
      </c>
      <c r="L62" t="str">
        <f t="shared" si="9"/>
        <v>2031</v>
      </c>
      <c r="M62" t="str">
        <f t="shared" si="10"/>
        <v>0100</v>
      </c>
      <c r="N62" t="str">
        <f t="shared" si="11"/>
        <v>3+260</v>
      </c>
    </row>
    <row r="63" spans="1:14" x14ac:dyDescent="0.2">
      <c r="A63" t="s">
        <v>125</v>
      </c>
      <c r="B63" t="s">
        <v>126</v>
      </c>
      <c r="G63" t="str">
        <f t="shared" si="0"/>
        <v>104.7015</v>
      </c>
      <c r="H63" s="1" t="str">
        <f t="shared" si="1"/>
        <v xml:space="preserve"> 17.0368</v>
      </c>
      <c r="J63" t="str">
        <f t="shared" si="7"/>
        <v>RT60</v>
      </c>
      <c r="K63" t="str">
        <f t="shared" si="8"/>
        <v>SG</v>
      </c>
      <c r="L63" t="str">
        <f t="shared" si="9"/>
        <v>2031</v>
      </c>
      <c r="M63" t="str">
        <f t="shared" si="10"/>
        <v>0100</v>
      </c>
      <c r="N63" t="str">
        <f t="shared" si="11"/>
        <v>3+300</v>
      </c>
    </row>
    <row r="64" spans="1:14" x14ac:dyDescent="0.2">
      <c r="A64" t="s">
        <v>127</v>
      </c>
      <c r="B64" t="s">
        <v>128</v>
      </c>
      <c r="G64" t="str">
        <f t="shared" si="0"/>
        <v>104.7012</v>
      </c>
      <c r="H64" s="1" t="str">
        <f t="shared" si="1"/>
        <v xml:space="preserve"> 17.0370</v>
      </c>
      <c r="J64" t="str">
        <f t="shared" si="7"/>
        <v>RT61</v>
      </c>
      <c r="K64" t="str">
        <f t="shared" si="8"/>
        <v>SG</v>
      </c>
      <c r="L64" t="str">
        <f t="shared" si="9"/>
        <v>2031</v>
      </c>
      <c r="M64" t="str">
        <f t="shared" si="10"/>
        <v>0100</v>
      </c>
      <c r="N64" t="str">
        <f t="shared" si="11"/>
        <v>3+340</v>
      </c>
    </row>
    <row r="65" spans="1:14" x14ac:dyDescent="0.2">
      <c r="A65" t="s">
        <v>129</v>
      </c>
      <c r="B65" t="s">
        <v>130</v>
      </c>
      <c r="G65" t="str">
        <f t="shared" si="0"/>
        <v>104.7010</v>
      </c>
      <c r="H65" s="1" t="str">
        <f t="shared" si="1"/>
        <v xml:space="preserve"> 17.0372</v>
      </c>
      <c r="J65" t="str">
        <f t="shared" si="7"/>
        <v>RT62</v>
      </c>
      <c r="K65" t="str">
        <f t="shared" si="8"/>
        <v>SG</v>
      </c>
      <c r="L65" t="str">
        <f t="shared" si="9"/>
        <v>2031</v>
      </c>
      <c r="M65" t="str">
        <f t="shared" si="10"/>
        <v>0100</v>
      </c>
      <c r="N65" t="str">
        <f t="shared" si="11"/>
        <v>3+380</v>
      </c>
    </row>
    <row r="66" spans="1:14" x14ac:dyDescent="0.2">
      <c r="A66" t="s">
        <v>131</v>
      </c>
      <c r="B66" t="s">
        <v>132</v>
      </c>
      <c r="G66" t="str">
        <f t="shared" si="0"/>
        <v>104.7007</v>
      </c>
      <c r="H66" s="1" t="str">
        <f t="shared" si="1"/>
        <v xml:space="preserve"> 17.0374</v>
      </c>
      <c r="J66" t="str">
        <f t="shared" si="7"/>
        <v>RT63</v>
      </c>
      <c r="K66" t="str">
        <f t="shared" si="8"/>
        <v>SG</v>
      </c>
      <c r="L66" t="str">
        <f t="shared" si="9"/>
        <v>2031</v>
      </c>
      <c r="M66" t="str">
        <f t="shared" si="10"/>
        <v>0100</v>
      </c>
      <c r="N66" t="str">
        <f t="shared" si="11"/>
        <v>3+420</v>
      </c>
    </row>
    <row r="67" spans="1:14" x14ac:dyDescent="0.2">
      <c r="A67" t="s">
        <v>133</v>
      </c>
      <c r="B67" t="s">
        <v>134</v>
      </c>
      <c r="G67" t="str">
        <f t="shared" ref="G67:G130" si="12">MID(A67,8,8)</f>
        <v>104.7005</v>
      </c>
      <c r="H67" s="1" t="str">
        <f t="shared" ref="H67:H130" si="13">MID(A67,18,8)</f>
        <v xml:space="preserve"> 17.0376</v>
      </c>
      <c r="J67" t="str">
        <f t="shared" si="7"/>
        <v>RT64</v>
      </c>
      <c r="K67" t="str">
        <f t="shared" si="8"/>
        <v>SG</v>
      </c>
      <c r="L67" t="str">
        <f t="shared" si="9"/>
        <v>2031</v>
      </c>
      <c r="M67" t="str">
        <f t="shared" si="10"/>
        <v>0100</v>
      </c>
      <c r="N67" t="str">
        <f t="shared" si="11"/>
        <v>3+460</v>
      </c>
    </row>
    <row r="68" spans="1:14" x14ac:dyDescent="0.2">
      <c r="A68" t="s">
        <v>135</v>
      </c>
      <c r="B68" t="s">
        <v>136</v>
      </c>
      <c r="G68" t="str">
        <f t="shared" si="12"/>
        <v>104.7002</v>
      </c>
      <c r="H68" s="1" t="str">
        <f t="shared" si="13"/>
        <v xml:space="preserve"> 17.0378</v>
      </c>
      <c r="J68" t="str">
        <f t="shared" si="7"/>
        <v>RT65</v>
      </c>
      <c r="K68" t="str">
        <f t="shared" si="8"/>
        <v>SG</v>
      </c>
      <c r="L68" t="str">
        <f t="shared" si="9"/>
        <v>2031</v>
      </c>
      <c r="M68" t="str">
        <f t="shared" si="10"/>
        <v>0100</v>
      </c>
      <c r="N68" t="str">
        <f t="shared" si="11"/>
        <v>3+500</v>
      </c>
    </row>
    <row r="69" spans="1:14" x14ac:dyDescent="0.2">
      <c r="A69" t="s">
        <v>137</v>
      </c>
      <c r="B69" t="s">
        <v>138</v>
      </c>
      <c r="G69" t="str">
        <f t="shared" si="12"/>
        <v>104.6999</v>
      </c>
      <c r="H69" s="1" t="str">
        <f t="shared" si="13"/>
        <v xml:space="preserve"> 17.0381</v>
      </c>
      <c r="J69" t="str">
        <f t="shared" si="7"/>
        <v>RT66</v>
      </c>
      <c r="K69" t="str">
        <f t="shared" si="8"/>
        <v>SG</v>
      </c>
      <c r="L69" t="str">
        <f t="shared" si="9"/>
        <v>2031</v>
      </c>
      <c r="M69" t="str">
        <f t="shared" si="10"/>
        <v>0100</v>
      </c>
      <c r="N69" t="str">
        <f t="shared" si="11"/>
        <v>3+540</v>
      </c>
    </row>
    <row r="70" spans="1:14" x14ac:dyDescent="0.2">
      <c r="A70" t="s">
        <v>139</v>
      </c>
      <c r="B70" t="s">
        <v>140</v>
      </c>
      <c r="G70" t="str">
        <f t="shared" si="12"/>
        <v>104.6997</v>
      </c>
      <c r="H70" s="1" t="str">
        <f t="shared" si="13"/>
        <v xml:space="preserve"> 17.0383</v>
      </c>
      <c r="J70" t="str">
        <f t="shared" si="7"/>
        <v>RT67</v>
      </c>
      <c r="K70" t="str">
        <f t="shared" si="8"/>
        <v>SG</v>
      </c>
      <c r="L70" t="str">
        <f t="shared" si="9"/>
        <v>2031</v>
      </c>
      <c r="M70" t="str">
        <f t="shared" si="10"/>
        <v>0100</v>
      </c>
      <c r="N70" t="str">
        <f t="shared" si="11"/>
        <v>3+580</v>
      </c>
    </row>
    <row r="71" spans="1:14" x14ac:dyDescent="0.2">
      <c r="A71" t="s">
        <v>141</v>
      </c>
      <c r="B71" t="s">
        <v>142</v>
      </c>
      <c r="G71" t="str">
        <f t="shared" si="12"/>
        <v>104.6994</v>
      </c>
      <c r="H71" s="1" t="str">
        <f t="shared" si="13"/>
        <v xml:space="preserve"> 17.0385</v>
      </c>
      <c r="J71" t="str">
        <f t="shared" si="7"/>
        <v>RT68</v>
      </c>
      <c r="K71" t="str">
        <f t="shared" si="8"/>
        <v>SG</v>
      </c>
      <c r="L71" t="str">
        <f t="shared" si="9"/>
        <v>2031</v>
      </c>
      <c r="M71" t="str">
        <f t="shared" si="10"/>
        <v>0100</v>
      </c>
      <c r="N71" t="str">
        <f t="shared" si="11"/>
        <v>3+620</v>
      </c>
    </row>
    <row r="72" spans="1:14" x14ac:dyDescent="0.2">
      <c r="A72" t="s">
        <v>143</v>
      </c>
      <c r="B72" t="s">
        <v>144</v>
      </c>
      <c r="G72" t="str">
        <f t="shared" si="12"/>
        <v>104.6992</v>
      </c>
      <c r="H72" s="1" t="str">
        <f t="shared" si="13"/>
        <v xml:space="preserve"> 17.0387</v>
      </c>
      <c r="J72" t="str">
        <f t="shared" si="7"/>
        <v>RT69</v>
      </c>
      <c r="K72" t="str">
        <f t="shared" si="8"/>
        <v>SG</v>
      </c>
      <c r="L72" t="str">
        <f t="shared" si="9"/>
        <v>2031</v>
      </c>
      <c r="M72" t="str">
        <f t="shared" si="10"/>
        <v>0100</v>
      </c>
      <c r="N72" t="str">
        <f t="shared" si="11"/>
        <v>3+660</v>
      </c>
    </row>
    <row r="73" spans="1:14" x14ac:dyDescent="0.2">
      <c r="A73" t="s">
        <v>145</v>
      </c>
      <c r="B73" t="s">
        <v>146</v>
      </c>
      <c r="G73" t="str">
        <f t="shared" si="12"/>
        <v>104.6989</v>
      </c>
      <c r="H73" s="1" t="str">
        <f t="shared" si="13"/>
        <v xml:space="preserve"> 17.0389</v>
      </c>
      <c r="J73" t="str">
        <f t="shared" si="7"/>
        <v>RT70</v>
      </c>
      <c r="K73" t="str">
        <f t="shared" si="8"/>
        <v>SG</v>
      </c>
      <c r="L73" t="str">
        <f>MID(B73,9,4)</f>
        <v>2031</v>
      </c>
      <c r="M73" t="str">
        <f t="shared" si="10"/>
        <v>0100</v>
      </c>
      <c r="N73" t="str">
        <f t="shared" si="11"/>
        <v>3+730</v>
      </c>
    </row>
    <row r="74" spans="1:14" x14ac:dyDescent="0.2">
      <c r="A74" t="s">
        <v>147</v>
      </c>
      <c r="B74" t="s">
        <v>148</v>
      </c>
      <c r="G74" t="str">
        <f t="shared" si="12"/>
        <v>104.6987</v>
      </c>
      <c r="H74" s="1" t="str">
        <f>MID(A74,18,7)</f>
        <v>17.0391</v>
      </c>
      <c r="J74" t="str">
        <f t="shared" si="7"/>
        <v>RT71</v>
      </c>
      <c r="K74" t="str">
        <f t="shared" si="8"/>
        <v>SG</v>
      </c>
      <c r="L74" t="str">
        <f t="shared" si="9"/>
        <v>2031</v>
      </c>
      <c r="M74" t="str">
        <f t="shared" si="10"/>
        <v>0100</v>
      </c>
      <c r="N74" t="str">
        <f t="shared" si="11"/>
        <v>3+790</v>
      </c>
    </row>
    <row r="75" spans="1:14" x14ac:dyDescent="0.2">
      <c r="A75" t="s">
        <v>149</v>
      </c>
      <c r="B75" t="s">
        <v>150</v>
      </c>
      <c r="G75" t="str">
        <f t="shared" si="12"/>
        <v>104.6984</v>
      </c>
      <c r="H75" s="1" t="str">
        <f t="shared" si="13"/>
        <v xml:space="preserve"> 17.0393</v>
      </c>
      <c r="J75" t="str">
        <f t="shared" si="7"/>
        <v>RT72</v>
      </c>
      <c r="K75" t="str">
        <f t="shared" si="8"/>
        <v>SG</v>
      </c>
      <c r="L75" t="str">
        <f t="shared" si="9"/>
        <v>2031</v>
      </c>
      <c r="M75" t="str">
        <f t="shared" si="10"/>
        <v>0100</v>
      </c>
      <c r="N75" t="str">
        <f t="shared" si="11"/>
        <v>3+850</v>
      </c>
    </row>
    <row r="76" spans="1:14" x14ac:dyDescent="0.2">
      <c r="A76" t="s">
        <v>151</v>
      </c>
      <c r="B76" t="s">
        <v>152</v>
      </c>
      <c r="G76" t="str">
        <f t="shared" si="12"/>
        <v>104.6981</v>
      </c>
      <c r="H76" s="1" t="str">
        <f>MID(A76,18,7)</f>
        <v>17.0395</v>
      </c>
      <c r="J76" t="str">
        <f t="shared" ref="J76:J102" si="14">MID(B76,1,4)</f>
        <v>RT73</v>
      </c>
      <c r="K76" t="str">
        <f t="shared" ref="K76:K102" si="15">MID(B76,6,2)</f>
        <v>SG</v>
      </c>
      <c r="L76" t="str">
        <f t="shared" ref="L76:L95" si="16">MID(B76,9,4)</f>
        <v>2031</v>
      </c>
      <c r="M76" t="str">
        <f t="shared" ref="M76:M102" si="17">MID(B76,14,4)</f>
        <v>0100</v>
      </c>
      <c r="N76" t="str">
        <f t="shared" ref="N76:N102" si="18">MID(B76,19,5)</f>
        <v>3+920</v>
      </c>
    </row>
    <row r="77" spans="1:14" x14ac:dyDescent="0.2">
      <c r="A77" t="s">
        <v>153</v>
      </c>
      <c r="B77" t="s">
        <v>154</v>
      </c>
      <c r="G77" t="str">
        <f t="shared" si="12"/>
        <v>104.6979</v>
      </c>
      <c r="H77" s="1" t="str">
        <f t="shared" si="13"/>
        <v xml:space="preserve"> 17.0398</v>
      </c>
      <c r="J77" t="str">
        <f t="shared" si="14"/>
        <v>RT74</v>
      </c>
      <c r="K77" t="str">
        <f t="shared" si="15"/>
        <v>SG</v>
      </c>
      <c r="L77" t="str">
        <f t="shared" si="16"/>
        <v>2031</v>
      </c>
      <c r="M77" t="str">
        <f t="shared" si="17"/>
        <v>0100</v>
      </c>
      <c r="N77" t="str">
        <f t="shared" si="18"/>
        <v>3+985</v>
      </c>
    </row>
    <row r="78" spans="1:14" x14ac:dyDescent="0.2">
      <c r="A78" t="s">
        <v>155</v>
      </c>
      <c r="B78" t="s">
        <v>156</v>
      </c>
      <c r="G78" t="str">
        <f t="shared" si="12"/>
        <v>104.6976</v>
      </c>
      <c r="H78" s="1" t="str">
        <f t="shared" si="13"/>
        <v xml:space="preserve"> 17.0400</v>
      </c>
      <c r="J78" t="str">
        <f t="shared" si="14"/>
        <v>RT75</v>
      </c>
      <c r="K78" t="str">
        <f t="shared" si="15"/>
        <v>SG</v>
      </c>
      <c r="L78" t="str">
        <f t="shared" si="16"/>
        <v>2031</v>
      </c>
      <c r="M78" t="str">
        <f t="shared" si="17"/>
        <v>0100</v>
      </c>
      <c r="N78" t="str">
        <f t="shared" si="18"/>
        <v>4+030</v>
      </c>
    </row>
    <row r="79" spans="1:14" x14ac:dyDescent="0.2">
      <c r="A79" t="s">
        <v>157</v>
      </c>
      <c r="B79" t="s">
        <v>158</v>
      </c>
      <c r="G79" t="str">
        <f t="shared" si="12"/>
        <v>104.6974</v>
      </c>
      <c r="H79" s="1" t="str">
        <f t="shared" si="13"/>
        <v xml:space="preserve"> 17.0401</v>
      </c>
      <c r="J79" t="str">
        <f t="shared" si="14"/>
        <v>RT76</v>
      </c>
      <c r="K79" t="str">
        <f t="shared" si="15"/>
        <v>SG</v>
      </c>
      <c r="L79" t="str">
        <f t="shared" si="16"/>
        <v>2031</v>
      </c>
      <c r="M79" t="str">
        <f t="shared" si="17"/>
        <v>0100</v>
      </c>
      <c r="N79" t="str">
        <f t="shared" si="18"/>
        <v>4+060</v>
      </c>
    </row>
    <row r="80" spans="1:14" x14ac:dyDescent="0.2">
      <c r="A80" t="s">
        <v>159</v>
      </c>
      <c r="B80" t="s">
        <v>160</v>
      </c>
      <c r="G80" t="str">
        <f t="shared" si="12"/>
        <v>104.6970</v>
      </c>
      <c r="H80" s="1" t="str">
        <f t="shared" si="13"/>
        <v xml:space="preserve"> 17.0404</v>
      </c>
      <c r="J80" t="str">
        <f t="shared" si="14"/>
        <v>RT77</v>
      </c>
      <c r="K80" t="str">
        <f t="shared" si="15"/>
        <v>SG</v>
      </c>
      <c r="L80" t="str">
        <f t="shared" si="16"/>
        <v>2031</v>
      </c>
      <c r="M80" t="str">
        <f t="shared" si="17"/>
        <v>0100</v>
      </c>
      <c r="N80" t="str">
        <f t="shared" si="18"/>
        <v>4+110</v>
      </c>
    </row>
    <row r="81" spans="1:14" x14ac:dyDescent="0.2">
      <c r="A81" t="s">
        <v>161</v>
      </c>
      <c r="B81" t="s">
        <v>162</v>
      </c>
      <c r="G81" t="str">
        <f t="shared" si="12"/>
        <v>104.6968</v>
      </c>
      <c r="H81" s="1" t="str">
        <f t="shared" si="13"/>
        <v xml:space="preserve"> 17.0406</v>
      </c>
      <c r="J81" t="str">
        <f t="shared" si="14"/>
        <v>RT78</v>
      </c>
      <c r="K81" t="str">
        <f t="shared" si="15"/>
        <v>SG</v>
      </c>
      <c r="L81" t="str">
        <f t="shared" si="16"/>
        <v>2031</v>
      </c>
      <c r="M81" t="str">
        <f t="shared" si="17"/>
        <v>0100</v>
      </c>
      <c r="N81" t="str">
        <f t="shared" si="18"/>
        <v>4+140</v>
      </c>
    </row>
    <row r="82" spans="1:14" x14ac:dyDescent="0.2">
      <c r="A82" t="s">
        <v>163</v>
      </c>
      <c r="B82" t="s">
        <v>164</v>
      </c>
      <c r="G82" t="str">
        <f t="shared" si="12"/>
        <v>104.6966</v>
      </c>
      <c r="H82" s="1" t="str">
        <f t="shared" si="13"/>
        <v xml:space="preserve"> 17.0407</v>
      </c>
      <c r="J82" t="str">
        <f t="shared" si="14"/>
        <v>RT79</v>
      </c>
      <c r="K82" t="str">
        <f t="shared" si="15"/>
        <v>SG</v>
      </c>
      <c r="L82" t="str">
        <f t="shared" si="16"/>
        <v>2031</v>
      </c>
      <c r="M82" t="str">
        <f t="shared" si="17"/>
        <v>0100</v>
      </c>
      <c r="N82" t="str">
        <f t="shared" si="18"/>
        <v>4+170</v>
      </c>
    </row>
    <row r="83" spans="1:14" x14ac:dyDescent="0.2">
      <c r="A83" t="s">
        <v>165</v>
      </c>
      <c r="B83" t="s">
        <v>166</v>
      </c>
      <c r="G83" t="str">
        <f t="shared" si="12"/>
        <v>104.6961</v>
      </c>
      <c r="H83" s="1" t="str">
        <f t="shared" si="13"/>
        <v xml:space="preserve"> 17.0412</v>
      </c>
      <c r="J83" t="str">
        <f t="shared" si="14"/>
        <v>RT80</v>
      </c>
      <c r="K83" t="str">
        <f t="shared" si="15"/>
        <v>SG</v>
      </c>
      <c r="L83" t="str">
        <f t="shared" si="16"/>
        <v>2031</v>
      </c>
      <c r="M83" t="str">
        <f t="shared" si="17"/>
        <v>0100</v>
      </c>
      <c r="N83" t="str">
        <f t="shared" si="18"/>
        <v>4+250</v>
      </c>
    </row>
    <row r="84" spans="1:14" x14ac:dyDescent="0.2">
      <c r="A84" t="s">
        <v>167</v>
      </c>
      <c r="B84" t="s">
        <v>168</v>
      </c>
      <c r="G84" t="str">
        <f t="shared" si="12"/>
        <v>104.6958</v>
      </c>
      <c r="H84" s="1" t="str">
        <f t="shared" si="13"/>
        <v xml:space="preserve"> 17.0414</v>
      </c>
      <c r="J84" t="str">
        <f t="shared" si="14"/>
        <v>RT81</v>
      </c>
      <c r="K84" t="str">
        <f t="shared" si="15"/>
        <v>SG</v>
      </c>
      <c r="L84" t="str">
        <f t="shared" si="16"/>
        <v>2031</v>
      </c>
      <c r="M84" t="str">
        <f t="shared" si="17"/>
        <v>0100</v>
      </c>
      <c r="N84" t="str">
        <f t="shared" si="18"/>
        <v>4+300</v>
      </c>
    </row>
    <row r="85" spans="1:14" x14ac:dyDescent="0.2">
      <c r="A85" t="s">
        <v>169</v>
      </c>
      <c r="B85" t="s">
        <v>170</v>
      </c>
      <c r="G85" t="str">
        <f t="shared" si="12"/>
        <v>104.6955</v>
      </c>
      <c r="H85" s="1" t="str">
        <f t="shared" si="13"/>
        <v xml:space="preserve"> 17.0416</v>
      </c>
      <c r="J85" t="str">
        <f t="shared" si="14"/>
        <v>RT82</v>
      </c>
      <c r="K85" t="str">
        <f t="shared" si="15"/>
        <v>SG</v>
      </c>
      <c r="L85" t="str">
        <f t="shared" si="16"/>
        <v>2031</v>
      </c>
      <c r="M85" t="str">
        <f t="shared" si="17"/>
        <v>0100</v>
      </c>
      <c r="N85" t="str">
        <f t="shared" si="18"/>
        <v>4+350</v>
      </c>
    </row>
    <row r="86" spans="1:14" x14ac:dyDescent="0.2">
      <c r="A86" t="s">
        <v>171</v>
      </c>
      <c r="B86" t="s">
        <v>172</v>
      </c>
      <c r="G86" t="str">
        <f t="shared" si="12"/>
        <v>104.6952</v>
      </c>
      <c r="H86" s="1" t="str">
        <f t="shared" si="13"/>
        <v xml:space="preserve"> 17.0419</v>
      </c>
      <c r="J86" t="str">
        <f t="shared" si="14"/>
        <v>RT83</v>
      </c>
      <c r="K86" t="str">
        <f t="shared" si="15"/>
        <v>SG</v>
      </c>
      <c r="L86" t="str">
        <f t="shared" si="16"/>
        <v>2031</v>
      </c>
      <c r="M86" t="str">
        <f t="shared" si="17"/>
        <v>0100</v>
      </c>
      <c r="N86" t="str">
        <f t="shared" si="18"/>
        <v>4+400</v>
      </c>
    </row>
    <row r="87" spans="1:14" x14ac:dyDescent="0.2">
      <c r="A87" t="s">
        <v>173</v>
      </c>
      <c r="B87" t="s">
        <v>174</v>
      </c>
      <c r="G87" t="str">
        <f t="shared" si="12"/>
        <v>104.6948</v>
      </c>
      <c r="H87" s="1" t="str">
        <f t="shared" si="13"/>
        <v xml:space="preserve"> 17.0422</v>
      </c>
      <c r="J87" t="str">
        <f t="shared" si="14"/>
        <v>RT84</v>
      </c>
      <c r="K87" t="str">
        <f t="shared" si="15"/>
        <v>SG</v>
      </c>
      <c r="L87" t="str">
        <f t="shared" si="16"/>
        <v>2031</v>
      </c>
      <c r="M87" t="str">
        <f t="shared" si="17"/>
        <v>0100</v>
      </c>
      <c r="N87" t="str">
        <f t="shared" si="18"/>
        <v>4+450</v>
      </c>
    </row>
    <row r="88" spans="1:14" x14ac:dyDescent="0.2">
      <c r="A88" t="s">
        <v>175</v>
      </c>
      <c r="B88" t="s">
        <v>176</v>
      </c>
      <c r="G88" t="str">
        <f t="shared" si="12"/>
        <v>104.6945</v>
      </c>
      <c r="H88" s="1" t="str">
        <f>MID(A88,18,7)</f>
        <v>17.0424</v>
      </c>
      <c r="J88" t="str">
        <f t="shared" si="14"/>
        <v>RT85</v>
      </c>
      <c r="K88" t="str">
        <f t="shared" si="15"/>
        <v>SG</v>
      </c>
      <c r="L88" t="str">
        <f t="shared" si="16"/>
        <v>2031</v>
      </c>
      <c r="M88" t="str">
        <f t="shared" si="17"/>
        <v>0100</v>
      </c>
      <c r="N88" t="str">
        <f t="shared" si="18"/>
        <v>4+500</v>
      </c>
    </row>
    <row r="89" spans="1:14" x14ac:dyDescent="0.2">
      <c r="A89" t="s">
        <v>177</v>
      </c>
      <c r="B89" t="s">
        <v>178</v>
      </c>
      <c r="G89" t="str">
        <f t="shared" si="12"/>
        <v>104.6941</v>
      </c>
      <c r="H89" s="1" t="str">
        <f t="shared" si="13"/>
        <v xml:space="preserve"> 17.0427</v>
      </c>
      <c r="J89" t="str">
        <f t="shared" si="14"/>
        <v>RT86</v>
      </c>
      <c r="K89" t="str">
        <f t="shared" si="15"/>
        <v>SG</v>
      </c>
      <c r="L89" t="str">
        <f t="shared" si="16"/>
        <v>2031</v>
      </c>
      <c r="M89" t="str">
        <f t="shared" si="17"/>
        <v>0100</v>
      </c>
      <c r="N89" t="str">
        <f t="shared" si="18"/>
        <v>4+550</v>
      </c>
    </row>
    <row r="90" spans="1:14" x14ac:dyDescent="0.2">
      <c r="A90" t="s">
        <v>179</v>
      </c>
      <c r="B90" t="s">
        <v>180</v>
      </c>
      <c r="G90" t="str">
        <f t="shared" si="12"/>
        <v>104.6938</v>
      </c>
      <c r="H90" s="1" t="str">
        <f t="shared" si="13"/>
        <v xml:space="preserve"> 17.0430</v>
      </c>
      <c r="J90" t="str">
        <f t="shared" si="14"/>
        <v>RT87</v>
      </c>
      <c r="K90" t="str">
        <f t="shared" si="15"/>
        <v>SG</v>
      </c>
      <c r="L90" t="str">
        <f t="shared" si="16"/>
        <v>2031</v>
      </c>
      <c r="M90" t="str">
        <f t="shared" si="17"/>
        <v>0100</v>
      </c>
      <c r="N90" t="str">
        <f t="shared" si="18"/>
        <v>4+600</v>
      </c>
    </row>
    <row r="91" spans="1:14" x14ac:dyDescent="0.2">
      <c r="A91" t="s">
        <v>181</v>
      </c>
      <c r="B91" t="s">
        <v>182</v>
      </c>
      <c r="G91" t="str">
        <f t="shared" si="12"/>
        <v>104.6935</v>
      </c>
      <c r="H91" s="1" t="str">
        <f t="shared" si="13"/>
        <v xml:space="preserve"> 17.0433</v>
      </c>
      <c r="J91" t="str">
        <f t="shared" si="14"/>
        <v>RT88</v>
      </c>
      <c r="K91" t="str">
        <f t="shared" si="15"/>
        <v>SG</v>
      </c>
      <c r="L91" t="str">
        <f t="shared" si="16"/>
        <v>2031</v>
      </c>
      <c r="M91" t="str">
        <f t="shared" si="17"/>
        <v>0100</v>
      </c>
      <c r="N91" t="str">
        <f t="shared" si="18"/>
        <v>4+650</v>
      </c>
    </row>
    <row r="92" spans="1:14" x14ac:dyDescent="0.2">
      <c r="A92" t="s">
        <v>183</v>
      </c>
      <c r="B92" t="s">
        <v>184</v>
      </c>
      <c r="G92" t="str">
        <f t="shared" si="12"/>
        <v>104.6931</v>
      </c>
      <c r="H92" s="1" t="str">
        <f t="shared" si="13"/>
        <v xml:space="preserve"> 17.0435</v>
      </c>
      <c r="J92" t="str">
        <f t="shared" si="14"/>
        <v>RT89</v>
      </c>
      <c r="K92" t="str">
        <f t="shared" si="15"/>
        <v>SG</v>
      </c>
      <c r="L92" t="str">
        <f t="shared" si="16"/>
        <v>2031</v>
      </c>
      <c r="M92" t="str">
        <f t="shared" si="17"/>
        <v>0100</v>
      </c>
      <c r="N92" t="str">
        <f t="shared" si="18"/>
        <v>4+700</v>
      </c>
    </row>
    <row r="93" spans="1:14" x14ac:dyDescent="0.2">
      <c r="A93" t="s">
        <v>185</v>
      </c>
      <c r="B93" t="s">
        <v>186</v>
      </c>
      <c r="G93" t="str">
        <f t="shared" si="12"/>
        <v>104.6928</v>
      </c>
      <c r="H93" s="1" t="str">
        <f t="shared" si="13"/>
        <v xml:space="preserve"> 17.0438</v>
      </c>
      <c r="J93" t="str">
        <f t="shared" si="14"/>
        <v>RT90</v>
      </c>
      <c r="K93" t="str">
        <f t="shared" si="15"/>
        <v>SG</v>
      </c>
      <c r="L93" t="str">
        <f t="shared" si="16"/>
        <v>2031</v>
      </c>
      <c r="M93" t="str">
        <f t="shared" si="17"/>
        <v>0100</v>
      </c>
      <c r="N93" t="str">
        <f t="shared" si="18"/>
        <v>4+750</v>
      </c>
    </row>
    <row r="94" spans="1:14" x14ac:dyDescent="0.2">
      <c r="A94" t="s">
        <v>187</v>
      </c>
      <c r="B94" t="s">
        <v>188</v>
      </c>
      <c r="G94" t="str">
        <f t="shared" si="12"/>
        <v>104.6924</v>
      </c>
      <c r="H94" s="1" t="str">
        <f t="shared" si="13"/>
        <v xml:space="preserve"> 17.0441</v>
      </c>
      <c r="J94" t="str">
        <f t="shared" si="14"/>
        <v>RT91</v>
      </c>
      <c r="K94" t="str">
        <f t="shared" si="15"/>
        <v>SG</v>
      </c>
      <c r="L94" t="str">
        <f t="shared" si="16"/>
        <v>2031</v>
      </c>
      <c r="M94" t="str">
        <f t="shared" si="17"/>
        <v>0100</v>
      </c>
      <c r="N94" t="str">
        <f t="shared" si="18"/>
        <v>4+800</v>
      </c>
    </row>
    <row r="95" spans="1:14" x14ac:dyDescent="0.2">
      <c r="A95" t="s">
        <v>189</v>
      </c>
      <c r="B95" t="s">
        <v>190</v>
      </c>
      <c r="G95" t="str">
        <f t="shared" si="12"/>
        <v>104.6921</v>
      </c>
      <c r="H95" s="1" t="str">
        <f t="shared" si="13"/>
        <v xml:space="preserve"> 17.0444</v>
      </c>
      <c r="J95" t="str">
        <f t="shared" si="14"/>
        <v>RT92</v>
      </c>
      <c r="K95" t="str">
        <f t="shared" si="15"/>
        <v>SG</v>
      </c>
      <c r="L95" t="str">
        <f t="shared" si="16"/>
        <v>2031</v>
      </c>
      <c r="M95" t="str">
        <f t="shared" si="17"/>
        <v>0100</v>
      </c>
      <c r="N95" t="str">
        <f t="shared" si="18"/>
        <v>4+840</v>
      </c>
    </row>
    <row r="96" spans="1:14" x14ac:dyDescent="0.2">
      <c r="A96" t="s">
        <v>191</v>
      </c>
      <c r="B96" t="s">
        <v>192</v>
      </c>
      <c r="G96" t="str">
        <f t="shared" si="12"/>
        <v>104.6917</v>
      </c>
      <c r="H96" s="1" t="str">
        <f t="shared" si="13"/>
        <v xml:space="preserve"> 17.0447</v>
      </c>
      <c r="J96" t="str">
        <f t="shared" si="14"/>
        <v>RT93</v>
      </c>
      <c r="K96" t="str">
        <f t="shared" si="15"/>
        <v>SG</v>
      </c>
      <c r="L96" t="str">
        <f>MID(B96,9,4)</f>
        <v>2031</v>
      </c>
      <c r="M96" t="str">
        <f t="shared" si="17"/>
        <v>0100</v>
      </c>
      <c r="N96" t="str">
        <f t="shared" si="18"/>
        <v>4+880</v>
      </c>
    </row>
    <row r="97" spans="1:14" x14ac:dyDescent="0.2">
      <c r="A97" t="s">
        <v>193</v>
      </c>
      <c r="B97" t="s">
        <v>194</v>
      </c>
      <c r="G97" t="str">
        <f t="shared" si="12"/>
        <v>104.6913</v>
      </c>
      <c r="H97" s="1" t="str">
        <f t="shared" si="13"/>
        <v xml:space="preserve"> 17.0450</v>
      </c>
      <c r="J97" t="str">
        <f t="shared" si="14"/>
        <v>RT94</v>
      </c>
      <c r="K97" t="str">
        <f t="shared" si="15"/>
        <v>SG</v>
      </c>
      <c r="L97" t="str">
        <f t="shared" ref="L97:L102" si="19">MID(B97,9,4)</f>
        <v>2031</v>
      </c>
      <c r="M97" t="str">
        <f t="shared" si="17"/>
        <v>0100</v>
      </c>
      <c r="N97" t="str">
        <f t="shared" si="18"/>
        <v>4+930</v>
      </c>
    </row>
    <row r="98" spans="1:14" x14ac:dyDescent="0.2">
      <c r="A98" t="s">
        <v>195</v>
      </c>
      <c r="B98" t="s">
        <v>196</v>
      </c>
      <c r="G98" t="str">
        <f t="shared" si="12"/>
        <v>104.6909</v>
      </c>
      <c r="H98" s="1" t="str">
        <f t="shared" si="13"/>
        <v xml:space="preserve"> 17.0454</v>
      </c>
      <c r="J98" t="str">
        <f t="shared" si="14"/>
        <v>RT95</v>
      </c>
      <c r="K98" t="str">
        <f t="shared" si="15"/>
        <v>SG</v>
      </c>
      <c r="L98" t="str">
        <f t="shared" si="19"/>
        <v>2031</v>
      </c>
      <c r="M98" t="str">
        <f t="shared" si="17"/>
        <v>0100</v>
      </c>
      <c r="N98" t="str">
        <f t="shared" si="18"/>
        <v>4+960</v>
      </c>
    </row>
    <row r="99" spans="1:14" x14ac:dyDescent="0.2">
      <c r="A99" t="s">
        <v>197</v>
      </c>
      <c r="B99" t="s">
        <v>198</v>
      </c>
      <c r="G99" t="str">
        <f t="shared" si="12"/>
        <v>104.6905</v>
      </c>
      <c r="H99" s="1" t="str">
        <f t="shared" si="13"/>
        <v xml:space="preserve"> 17.0457</v>
      </c>
      <c r="J99" t="str">
        <f t="shared" si="14"/>
        <v>RT96</v>
      </c>
      <c r="K99" t="str">
        <f t="shared" si="15"/>
        <v>SG</v>
      </c>
      <c r="L99" t="str">
        <f t="shared" si="19"/>
        <v>2031</v>
      </c>
      <c r="M99" t="str">
        <f t="shared" si="17"/>
        <v>0100</v>
      </c>
      <c r="N99" t="str">
        <f t="shared" si="18"/>
        <v>5+000</v>
      </c>
    </row>
    <row r="100" spans="1:14" x14ac:dyDescent="0.2">
      <c r="A100" t="s">
        <v>199</v>
      </c>
      <c r="B100" t="s">
        <v>200</v>
      </c>
      <c r="G100" t="str">
        <f t="shared" si="12"/>
        <v>104.6902</v>
      </c>
      <c r="H100" s="1" t="str">
        <f>MID(A100,18,7)</f>
        <v>17.0459</v>
      </c>
      <c r="J100" t="str">
        <f t="shared" si="14"/>
        <v>RT97</v>
      </c>
      <c r="K100" t="str">
        <f t="shared" si="15"/>
        <v>SG</v>
      </c>
      <c r="L100" t="str">
        <f t="shared" si="19"/>
        <v>2031</v>
      </c>
      <c r="M100" t="str">
        <f t="shared" si="17"/>
        <v>0100</v>
      </c>
      <c r="N100" t="str">
        <f t="shared" si="18"/>
        <v>5+040</v>
      </c>
    </row>
    <row r="101" spans="1:14" x14ac:dyDescent="0.2">
      <c r="A101" t="s">
        <v>201</v>
      </c>
      <c r="B101" t="s">
        <v>202</v>
      </c>
      <c r="G101" t="str">
        <f t="shared" si="12"/>
        <v>104.6898</v>
      </c>
      <c r="H101" s="1" t="str">
        <f t="shared" si="13"/>
        <v xml:space="preserve"> 17.0462</v>
      </c>
      <c r="J101" t="str">
        <f t="shared" si="14"/>
        <v>RT98</v>
      </c>
      <c r="K101" t="str">
        <f t="shared" si="15"/>
        <v>SG</v>
      </c>
      <c r="L101" t="str">
        <f t="shared" si="19"/>
        <v>2031</v>
      </c>
      <c r="M101" t="str">
        <f t="shared" si="17"/>
        <v>0100</v>
      </c>
      <c r="N101" t="str">
        <f t="shared" si="18"/>
        <v>5+080</v>
      </c>
    </row>
    <row r="102" spans="1:14" x14ac:dyDescent="0.2">
      <c r="A102" t="s">
        <v>203</v>
      </c>
      <c r="B102" t="s">
        <v>204</v>
      </c>
      <c r="G102" t="str">
        <f t="shared" si="12"/>
        <v>104.6895</v>
      </c>
      <c r="H102" s="1" t="str">
        <f t="shared" si="13"/>
        <v xml:space="preserve"> 17.0466</v>
      </c>
      <c r="J102" t="str">
        <f t="shared" si="14"/>
        <v>RT99</v>
      </c>
      <c r="K102" t="str">
        <f t="shared" si="15"/>
        <v>SG</v>
      </c>
      <c r="L102" t="str">
        <f t="shared" si="19"/>
        <v>2031</v>
      </c>
      <c r="M102" t="str">
        <f t="shared" si="17"/>
        <v>0100</v>
      </c>
      <c r="N102" t="str">
        <f t="shared" si="18"/>
        <v>5+120</v>
      </c>
    </row>
    <row r="103" spans="1:14" x14ac:dyDescent="0.2">
      <c r="A103" t="s">
        <v>205</v>
      </c>
      <c r="B103" t="s">
        <v>206</v>
      </c>
      <c r="G103" t="str">
        <f t="shared" si="12"/>
        <v>104.6891</v>
      </c>
      <c r="H103" s="1" t="str">
        <f t="shared" si="13"/>
        <v xml:space="preserve"> 17.0469</v>
      </c>
      <c r="J103" t="str">
        <f>MID(B103,1,5)</f>
        <v>RT100</v>
      </c>
      <c r="K103" t="str">
        <f>MID(B103,7,2)</f>
        <v>SG</v>
      </c>
      <c r="L103" t="str">
        <f>MID(B103,10,4)</f>
        <v>2031</v>
      </c>
      <c r="M103" t="str">
        <f>MID(B103,15,4)</f>
        <v>0100</v>
      </c>
      <c r="N103" t="str">
        <f>MID(B103,20,5)</f>
        <v>5+160</v>
      </c>
    </row>
    <row r="104" spans="1:14" x14ac:dyDescent="0.2">
      <c r="A104" t="s">
        <v>207</v>
      </c>
      <c r="B104" t="s">
        <v>208</v>
      </c>
      <c r="G104" t="str">
        <f t="shared" si="12"/>
        <v>104.6887</v>
      </c>
      <c r="H104" s="1" t="str">
        <f t="shared" si="13"/>
        <v xml:space="preserve"> 17.0472</v>
      </c>
      <c r="J104" t="str">
        <f t="shared" ref="J104:J163" si="20">MID(B104,1,5)</f>
        <v>RT101</v>
      </c>
      <c r="K104" t="str">
        <f t="shared" ref="K104:K163" si="21">MID(B104,7,2)</f>
        <v>SG</v>
      </c>
      <c r="L104" t="str">
        <f t="shared" ref="L104:L163" si="22">MID(B104,10,4)</f>
        <v>2031</v>
      </c>
      <c r="M104" t="str">
        <f t="shared" ref="M104:M163" si="23">MID(B104,15,4)</f>
        <v>0100</v>
      </c>
      <c r="N104" t="str">
        <f t="shared" ref="N104:N153" si="24">MID(B104,20,5)</f>
        <v>5+200</v>
      </c>
    </row>
    <row r="105" spans="1:14" x14ac:dyDescent="0.2">
      <c r="A105" t="s">
        <v>209</v>
      </c>
      <c r="B105" t="s">
        <v>210</v>
      </c>
      <c r="G105" t="str">
        <f t="shared" si="12"/>
        <v>104.6883</v>
      </c>
      <c r="H105" s="1" t="str">
        <f>MID(A105,18,7)</f>
        <v>17.0475</v>
      </c>
      <c r="J105" t="str">
        <f t="shared" si="20"/>
        <v>RT102</v>
      </c>
      <c r="K105" t="str">
        <f t="shared" si="21"/>
        <v>SG</v>
      </c>
      <c r="L105" t="str">
        <f t="shared" si="22"/>
        <v>2031</v>
      </c>
      <c r="M105" t="str">
        <f t="shared" si="23"/>
        <v>0100</v>
      </c>
      <c r="N105" t="str">
        <f t="shared" si="24"/>
        <v>5+240</v>
      </c>
    </row>
    <row r="106" spans="1:14" x14ac:dyDescent="0.2">
      <c r="A106" t="s">
        <v>211</v>
      </c>
      <c r="B106" t="s">
        <v>212</v>
      </c>
      <c r="G106" t="str">
        <f t="shared" si="12"/>
        <v>104.6880</v>
      </c>
      <c r="H106" s="1" t="str">
        <f>MID(A106,18,7)</f>
        <v>17.0478</v>
      </c>
      <c r="J106" t="str">
        <f t="shared" si="20"/>
        <v>RT103</v>
      </c>
      <c r="K106" t="str">
        <f t="shared" si="21"/>
        <v>SG</v>
      </c>
      <c r="L106" t="str">
        <f t="shared" si="22"/>
        <v>2031</v>
      </c>
      <c r="M106" t="str">
        <f t="shared" si="23"/>
        <v>0100</v>
      </c>
      <c r="N106" t="str">
        <f t="shared" si="24"/>
        <v>5+300</v>
      </c>
    </row>
    <row r="107" spans="1:14" x14ac:dyDescent="0.2">
      <c r="A107" t="s">
        <v>213</v>
      </c>
      <c r="B107" t="s">
        <v>214</v>
      </c>
      <c r="G107" t="str">
        <f t="shared" si="12"/>
        <v>104.6876</v>
      </c>
      <c r="H107" s="1" t="str">
        <f t="shared" si="13"/>
        <v xml:space="preserve"> 17.0481</v>
      </c>
      <c r="J107" t="str">
        <f t="shared" si="20"/>
        <v>RT104</v>
      </c>
      <c r="K107" t="str">
        <f t="shared" si="21"/>
        <v>SG</v>
      </c>
      <c r="L107" t="str">
        <f t="shared" si="22"/>
        <v>2031</v>
      </c>
      <c r="M107" t="str">
        <f t="shared" si="23"/>
        <v>0100</v>
      </c>
      <c r="N107" t="str">
        <f t="shared" si="24"/>
        <v>5+350</v>
      </c>
    </row>
    <row r="108" spans="1:14" x14ac:dyDescent="0.2">
      <c r="A108" t="s">
        <v>215</v>
      </c>
      <c r="B108" t="s">
        <v>216</v>
      </c>
      <c r="G108" t="str">
        <f t="shared" si="12"/>
        <v>104.6872</v>
      </c>
      <c r="H108" s="1" t="str">
        <f t="shared" si="13"/>
        <v xml:space="preserve"> 17.0484</v>
      </c>
      <c r="J108" t="str">
        <f t="shared" si="20"/>
        <v>RT105</v>
      </c>
      <c r="K108" t="str">
        <f t="shared" si="21"/>
        <v>SG</v>
      </c>
      <c r="L108" t="str">
        <f t="shared" si="22"/>
        <v>2031</v>
      </c>
      <c r="M108" t="str">
        <f t="shared" si="23"/>
        <v>0100</v>
      </c>
      <c r="N108" t="str">
        <f t="shared" si="24"/>
        <v>5+405</v>
      </c>
    </row>
    <row r="109" spans="1:14" x14ac:dyDescent="0.2">
      <c r="A109" t="s">
        <v>217</v>
      </c>
      <c r="B109" t="s">
        <v>218</v>
      </c>
      <c r="G109" t="str">
        <f t="shared" si="12"/>
        <v>104.6869</v>
      </c>
      <c r="H109" s="1" t="str">
        <f t="shared" si="13"/>
        <v xml:space="preserve"> 17.0487</v>
      </c>
      <c r="J109" t="str">
        <f t="shared" si="20"/>
        <v>RT106</v>
      </c>
      <c r="K109" t="str">
        <f t="shared" si="21"/>
        <v>SG</v>
      </c>
      <c r="L109" t="str">
        <f t="shared" si="22"/>
        <v>2031</v>
      </c>
      <c r="M109" t="str">
        <f t="shared" si="23"/>
        <v>0100</v>
      </c>
      <c r="N109" t="str">
        <f t="shared" si="24"/>
        <v>5+450</v>
      </c>
    </row>
    <row r="110" spans="1:14" x14ac:dyDescent="0.2">
      <c r="A110" t="s">
        <v>219</v>
      </c>
      <c r="B110" t="s">
        <v>220</v>
      </c>
      <c r="G110" t="str">
        <f t="shared" si="12"/>
        <v>104.6865</v>
      </c>
      <c r="H110" s="1" t="str">
        <f t="shared" si="13"/>
        <v xml:space="preserve"> 17.0490</v>
      </c>
      <c r="J110" t="str">
        <f t="shared" si="20"/>
        <v>RT106</v>
      </c>
      <c r="K110" t="str">
        <f t="shared" si="21"/>
        <v>SG</v>
      </c>
      <c r="L110" t="str">
        <f t="shared" si="22"/>
        <v>2031</v>
      </c>
      <c r="M110" t="str">
        <f t="shared" si="23"/>
        <v>0100</v>
      </c>
      <c r="N110" t="str">
        <f t="shared" si="24"/>
        <v>5+500</v>
      </c>
    </row>
    <row r="111" spans="1:14" x14ac:dyDescent="0.2">
      <c r="A111" t="s">
        <v>221</v>
      </c>
      <c r="B111" t="s">
        <v>222</v>
      </c>
      <c r="G111" t="str">
        <f t="shared" si="12"/>
        <v>104.6860</v>
      </c>
      <c r="H111" s="1" t="str">
        <f t="shared" si="13"/>
        <v xml:space="preserve"> 17.0493</v>
      </c>
      <c r="J111" t="str">
        <f t="shared" si="20"/>
        <v>RT107</v>
      </c>
      <c r="K111" t="str">
        <f t="shared" si="21"/>
        <v>SG</v>
      </c>
      <c r="L111" t="str">
        <f t="shared" si="22"/>
        <v>2031</v>
      </c>
      <c r="M111" t="str">
        <f t="shared" si="23"/>
        <v>0100</v>
      </c>
      <c r="N111" t="str">
        <f t="shared" si="24"/>
        <v>5+560</v>
      </c>
    </row>
    <row r="112" spans="1:14" x14ac:dyDescent="0.2">
      <c r="A112" t="s">
        <v>223</v>
      </c>
      <c r="B112" t="s">
        <v>224</v>
      </c>
      <c r="G112" t="str">
        <f t="shared" si="12"/>
        <v>104.6855</v>
      </c>
      <c r="H112" s="1" t="str">
        <f t="shared" si="13"/>
        <v xml:space="preserve"> 17.0494</v>
      </c>
      <c r="J112" t="str">
        <f t="shared" si="20"/>
        <v>RT108</v>
      </c>
      <c r="K112" t="str">
        <f t="shared" si="21"/>
        <v>SG</v>
      </c>
      <c r="L112" t="str">
        <f t="shared" si="22"/>
        <v>2031</v>
      </c>
      <c r="M112" t="str">
        <f t="shared" si="23"/>
        <v>0100</v>
      </c>
      <c r="N112" t="str">
        <f t="shared" si="24"/>
        <v>5+610</v>
      </c>
    </row>
    <row r="113" spans="1:14" x14ac:dyDescent="0.2">
      <c r="A113" t="s">
        <v>225</v>
      </c>
      <c r="B113" t="s">
        <v>226</v>
      </c>
      <c r="G113" t="str">
        <f t="shared" si="12"/>
        <v>104.6850</v>
      </c>
      <c r="H113" s="1" t="str">
        <f t="shared" si="13"/>
        <v xml:space="preserve"> 17.0495</v>
      </c>
      <c r="J113" t="str">
        <f t="shared" si="20"/>
        <v>RT109</v>
      </c>
      <c r="K113" t="str">
        <f t="shared" si="21"/>
        <v>SG</v>
      </c>
      <c r="L113" t="str">
        <f t="shared" si="22"/>
        <v>2031</v>
      </c>
      <c r="M113" t="str">
        <f t="shared" si="23"/>
        <v>0100</v>
      </c>
      <c r="N113" t="str">
        <f t="shared" si="24"/>
        <v>5+660</v>
      </c>
    </row>
    <row r="114" spans="1:14" x14ac:dyDescent="0.2">
      <c r="A114" t="s">
        <v>227</v>
      </c>
      <c r="B114" t="s">
        <v>228</v>
      </c>
      <c r="G114" t="str">
        <f t="shared" si="12"/>
        <v>104.6846</v>
      </c>
      <c r="H114" s="1" t="str">
        <f t="shared" si="13"/>
        <v xml:space="preserve"> 17.0496</v>
      </c>
      <c r="J114" t="str">
        <f t="shared" si="20"/>
        <v>RT110</v>
      </c>
      <c r="K114" t="str">
        <f t="shared" si="21"/>
        <v>SG</v>
      </c>
      <c r="L114" t="str">
        <f t="shared" si="22"/>
        <v>2031</v>
      </c>
      <c r="M114" t="str">
        <f t="shared" si="23"/>
        <v>0100</v>
      </c>
      <c r="N114" t="str">
        <f t="shared" si="24"/>
        <v>5+700</v>
      </c>
    </row>
    <row r="115" spans="1:14" x14ac:dyDescent="0.2">
      <c r="A115" t="s">
        <v>229</v>
      </c>
      <c r="B115" t="s">
        <v>230</v>
      </c>
      <c r="G115" t="str">
        <f t="shared" si="12"/>
        <v>104.6841</v>
      </c>
      <c r="H115" s="1" t="str">
        <f t="shared" si="13"/>
        <v xml:space="preserve"> 17.0497</v>
      </c>
      <c r="J115" t="str">
        <f t="shared" si="20"/>
        <v>RT111</v>
      </c>
      <c r="K115" t="str">
        <f t="shared" si="21"/>
        <v>SG</v>
      </c>
      <c r="L115" t="str">
        <f t="shared" si="22"/>
        <v>2031</v>
      </c>
      <c r="M115" t="str">
        <f t="shared" si="23"/>
        <v>0100</v>
      </c>
      <c r="N115" t="str">
        <f t="shared" si="24"/>
        <v>5+750</v>
      </c>
    </row>
    <row r="116" spans="1:14" x14ac:dyDescent="0.2">
      <c r="A116" t="s">
        <v>231</v>
      </c>
      <c r="B116" t="s">
        <v>232</v>
      </c>
      <c r="G116" t="str">
        <f t="shared" si="12"/>
        <v>104.6837</v>
      </c>
      <c r="H116" s="1" t="str">
        <f t="shared" si="13"/>
        <v xml:space="preserve"> 17.0498</v>
      </c>
      <c r="J116" t="str">
        <f t="shared" si="20"/>
        <v>RT112</v>
      </c>
      <c r="K116" t="str">
        <f t="shared" si="21"/>
        <v>SG</v>
      </c>
      <c r="L116" t="str">
        <f t="shared" si="22"/>
        <v>2031</v>
      </c>
      <c r="M116" t="str">
        <f t="shared" si="23"/>
        <v>0100</v>
      </c>
      <c r="N116" t="str">
        <f t="shared" si="24"/>
        <v>5+800</v>
      </c>
    </row>
    <row r="117" spans="1:14" x14ac:dyDescent="0.2">
      <c r="A117" t="s">
        <v>233</v>
      </c>
      <c r="B117" t="s">
        <v>234</v>
      </c>
      <c r="G117" t="str">
        <f t="shared" si="12"/>
        <v>104.6831</v>
      </c>
      <c r="H117" s="1" t="str">
        <f t="shared" si="13"/>
        <v xml:space="preserve"> 17.0499</v>
      </c>
      <c r="J117" t="str">
        <f t="shared" si="20"/>
        <v>RT113</v>
      </c>
      <c r="K117" t="str">
        <f t="shared" si="21"/>
        <v>SG</v>
      </c>
      <c r="L117" t="str">
        <f t="shared" si="22"/>
        <v>2031</v>
      </c>
      <c r="M117" t="str">
        <f t="shared" si="23"/>
        <v>0100</v>
      </c>
      <c r="N117" t="str">
        <f t="shared" si="24"/>
        <v>5+850</v>
      </c>
    </row>
    <row r="118" spans="1:14" x14ac:dyDescent="0.2">
      <c r="A118" t="s">
        <v>235</v>
      </c>
      <c r="B118" t="s">
        <v>236</v>
      </c>
      <c r="G118" t="str">
        <f t="shared" si="12"/>
        <v>104.6827</v>
      </c>
      <c r="H118" s="1" t="str">
        <f t="shared" si="13"/>
        <v xml:space="preserve"> 17.0500</v>
      </c>
      <c r="J118" t="str">
        <f t="shared" si="20"/>
        <v>RT114</v>
      </c>
      <c r="K118" t="str">
        <f t="shared" si="21"/>
        <v>SG</v>
      </c>
      <c r="L118" t="str">
        <f t="shared" si="22"/>
        <v>2031</v>
      </c>
      <c r="M118" t="str">
        <f t="shared" si="23"/>
        <v>0100</v>
      </c>
      <c r="N118" t="str">
        <f t="shared" si="24"/>
        <v>5+900</v>
      </c>
    </row>
    <row r="119" spans="1:14" x14ac:dyDescent="0.2">
      <c r="A119" t="s">
        <v>237</v>
      </c>
      <c r="B119" t="s">
        <v>238</v>
      </c>
      <c r="G119" t="str">
        <f t="shared" si="12"/>
        <v>104.6822</v>
      </c>
      <c r="H119" s="1" t="str">
        <f t="shared" si="13"/>
        <v xml:space="preserve"> 17.0501</v>
      </c>
      <c r="J119" t="str">
        <f t="shared" si="20"/>
        <v>RT115</v>
      </c>
      <c r="K119" t="str">
        <f t="shared" si="21"/>
        <v>SG</v>
      </c>
      <c r="L119" t="str">
        <f t="shared" si="22"/>
        <v>2031</v>
      </c>
      <c r="M119" t="str">
        <f t="shared" si="23"/>
        <v>0100</v>
      </c>
      <c r="N119" t="str">
        <f t="shared" si="24"/>
        <v>5+950</v>
      </c>
    </row>
    <row r="120" spans="1:14" x14ac:dyDescent="0.2">
      <c r="A120" t="s">
        <v>239</v>
      </c>
      <c r="B120" t="s">
        <v>240</v>
      </c>
      <c r="G120" t="str">
        <f t="shared" si="12"/>
        <v>104.6817</v>
      </c>
      <c r="H120" s="1" t="str">
        <f t="shared" si="13"/>
        <v xml:space="preserve"> 17.0502</v>
      </c>
      <c r="J120" t="str">
        <f t="shared" si="20"/>
        <v>RT116</v>
      </c>
      <c r="K120" t="str">
        <f t="shared" si="21"/>
        <v>SG</v>
      </c>
      <c r="L120" t="str">
        <f t="shared" si="22"/>
        <v>2031</v>
      </c>
      <c r="M120" t="str">
        <f t="shared" si="23"/>
        <v>0100</v>
      </c>
      <c r="N120" t="str">
        <f t="shared" si="24"/>
        <v>6+000</v>
      </c>
    </row>
    <row r="121" spans="1:14" x14ac:dyDescent="0.2">
      <c r="A121" t="s">
        <v>241</v>
      </c>
      <c r="B121" t="s">
        <v>242</v>
      </c>
      <c r="G121" t="str">
        <f t="shared" si="12"/>
        <v>104.6812</v>
      </c>
      <c r="H121" s="1" t="str">
        <f t="shared" si="13"/>
        <v xml:space="preserve"> 17.0503</v>
      </c>
      <c r="J121" t="str">
        <f t="shared" si="20"/>
        <v>RT117</v>
      </c>
      <c r="K121" t="str">
        <f t="shared" si="21"/>
        <v>SG</v>
      </c>
      <c r="L121" t="str">
        <f t="shared" si="22"/>
        <v>2031</v>
      </c>
      <c r="M121" t="str">
        <f t="shared" si="23"/>
        <v>0100</v>
      </c>
      <c r="N121" t="str">
        <f t="shared" si="24"/>
        <v>6+050</v>
      </c>
    </row>
    <row r="122" spans="1:14" x14ac:dyDescent="0.2">
      <c r="A122" t="s">
        <v>243</v>
      </c>
      <c r="B122" t="s">
        <v>244</v>
      </c>
      <c r="G122" t="str">
        <f t="shared" si="12"/>
        <v>104.6807</v>
      </c>
      <c r="H122" s="1" t="str">
        <f t="shared" si="13"/>
        <v xml:space="preserve"> 17.0504</v>
      </c>
      <c r="J122" t="str">
        <f t="shared" si="20"/>
        <v>RT118</v>
      </c>
      <c r="K122" t="str">
        <f t="shared" si="21"/>
        <v>SG</v>
      </c>
      <c r="L122" t="str">
        <f t="shared" si="22"/>
        <v>2031</v>
      </c>
      <c r="M122" t="str">
        <f t="shared" si="23"/>
        <v>0100</v>
      </c>
      <c r="N122" t="str">
        <f t="shared" si="24"/>
        <v>6+100</v>
      </c>
    </row>
    <row r="123" spans="1:14" x14ac:dyDescent="0.2">
      <c r="A123" t="s">
        <v>245</v>
      </c>
      <c r="B123" t="s">
        <v>246</v>
      </c>
      <c r="G123" t="str">
        <f t="shared" si="12"/>
        <v>104.6804</v>
      </c>
      <c r="H123" s="1" t="str">
        <f>MID(A123,18,7)</f>
        <v>17.0502</v>
      </c>
      <c r="J123" t="str">
        <f t="shared" si="20"/>
        <v>RT119</v>
      </c>
      <c r="K123" t="str">
        <f t="shared" si="21"/>
        <v>SG</v>
      </c>
      <c r="L123" t="str">
        <f t="shared" si="22"/>
        <v>2031</v>
      </c>
      <c r="M123" t="str">
        <f t="shared" si="23"/>
        <v>0100</v>
      </c>
      <c r="N123" t="str">
        <f t="shared" si="24"/>
        <v>6+150</v>
      </c>
    </row>
    <row r="124" spans="1:14" x14ac:dyDescent="0.2">
      <c r="A124" t="s">
        <v>247</v>
      </c>
      <c r="B124" t="s">
        <v>248</v>
      </c>
      <c r="G124" t="str">
        <f t="shared" si="12"/>
        <v>104.6799</v>
      </c>
      <c r="H124" s="1" t="str">
        <f t="shared" si="13"/>
        <v xml:space="preserve"> 17.0499</v>
      </c>
      <c r="J124" t="str">
        <f t="shared" si="20"/>
        <v>RT120</v>
      </c>
      <c r="K124" t="str">
        <f t="shared" si="21"/>
        <v>SG</v>
      </c>
      <c r="L124" t="str">
        <f t="shared" si="22"/>
        <v>2031</v>
      </c>
      <c r="M124" t="str">
        <f t="shared" si="23"/>
        <v>0100</v>
      </c>
      <c r="N124" t="str">
        <f t="shared" si="24"/>
        <v>6+210</v>
      </c>
    </row>
    <row r="125" spans="1:14" x14ac:dyDescent="0.2">
      <c r="A125" t="s">
        <v>249</v>
      </c>
      <c r="B125" t="s">
        <v>250</v>
      </c>
      <c r="G125" t="str">
        <f t="shared" si="12"/>
        <v>104.6721</v>
      </c>
      <c r="H125" s="1" t="str">
        <f t="shared" si="13"/>
        <v xml:space="preserve"> 17.0455</v>
      </c>
      <c r="J125" t="str">
        <f t="shared" si="20"/>
        <v>RT121</v>
      </c>
      <c r="K125" t="str">
        <f t="shared" si="21"/>
        <v>SG</v>
      </c>
      <c r="L125" t="str">
        <f t="shared" si="22"/>
        <v>2031</v>
      </c>
      <c r="M125" t="str">
        <f t="shared" si="23"/>
        <v>0100</v>
      </c>
      <c r="N125" t="str">
        <f t="shared" si="24"/>
        <v>7+270</v>
      </c>
    </row>
    <row r="126" spans="1:14" x14ac:dyDescent="0.2">
      <c r="A126" t="s">
        <v>251</v>
      </c>
      <c r="B126" t="s">
        <v>252</v>
      </c>
      <c r="G126" t="str">
        <f t="shared" si="12"/>
        <v>104.6716</v>
      </c>
      <c r="H126" s="1" t="str">
        <f t="shared" si="13"/>
        <v xml:space="preserve"> 17.0455</v>
      </c>
      <c r="J126" t="str">
        <f t="shared" si="20"/>
        <v>RT122</v>
      </c>
      <c r="K126" t="str">
        <f t="shared" si="21"/>
        <v>SG</v>
      </c>
      <c r="L126" t="str">
        <f t="shared" si="22"/>
        <v>2031</v>
      </c>
      <c r="M126" t="str">
        <f t="shared" si="23"/>
        <v>0100</v>
      </c>
      <c r="N126" t="str">
        <f t="shared" si="24"/>
        <v>7+320</v>
      </c>
    </row>
    <row r="127" spans="1:14" x14ac:dyDescent="0.2">
      <c r="A127" t="s">
        <v>253</v>
      </c>
      <c r="B127" t="s">
        <v>254</v>
      </c>
      <c r="G127" t="str">
        <f t="shared" si="12"/>
        <v>104.6711</v>
      </c>
      <c r="H127" s="1" t="str">
        <f t="shared" si="13"/>
        <v xml:space="preserve"> 17.0455</v>
      </c>
      <c r="J127" t="str">
        <f t="shared" si="20"/>
        <v>RT123</v>
      </c>
      <c r="K127" t="str">
        <f t="shared" si="21"/>
        <v>SG</v>
      </c>
      <c r="L127" t="str">
        <f t="shared" si="22"/>
        <v>2031</v>
      </c>
      <c r="M127" t="str">
        <f t="shared" si="23"/>
        <v>0100</v>
      </c>
      <c r="N127" t="str">
        <f t="shared" si="24"/>
        <v>7+375</v>
      </c>
    </row>
    <row r="128" spans="1:14" x14ac:dyDescent="0.2">
      <c r="A128" t="s">
        <v>255</v>
      </c>
      <c r="B128" t="s">
        <v>256</v>
      </c>
      <c r="G128" t="str">
        <f t="shared" si="12"/>
        <v>104.6706</v>
      </c>
      <c r="H128" s="1" t="str">
        <f t="shared" si="13"/>
        <v xml:space="preserve"> 17.0455</v>
      </c>
      <c r="J128" t="str">
        <f t="shared" si="20"/>
        <v>RT124</v>
      </c>
      <c r="K128" t="str">
        <f t="shared" si="21"/>
        <v>SG</v>
      </c>
      <c r="L128" t="str">
        <f t="shared" si="22"/>
        <v>2031</v>
      </c>
      <c r="M128" t="str">
        <f t="shared" si="23"/>
        <v>0100</v>
      </c>
      <c r="N128" t="str">
        <f t="shared" si="24"/>
        <v>7+420</v>
      </c>
    </row>
    <row r="129" spans="1:14" x14ac:dyDescent="0.2">
      <c r="A129" t="s">
        <v>257</v>
      </c>
      <c r="B129" t="s">
        <v>258</v>
      </c>
      <c r="G129" t="str">
        <f t="shared" si="12"/>
        <v>104.6701</v>
      </c>
      <c r="H129" s="1" t="str">
        <f t="shared" si="13"/>
        <v xml:space="preserve"> 17.0455</v>
      </c>
      <c r="J129" t="str">
        <f t="shared" si="20"/>
        <v>RT125</v>
      </c>
      <c r="K129" t="str">
        <f t="shared" si="21"/>
        <v>SG</v>
      </c>
      <c r="L129" t="str">
        <f t="shared" si="22"/>
        <v>2031</v>
      </c>
      <c r="M129" t="str">
        <f t="shared" si="23"/>
        <v>0100</v>
      </c>
      <c r="N129" t="str">
        <f t="shared" si="24"/>
        <v>7+470</v>
      </c>
    </row>
    <row r="130" spans="1:14" x14ac:dyDescent="0.2">
      <c r="A130" t="s">
        <v>259</v>
      </c>
      <c r="B130" t="s">
        <v>260</v>
      </c>
      <c r="G130" t="str">
        <f t="shared" si="12"/>
        <v>104.6697</v>
      </c>
      <c r="H130" s="1" t="str">
        <f t="shared" si="13"/>
        <v xml:space="preserve"> 17.0455</v>
      </c>
      <c r="J130" t="str">
        <f t="shared" si="20"/>
        <v>RT126</v>
      </c>
      <c r="K130" t="str">
        <f t="shared" si="21"/>
        <v>SG</v>
      </c>
      <c r="L130" t="str">
        <f t="shared" si="22"/>
        <v>2031</v>
      </c>
      <c r="M130" t="str">
        <f t="shared" si="23"/>
        <v>0100</v>
      </c>
      <c r="N130" t="str">
        <f t="shared" si="24"/>
        <v>7+520</v>
      </c>
    </row>
    <row r="131" spans="1:14" x14ac:dyDescent="0.2">
      <c r="A131" t="s">
        <v>261</v>
      </c>
      <c r="B131" t="s">
        <v>262</v>
      </c>
      <c r="G131" t="str">
        <f t="shared" ref="G131:G189" si="25">MID(A131,8,8)</f>
        <v>104.6693</v>
      </c>
      <c r="H131" s="1" t="str">
        <f t="shared" ref="H131:H189" si="26">MID(A131,18,8)</f>
        <v xml:space="preserve"> 17.0455</v>
      </c>
      <c r="J131" t="str">
        <f t="shared" si="20"/>
        <v>RT127</v>
      </c>
      <c r="K131" t="str">
        <f t="shared" si="21"/>
        <v>SG</v>
      </c>
      <c r="L131" t="str">
        <f t="shared" si="22"/>
        <v>2031</v>
      </c>
      <c r="M131" t="str">
        <f t="shared" si="23"/>
        <v>0100</v>
      </c>
      <c r="N131" t="str">
        <f t="shared" si="24"/>
        <v>7+570</v>
      </c>
    </row>
    <row r="132" spans="1:14" x14ac:dyDescent="0.2">
      <c r="A132" t="s">
        <v>263</v>
      </c>
      <c r="B132" t="s">
        <v>264</v>
      </c>
      <c r="G132" t="str">
        <f t="shared" si="25"/>
        <v>104.6688</v>
      </c>
      <c r="H132" s="1" t="str">
        <f t="shared" si="26"/>
        <v xml:space="preserve"> 17.0455</v>
      </c>
      <c r="J132" t="str">
        <f t="shared" si="20"/>
        <v>RT128</v>
      </c>
      <c r="K132" t="str">
        <f t="shared" si="21"/>
        <v>SG</v>
      </c>
      <c r="L132" t="str">
        <f t="shared" si="22"/>
        <v>2031</v>
      </c>
      <c r="M132" t="str">
        <f t="shared" si="23"/>
        <v>0100</v>
      </c>
      <c r="N132" t="str">
        <f t="shared" si="24"/>
        <v>7+620</v>
      </c>
    </row>
    <row r="133" spans="1:14" x14ac:dyDescent="0.2">
      <c r="A133" t="s">
        <v>265</v>
      </c>
      <c r="B133" t="s">
        <v>266</v>
      </c>
      <c r="G133" t="str">
        <f t="shared" si="25"/>
        <v>104.6682</v>
      </c>
      <c r="H133" s="1" t="str">
        <f t="shared" si="26"/>
        <v xml:space="preserve"> 17.0455</v>
      </c>
      <c r="J133" t="str">
        <f t="shared" si="20"/>
        <v>RT129</v>
      </c>
      <c r="K133" t="str">
        <f t="shared" si="21"/>
        <v>SG</v>
      </c>
      <c r="L133" t="str">
        <f t="shared" si="22"/>
        <v>2031</v>
      </c>
      <c r="M133" t="str">
        <f t="shared" si="23"/>
        <v>0100</v>
      </c>
      <c r="N133" t="str">
        <f t="shared" si="24"/>
        <v>7+790</v>
      </c>
    </row>
    <row r="134" spans="1:14" x14ac:dyDescent="0.2">
      <c r="A134" t="s">
        <v>267</v>
      </c>
      <c r="B134" t="s">
        <v>268</v>
      </c>
      <c r="G134" t="str">
        <f t="shared" si="25"/>
        <v>104.6678</v>
      </c>
      <c r="H134" s="1" t="str">
        <f t="shared" si="26"/>
        <v xml:space="preserve"> 17.0455</v>
      </c>
      <c r="J134" t="str">
        <f t="shared" si="20"/>
        <v>RT130</v>
      </c>
      <c r="K134" t="str">
        <f t="shared" si="21"/>
        <v>SG</v>
      </c>
      <c r="L134" t="str">
        <f t="shared" si="22"/>
        <v>2031</v>
      </c>
      <c r="M134" t="str">
        <f t="shared" si="23"/>
        <v>0100</v>
      </c>
      <c r="N134" t="str">
        <f t="shared" si="24"/>
        <v>7+820</v>
      </c>
    </row>
    <row r="135" spans="1:14" x14ac:dyDescent="0.2">
      <c r="A135" t="s">
        <v>269</v>
      </c>
      <c r="B135" t="s">
        <v>270</v>
      </c>
      <c r="G135" t="str">
        <f t="shared" si="25"/>
        <v>104.6672</v>
      </c>
      <c r="H135" s="1" t="str">
        <f t="shared" si="26"/>
        <v xml:space="preserve"> 17.0455</v>
      </c>
      <c r="J135" t="str">
        <f t="shared" si="20"/>
        <v>RT131</v>
      </c>
      <c r="K135" t="str">
        <f t="shared" si="21"/>
        <v>SG</v>
      </c>
      <c r="L135" t="str">
        <f t="shared" si="22"/>
        <v>2031</v>
      </c>
      <c r="M135" t="str">
        <f t="shared" si="23"/>
        <v>0100</v>
      </c>
      <c r="N135" t="str">
        <f t="shared" si="24"/>
        <v>7+860</v>
      </c>
    </row>
    <row r="136" spans="1:14" x14ac:dyDescent="0.2">
      <c r="A136" t="s">
        <v>271</v>
      </c>
      <c r="B136" t="s">
        <v>272</v>
      </c>
      <c r="G136" t="str">
        <f t="shared" si="25"/>
        <v>104.6667</v>
      </c>
      <c r="H136" s="1" t="str">
        <f t="shared" si="26"/>
        <v xml:space="preserve"> 17.0455</v>
      </c>
      <c r="J136" t="str">
        <f t="shared" si="20"/>
        <v>RT132</v>
      </c>
      <c r="K136" t="str">
        <f t="shared" si="21"/>
        <v>SG</v>
      </c>
      <c r="L136" t="str">
        <f t="shared" si="22"/>
        <v>2031</v>
      </c>
      <c r="M136" t="str">
        <f t="shared" si="23"/>
        <v>0100</v>
      </c>
      <c r="N136" t="str">
        <f t="shared" si="24"/>
        <v>7+890</v>
      </c>
    </row>
    <row r="137" spans="1:14" x14ac:dyDescent="0.2">
      <c r="A137" t="s">
        <v>273</v>
      </c>
      <c r="B137" t="s">
        <v>274</v>
      </c>
      <c r="G137" t="str">
        <f t="shared" si="25"/>
        <v>104.6663</v>
      </c>
      <c r="H137" s="1" t="str">
        <f t="shared" si="26"/>
        <v xml:space="preserve"> 17.0455</v>
      </c>
      <c r="J137" t="str">
        <f t="shared" si="20"/>
        <v>RT133</v>
      </c>
      <c r="K137" t="str">
        <f t="shared" si="21"/>
        <v>SG</v>
      </c>
      <c r="L137" t="str">
        <f t="shared" si="22"/>
        <v>2031</v>
      </c>
      <c r="M137" t="str">
        <f t="shared" si="23"/>
        <v>0100</v>
      </c>
      <c r="N137" t="str">
        <f t="shared" si="24"/>
        <v>7+920</v>
      </c>
    </row>
    <row r="138" spans="1:14" x14ac:dyDescent="0.2">
      <c r="A138" t="s">
        <v>275</v>
      </c>
      <c r="B138" t="s">
        <v>276</v>
      </c>
      <c r="G138" t="str">
        <f t="shared" si="25"/>
        <v>104.6658</v>
      </c>
      <c r="H138" s="1" t="str">
        <f t="shared" si="26"/>
        <v xml:space="preserve"> 17.0454</v>
      </c>
      <c r="J138" t="str">
        <f t="shared" si="20"/>
        <v>RT134</v>
      </c>
      <c r="K138" t="str">
        <f t="shared" si="21"/>
        <v>SG</v>
      </c>
      <c r="L138" t="str">
        <f t="shared" si="22"/>
        <v>2031</v>
      </c>
      <c r="M138" t="str">
        <f t="shared" si="23"/>
        <v>0100</v>
      </c>
      <c r="N138" t="str">
        <f t="shared" si="24"/>
        <v>7+960</v>
      </c>
    </row>
    <row r="139" spans="1:14" x14ac:dyDescent="0.2">
      <c r="A139" t="s">
        <v>277</v>
      </c>
      <c r="B139" t="s">
        <v>278</v>
      </c>
      <c r="G139" t="str">
        <f t="shared" si="25"/>
        <v>104.6653</v>
      </c>
      <c r="H139" s="1" t="str">
        <f t="shared" si="26"/>
        <v xml:space="preserve"> 17.0454</v>
      </c>
      <c r="J139" t="str">
        <f t="shared" si="20"/>
        <v>RT135</v>
      </c>
      <c r="K139" t="str">
        <f t="shared" si="21"/>
        <v>SG</v>
      </c>
      <c r="L139" t="str">
        <f t="shared" si="22"/>
        <v>2031</v>
      </c>
      <c r="M139" t="str">
        <f t="shared" si="23"/>
        <v>0100</v>
      </c>
      <c r="N139" t="str">
        <f t="shared" si="24"/>
        <v>8+000</v>
      </c>
    </row>
    <row r="140" spans="1:14" x14ac:dyDescent="0.2">
      <c r="A140" t="s">
        <v>279</v>
      </c>
      <c r="B140" t="s">
        <v>280</v>
      </c>
      <c r="G140" t="str">
        <f t="shared" si="25"/>
        <v>104.6647</v>
      </c>
      <c r="H140" s="1" t="str">
        <f t="shared" si="26"/>
        <v xml:space="preserve"> 17.0455</v>
      </c>
      <c r="J140" t="str">
        <f t="shared" si="20"/>
        <v>RT136</v>
      </c>
      <c r="K140" t="str">
        <f t="shared" si="21"/>
        <v>SG</v>
      </c>
      <c r="L140" t="str">
        <f t="shared" si="22"/>
        <v>2031</v>
      </c>
      <c r="M140" t="str">
        <f t="shared" si="23"/>
        <v>0100</v>
      </c>
      <c r="N140" t="str">
        <f t="shared" si="24"/>
        <v>8+060</v>
      </c>
    </row>
    <row r="141" spans="1:14" x14ac:dyDescent="0.2">
      <c r="A141" t="s">
        <v>281</v>
      </c>
      <c r="B141" t="s">
        <v>282</v>
      </c>
      <c r="G141" t="str">
        <f t="shared" si="25"/>
        <v>104.6643</v>
      </c>
      <c r="H141" s="1" t="str">
        <f t="shared" si="26"/>
        <v xml:space="preserve"> 17.0455</v>
      </c>
      <c r="J141" t="str">
        <f t="shared" si="20"/>
        <v>RT137</v>
      </c>
      <c r="K141" t="str">
        <f t="shared" si="21"/>
        <v>SG</v>
      </c>
      <c r="L141" t="str">
        <f t="shared" si="22"/>
        <v>2031</v>
      </c>
      <c r="M141" t="str">
        <f t="shared" si="23"/>
        <v>0100</v>
      </c>
      <c r="N141" t="str">
        <f t="shared" si="24"/>
        <v>8+105</v>
      </c>
    </row>
    <row r="142" spans="1:14" x14ac:dyDescent="0.2">
      <c r="A142" t="s">
        <v>283</v>
      </c>
      <c r="B142" t="s">
        <v>284</v>
      </c>
      <c r="G142" t="str">
        <f t="shared" si="25"/>
        <v>104.6638</v>
      </c>
      <c r="H142" s="1" t="str">
        <f t="shared" si="26"/>
        <v xml:space="preserve"> 17.0455</v>
      </c>
      <c r="J142" t="str">
        <f t="shared" si="20"/>
        <v>RT138</v>
      </c>
      <c r="K142" t="str">
        <f t="shared" si="21"/>
        <v>SG</v>
      </c>
      <c r="L142" t="str">
        <f t="shared" si="22"/>
        <v>2031</v>
      </c>
      <c r="M142" t="str">
        <f t="shared" si="23"/>
        <v>0100</v>
      </c>
      <c r="N142" t="str">
        <f t="shared" si="24"/>
        <v>8+155</v>
      </c>
    </row>
    <row r="143" spans="1:14" x14ac:dyDescent="0.2">
      <c r="A143" t="s">
        <v>285</v>
      </c>
      <c r="B143" t="s">
        <v>286</v>
      </c>
      <c r="G143" t="str">
        <f t="shared" si="25"/>
        <v>104.6634</v>
      </c>
      <c r="H143" s="1" t="str">
        <f t="shared" si="26"/>
        <v xml:space="preserve"> 17.0455</v>
      </c>
      <c r="J143" t="str">
        <f t="shared" si="20"/>
        <v>RT139</v>
      </c>
      <c r="K143" t="str">
        <f t="shared" si="21"/>
        <v>SG</v>
      </c>
      <c r="L143" t="str">
        <f t="shared" si="22"/>
        <v>2031</v>
      </c>
      <c r="M143" t="str">
        <f t="shared" si="23"/>
        <v>0100</v>
      </c>
      <c r="N143" t="str">
        <f t="shared" si="24"/>
        <v>8+205</v>
      </c>
    </row>
    <row r="144" spans="1:14" x14ac:dyDescent="0.2">
      <c r="A144" t="s">
        <v>287</v>
      </c>
      <c r="B144" t="s">
        <v>288</v>
      </c>
      <c r="G144" t="str">
        <f t="shared" si="25"/>
        <v>104.6628</v>
      </c>
      <c r="H144" s="1" t="str">
        <f t="shared" si="26"/>
        <v xml:space="preserve"> 17.0455</v>
      </c>
      <c r="J144" t="str">
        <f t="shared" si="20"/>
        <v>RT140</v>
      </c>
      <c r="K144" t="str">
        <f t="shared" si="21"/>
        <v>SG</v>
      </c>
      <c r="L144" t="str">
        <f t="shared" si="22"/>
        <v>2031</v>
      </c>
      <c r="M144" t="str">
        <f t="shared" si="23"/>
        <v>0100</v>
      </c>
      <c r="N144" t="str">
        <f t="shared" si="24"/>
        <v>8+260</v>
      </c>
    </row>
    <row r="145" spans="1:14" x14ac:dyDescent="0.2">
      <c r="A145" t="s">
        <v>289</v>
      </c>
      <c r="B145" t="s">
        <v>290</v>
      </c>
      <c r="G145" t="str">
        <f t="shared" si="25"/>
        <v>104.6619</v>
      </c>
      <c r="H145" s="1" t="str">
        <f t="shared" si="26"/>
        <v xml:space="preserve"> 17.0455</v>
      </c>
      <c r="J145" t="str">
        <f t="shared" si="20"/>
        <v>RT141</v>
      </c>
      <c r="K145" t="str">
        <f t="shared" si="21"/>
        <v>SG</v>
      </c>
      <c r="L145" t="str">
        <f t="shared" si="22"/>
        <v>2031</v>
      </c>
      <c r="M145" t="str">
        <f t="shared" si="23"/>
        <v>0100</v>
      </c>
      <c r="N145" t="str">
        <f t="shared" si="24"/>
        <v>8+360</v>
      </c>
    </row>
    <row r="146" spans="1:14" x14ac:dyDescent="0.2">
      <c r="A146" t="s">
        <v>291</v>
      </c>
      <c r="B146" t="s">
        <v>292</v>
      </c>
      <c r="G146" t="str">
        <f t="shared" si="25"/>
        <v>104.6614</v>
      </c>
      <c r="H146" s="1" t="str">
        <f t="shared" si="26"/>
        <v xml:space="preserve"> 17.0455</v>
      </c>
      <c r="J146" t="str">
        <f t="shared" si="20"/>
        <v>RT142</v>
      </c>
      <c r="K146" t="str">
        <f t="shared" si="21"/>
        <v>SG</v>
      </c>
      <c r="L146" t="str">
        <f t="shared" si="22"/>
        <v>2031</v>
      </c>
      <c r="M146" t="str">
        <f t="shared" si="23"/>
        <v>0100</v>
      </c>
      <c r="N146" t="str">
        <f t="shared" si="24"/>
        <v>8+410</v>
      </c>
    </row>
    <row r="147" spans="1:14" x14ac:dyDescent="0.2">
      <c r="A147" t="s">
        <v>293</v>
      </c>
      <c r="B147" t="s">
        <v>294</v>
      </c>
      <c r="G147" t="str">
        <f t="shared" si="25"/>
        <v>104.6609</v>
      </c>
      <c r="H147" s="1" t="str">
        <f t="shared" si="26"/>
        <v xml:space="preserve"> 17.0455</v>
      </c>
      <c r="J147" t="str">
        <f t="shared" si="20"/>
        <v>RT143</v>
      </c>
      <c r="K147" t="str">
        <f t="shared" si="21"/>
        <v>SG</v>
      </c>
      <c r="L147" t="str">
        <f t="shared" si="22"/>
        <v>2031</v>
      </c>
      <c r="M147" t="str">
        <f t="shared" si="23"/>
        <v>0100</v>
      </c>
      <c r="N147" t="str">
        <f t="shared" si="24"/>
        <v>8+465</v>
      </c>
    </row>
    <row r="148" spans="1:14" x14ac:dyDescent="0.2">
      <c r="A148" t="s">
        <v>295</v>
      </c>
      <c r="B148" t="s">
        <v>296</v>
      </c>
      <c r="G148" t="str">
        <f t="shared" si="25"/>
        <v>104.6604</v>
      </c>
      <c r="H148" s="1" t="str">
        <f t="shared" si="26"/>
        <v xml:space="preserve"> 17.0455</v>
      </c>
      <c r="J148" t="str">
        <f t="shared" si="20"/>
        <v>RT144</v>
      </c>
      <c r="K148" t="str">
        <f t="shared" si="21"/>
        <v>SG</v>
      </c>
      <c r="L148" t="str">
        <f t="shared" si="22"/>
        <v>2031</v>
      </c>
      <c r="M148" t="str">
        <f t="shared" si="23"/>
        <v>0100</v>
      </c>
      <c r="N148" t="str">
        <f t="shared" si="24"/>
        <v>8+515</v>
      </c>
    </row>
    <row r="149" spans="1:14" x14ac:dyDescent="0.2">
      <c r="A149" t="s">
        <v>297</v>
      </c>
      <c r="B149" t="s">
        <v>298</v>
      </c>
      <c r="G149" t="str">
        <f t="shared" si="25"/>
        <v>104.6599</v>
      </c>
      <c r="H149" s="1" t="str">
        <f t="shared" si="26"/>
        <v xml:space="preserve"> 17.0455</v>
      </c>
      <c r="J149" t="str">
        <f t="shared" si="20"/>
        <v>RT145</v>
      </c>
      <c r="K149" t="str">
        <f t="shared" si="21"/>
        <v>SG</v>
      </c>
      <c r="L149" t="str">
        <f t="shared" si="22"/>
        <v>2031</v>
      </c>
      <c r="M149" t="str">
        <f t="shared" si="23"/>
        <v>0100</v>
      </c>
      <c r="N149" t="str">
        <f t="shared" si="24"/>
        <v>8+555</v>
      </c>
    </row>
    <row r="150" spans="1:14" x14ac:dyDescent="0.2">
      <c r="A150" t="s">
        <v>299</v>
      </c>
      <c r="B150" t="s">
        <v>300</v>
      </c>
      <c r="G150" t="str">
        <f t="shared" si="25"/>
        <v>104.6594</v>
      </c>
      <c r="H150" s="1" t="str">
        <f t="shared" si="26"/>
        <v xml:space="preserve"> 17.0455</v>
      </c>
      <c r="J150" t="str">
        <f t="shared" si="20"/>
        <v>RT146</v>
      </c>
      <c r="K150" t="str">
        <f t="shared" si="21"/>
        <v>SG</v>
      </c>
      <c r="L150" t="str">
        <f t="shared" si="22"/>
        <v>2031</v>
      </c>
      <c r="M150" t="str">
        <f t="shared" si="23"/>
        <v>0100</v>
      </c>
      <c r="N150" t="str">
        <f t="shared" si="24"/>
        <v>8+605</v>
      </c>
    </row>
    <row r="151" spans="1:14" x14ac:dyDescent="0.2">
      <c r="A151" t="s">
        <v>301</v>
      </c>
      <c r="B151" t="s">
        <v>302</v>
      </c>
      <c r="G151" t="str">
        <f t="shared" si="25"/>
        <v>104.6589</v>
      </c>
      <c r="H151" s="1" t="str">
        <f t="shared" si="26"/>
        <v xml:space="preserve"> 17.0455</v>
      </c>
      <c r="J151" t="str">
        <f t="shared" si="20"/>
        <v>RT146</v>
      </c>
      <c r="K151" t="str">
        <f t="shared" si="21"/>
        <v>SG</v>
      </c>
      <c r="L151" t="str">
        <f t="shared" si="22"/>
        <v>2031</v>
      </c>
      <c r="M151" t="str">
        <f t="shared" si="23"/>
        <v>0100</v>
      </c>
      <c r="N151" t="str">
        <f t="shared" si="24"/>
        <v>8+660</v>
      </c>
    </row>
    <row r="152" spans="1:14" x14ac:dyDescent="0.2">
      <c r="A152" t="s">
        <v>303</v>
      </c>
      <c r="B152" t="s">
        <v>304</v>
      </c>
      <c r="G152" t="str">
        <f t="shared" si="25"/>
        <v>104.6584</v>
      </c>
      <c r="H152" s="1" t="str">
        <f t="shared" si="26"/>
        <v xml:space="preserve"> 17.0455</v>
      </c>
      <c r="J152" t="str">
        <f t="shared" si="20"/>
        <v>RT147</v>
      </c>
      <c r="K152" t="str">
        <f t="shared" si="21"/>
        <v>SG</v>
      </c>
      <c r="L152" t="str">
        <f t="shared" si="22"/>
        <v>2031</v>
      </c>
      <c r="M152" t="str">
        <f t="shared" si="23"/>
        <v>0100</v>
      </c>
      <c r="N152" t="str">
        <f t="shared" si="24"/>
        <v>8+720</v>
      </c>
    </row>
    <row r="153" spans="1:14" x14ac:dyDescent="0.2">
      <c r="A153" t="s">
        <v>305</v>
      </c>
      <c r="B153" t="s">
        <v>306</v>
      </c>
      <c r="G153" t="str">
        <f t="shared" si="25"/>
        <v>104.6579</v>
      </c>
      <c r="H153" s="1" t="str">
        <f t="shared" si="26"/>
        <v xml:space="preserve"> 17.0454</v>
      </c>
      <c r="J153" t="str">
        <f t="shared" si="20"/>
        <v>RT148</v>
      </c>
      <c r="K153" t="str">
        <f t="shared" si="21"/>
        <v>SG</v>
      </c>
      <c r="L153" t="str">
        <f t="shared" si="22"/>
        <v>2031</v>
      </c>
      <c r="M153" t="str">
        <f t="shared" si="23"/>
        <v>0100</v>
      </c>
      <c r="N153" t="str">
        <f t="shared" si="24"/>
        <v>8+770</v>
      </c>
    </row>
    <row r="154" spans="1:14" x14ac:dyDescent="0.2">
      <c r="A154" t="s">
        <v>307</v>
      </c>
      <c r="B154" t="s">
        <v>308</v>
      </c>
      <c r="G154" t="str">
        <f t="shared" si="25"/>
        <v>104.6447</v>
      </c>
      <c r="H154" s="1" t="str">
        <f t="shared" si="26"/>
        <v xml:space="preserve"> 17.0434</v>
      </c>
      <c r="J154" t="str">
        <f t="shared" si="20"/>
        <v>RT149</v>
      </c>
      <c r="K154" t="str">
        <f t="shared" si="21"/>
        <v>SG</v>
      </c>
      <c r="L154" t="str">
        <f t="shared" si="22"/>
        <v>2031</v>
      </c>
      <c r="M154" t="str">
        <f t="shared" si="23"/>
        <v>0100</v>
      </c>
      <c r="N154" t="str">
        <f>MID(B154,20,6)</f>
        <v>10+215</v>
      </c>
    </row>
    <row r="155" spans="1:14" x14ac:dyDescent="0.2">
      <c r="A155" t="s">
        <v>309</v>
      </c>
      <c r="B155" t="s">
        <v>310</v>
      </c>
      <c r="G155" t="str">
        <f t="shared" si="25"/>
        <v>104.6438</v>
      </c>
      <c r="H155" s="1" t="str">
        <f>MID(A155,18,7)</f>
        <v>17.0432</v>
      </c>
      <c r="J155" t="str">
        <f t="shared" si="20"/>
        <v>RT146</v>
      </c>
      <c r="K155" t="str">
        <f t="shared" si="21"/>
        <v>SG</v>
      </c>
      <c r="L155" t="str">
        <f t="shared" si="22"/>
        <v>2031</v>
      </c>
      <c r="M155" t="str">
        <f t="shared" si="23"/>
        <v>0100</v>
      </c>
      <c r="N155" t="str">
        <f t="shared" ref="N155:N215" si="27">MID(B155,20,6)</f>
        <v>10+305</v>
      </c>
    </row>
    <row r="156" spans="1:14" x14ac:dyDescent="0.2">
      <c r="A156" t="s">
        <v>311</v>
      </c>
      <c r="B156" t="s">
        <v>312</v>
      </c>
      <c r="G156" t="str">
        <f t="shared" si="25"/>
        <v>104.6434</v>
      </c>
      <c r="H156" s="1" t="str">
        <f t="shared" si="26"/>
        <v xml:space="preserve"> 17.0430</v>
      </c>
      <c r="J156" t="str">
        <f t="shared" si="20"/>
        <v>RT147</v>
      </c>
      <c r="K156" t="str">
        <f t="shared" si="21"/>
        <v>SG</v>
      </c>
      <c r="L156" t="str">
        <f t="shared" si="22"/>
        <v>2031</v>
      </c>
      <c r="M156" t="str">
        <f t="shared" si="23"/>
        <v>0100</v>
      </c>
      <c r="N156" t="str">
        <f t="shared" si="27"/>
        <v>10+355</v>
      </c>
    </row>
    <row r="157" spans="1:14" x14ac:dyDescent="0.2">
      <c r="A157" t="s">
        <v>313</v>
      </c>
      <c r="B157" t="s">
        <v>314</v>
      </c>
      <c r="G157" t="str">
        <f t="shared" si="25"/>
        <v>104.6430</v>
      </c>
      <c r="H157" s="1" t="str">
        <f t="shared" si="26"/>
        <v xml:space="preserve"> 17.0429</v>
      </c>
      <c r="J157" t="str">
        <f t="shared" si="20"/>
        <v>RT148</v>
      </c>
      <c r="K157" t="str">
        <f t="shared" si="21"/>
        <v>SG</v>
      </c>
      <c r="L157" t="str">
        <f t="shared" si="22"/>
        <v>2031</v>
      </c>
      <c r="M157" t="str">
        <f t="shared" si="23"/>
        <v>0100</v>
      </c>
      <c r="N157" t="str">
        <f t="shared" si="27"/>
        <v>10+405</v>
      </c>
    </row>
    <row r="158" spans="1:14" x14ac:dyDescent="0.2">
      <c r="A158" t="s">
        <v>315</v>
      </c>
      <c r="B158" t="s">
        <v>316</v>
      </c>
      <c r="G158" t="str">
        <f t="shared" si="25"/>
        <v>104.6425</v>
      </c>
      <c r="H158" s="1" t="str">
        <f t="shared" si="26"/>
        <v xml:space="preserve"> 17.0427</v>
      </c>
      <c r="J158" t="str">
        <f t="shared" si="20"/>
        <v>RT149</v>
      </c>
      <c r="K158" t="str">
        <f t="shared" si="21"/>
        <v>SG</v>
      </c>
      <c r="L158" t="str">
        <f t="shared" si="22"/>
        <v>2031</v>
      </c>
      <c r="M158" t="str">
        <f t="shared" si="23"/>
        <v>0100</v>
      </c>
      <c r="N158" t="str">
        <f t="shared" si="27"/>
        <v>10+450</v>
      </c>
    </row>
    <row r="159" spans="1:14" x14ac:dyDescent="0.2">
      <c r="A159" t="s">
        <v>317</v>
      </c>
      <c r="B159" t="s">
        <v>318</v>
      </c>
      <c r="G159" t="str">
        <f t="shared" si="25"/>
        <v>104.6421</v>
      </c>
      <c r="H159" s="1" t="str">
        <f t="shared" si="26"/>
        <v xml:space="preserve"> 17.0426</v>
      </c>
      <c r="J159" t="str">
        <f t="shared" si="20"/>
        <v>RT150</v>
      </c>
      <c r="K159" t="str">
        <f t="shared" si="21"/>
        <v>SG</v>
      </c>
      <c r="L159" t="str">
        <f t="shared" si="22"/>
        <v>2031</v>
      </c>
      <c r="M159" t="str">
        <f t="shared" si="23"/>
        <v>0100</v>
      </c>
      <c r="N159" t="str">
        <f t="shared" si="27"/>
        <v>10+500</v>
      </c>
    </row>
    <row r="160" spans="1:14" x14ac:dyDescent="0.2">
      <c r="A160" t="s">
        <v>319</v>
      </c>
      <c r="B160" t="s">
        <v>320</v>
      </c>
      <c r="G160" t="str">
        <f t="shared" si="25"/>
        <v>104.6417</v>
      </c>
      <c r="H160" s="1" t="str">
        <f t="shared" si="26"/>
        <v xml:space="preserve"> 17.0425</v>
      </c>
      <c r="J160" t="str">
        <f t="shared" si="20"/>
        <v>RT151</v>
      </c>
      <c r="K160" t="str">
        <f t="shared" si="21"/>
        <v>SG</v>
      </c>
      <c r="L160" t="str">
        <f t="shared" si="22"/>
        <v>2031</v>
      </c>
      <c r="M160" t="str">
        <f t="shared" si="23"/>
        <v>0100</v>
      </c>
      <c r="N160" t="str">
        <f t="shared" si="27"/>
        <v>10+550</v>
      </c>
    </row>
    <row r="161" spans="1:14" x14ac:dyDescent="0.2">
      <c r="A161" t="s">
        <v>321</v>
      </c>
      <c r="B161" t="s">
        <v>322</v>
      </c>
      <c r="G161" t="str">
        <f t="shared" si="25"/>
        <v>104.6413</v>
      </c>
      <c r="H161" s="1" t="str">
        <f t="shared" si="26"/>
        <v xml:space="preserve"> 17.0423</v>
      </c>
      <c r="J161" t="str">
        <f t="shared" si="20"/>
        <v>RT152</v>
      </c>
      <c r="K161" t="str">
        <f t="shared" si="21"/>
        <v>SG</v>
      </c>
      <c r="L161" t="str">
        <f t="shared" si="22"/>
        <v>2031</v>
      </c>
      <c r="M161" t="str">
        <f t="shared" si="23"/>
        <v>0100</v>
      </c>
      <c r="N161" t="str">
        <f t="shared" si="27"/>
        <v>10+600</v>
      </c>
    </row>
    <row r="162" spans="1:14" x14ac:dyDescent="0.2">
      <c r="A162" t="s">
        <v>323</v>
      </c>
      <c r="B162" t="s">
        <v>324</v>
      </c>
      <c r="G162" t="str">
        <f t="shared" si="25"/>
        <v>104.6409</v>
      </c>
      <c r="H162" s="1" t="str">
        <f t="shared" si="26"/>
        <v xml:space="preserve"> 17.0422</v>
      </c>
      <c r="J162" t="str">
        <f t="shared" si="20"/>
        <v>RT153</v>
      </c>
      <c r="K162" t="str">
        <f t="shared" si="21"/>
        <v>SG</v>
      </c>
      <c r="L162" t="str">
        <f t="shared" si="22"/>
        <v>2031</v>
      </c>
      <c r="M162" t="str">
        <f t="shared" si="23"/>
        <v>0100</v>
      </c>
      <c r="N162" t="str">
        <f t="shared" si="27"/>
        <v>10+650</v>
      </c>
    </row>
    <row r="163" spans="1:14" x14ac:dyDescent="0.2">
      <c r="A163" t="s">
        <v>325</v>
      </c>
      <c r="B163" t="s">
        <v>326</v>
      </c>
      <c r="G163" t="str">
        <f t="shared" si="25"/>
        <v>104.6405</v>
      </c>
      <c r="H163" s="1" t="str">
        <f t="shared" si="26"/>
        <v xml:space="preserve"> 17.0421</v>
      </c>
      <c r="J163" t="str">
        <f t="shared" si="20"/>
        <v>RT154</v>
      </c>
      <c r="K163" t="str">
        <f t="shared" si="21"/>
        <v>SG</v>
      </c>
      <c r="L163" t="str">
        <f t="shared" si="22"/>
        <v>2031</v>
      </c>
      <c r="M163" t="str">
        <f t="shared" si="23"/>
        <v>0100</v>
      </c>
      <c r="N163" t="str">
        <f t="shared" si="27"/>
        <v>10+700</v>
      </c>
    </row>
    <row r="164" spans="1:14" x14ac:dyDescent="0.2">
      <c r="A164" t="s">
        <v>327</v>
      </c>
      <c r="B164" t="s">
        <v>328</v>
      </c>
      <c r="G164" t="str">
        <f t="shared" si="25"/>
        <v>104.6402</v>
      </c>
      <c r="H164" s="1" t="str">
        <f t="shared" si="26"/>
        <v xml:space="preserve"> 17.0420</v>
      </c>
      <c r="J164" t="str">
        <f t="shared" ref="J164:J226" si="28">MID(B164,1,5)</f>
        <v>RT155</v>
      </c>
      <c r="K164" t="str">
        <f t="shared" ref="K164:K226" si="29">MID(B164,7,2)</f>
        <v>SG</v>
      </c>
      <c r="L164" t="str">
        <f t="shared" ref="L164:L226" si="30">MID(B164,10,4)</f>
        <v>2031</v>
      </c>
      <c r="M164" t="str">
        <f t="shared" ref="M164:M226" si="31">MID(B164,15,4)</f>
        <v>0100</v>
      </c>
      <c r="N164" t="str">
        <f t="shared" si="27"/>
        <v>10+750</v>
      </c>
    </row>
    <row r="165" spans="1:14" x14ac:dyDescent="0.2">
      <c r="A165" t="s">
        <v>329</v>
      </c>
      <c r="B165" t="s">
        <v>328</v>
      </c>
      <c r="G165" t="str">
        <f t="shared" si="25"/>
        <v>104.6398</v>
      </c>
      <c r="H165" s="1" t="str">
        <f t="shared" si="26"/>
        <v xml:space="preserve"> 17.0418</v>
      </c>
      <c r="J165" t="str">
        <f t="shared" si="28"/>
        <v>RT155</v>
      </c>
      <c r="K165" t="str">
        <f t="shared" si="29"/>
        <v>SG</v>
      </c>
      <c r="L165" t="str">
        <f t="shared" si="30"/>
        <v>2031</v>
      </c>
      <c r="M165" t="str">
        <f t="shared" si="31"/>
        <v>0100</v>
      </c>
      <c r="N165" t="str">
        <f t="shared" si="27"/>
        <v>10+750</v>
      </c>
    </row>
    <row r="166" spans="1:14" x14ac:dyDescent="0.2">
      <c r="A166" t="s">
        <v>330</v>
      </c>
      <c r="B166" t="s">
        <v>331</v>
      </c>
      <c r="G166" t="str">
        <f t="shared" si="25"/>
        <v>104.6393</v>
      </c>
      <c r="H166" s="1" t="str">
        <f t="shared" si="26"/>
        <v xml:space="preserve"> 17.0417</v>
      </c>
      <c r="J166" t="str">
        <f t="shared" si="28"/>
        <v>RT156</v>
      </c>
      <c r="K166" t="str">
        <f t="shared" si="29"/>
        <v>SG</v>
      </c>
      <c r="L166" t="str">
        <f t="shared" si="30"/>
        <v>2031</v>
      </c>
      <c r="M166" t="str">
        <f t="shared" si="31"/>
        <v>0100</v>
      </c>
      <c r="N166" t="str">
        <f t="shared" si="27"/>
        <v>10+800</v>
      </c>
    </row>
    <row r="167" spans="1:14" x14ac:dyDescent="0.2">
      <c r="A167" t="s">
        <v>332</v>
      </c>
      <c r="B167" t="s">
        <v>333</v>
      </c>
      <c r="G167" t="str">
        <f t="shared" si="25"/>
        <v>104.6389</v>
      </c>
      <c r="H167" s="1" t="str">
        <f t="shared" si="26"/>
        <v xml:space="preserve"> 17.0418</v>
      </c>
      <c r="J167" t="str">
        <f t="shared" si="28"/>
        <v>RT157</v>
      </c>
      <c r="K167" t="str">
        <f t="shared" si="29"/>
        <v>SG</v>
      </c>
      <c r="L167" t="str">
        <f t="shared" si="30"/>
        <v>2031</v>
      </c>
      <c r="M167" t="str">
        <f t="shared" si="31"/>
        <v>0100</v>
      </c>
      <c r="N167" t="str">
        <f t="shared" si="27"/>
        <v>10+850</v>
      </c>
    </row>
    <row r="168" spans="1:14" x14ac:dyDescent="0.2">
      <c r="A168" t="s">
        <v>334</v>
      </c>
      <c r="B168" t="s">
        <v>335</v>
      </c>
      <c r="G168" t="str">
        <f t="shared" si="25"/>
        <v>104.6386</v>
      </c>
      <c r="H168" s="1" t="str">
        <f t="shared" si="26"/>
        <v xml:space="preserve"> 17.0418</v>
      </c>
      <c r="J168" t="str">
        <f t="shared" si="28"/>
        <v>RT158</v>
      </c>
      <c r="K168" t="str">
        <f t="shared" si="29"/>
        <v>SG</v>
      </c>
      <c r="L168" t="str">
        <f t="shared" si="30"/>
        <v>2031</v>
      </c>
      <c r="M168" t="str">
        <f t="shared" si="31"/>
        <v>0100</v>
      </c>
      <c r="N168" t="str">
        <f t="shared" si="27"/>
        <v>10+900</v>
      </c>
    </row>
    <row r="169" spans="1:14" x14ac:dyDescent="0.2">
      <c r="A169" t="s">
        <v>336</v>
      </c>
      <c r="B169" t="s">
        <v>337</v>
      </c>
      <c r="G169" t="str">
        <f t="shared" si="25"/>
        <v>104.6382</v>
      </c>
      <c r="H169" s="1" t="str">
        <f t="shared" si="26"/>
        <v xml:space="preserve"> 17.0419</v>
      </c>
      <c r="J169" t="str">
        <f t="shared" si="28"/>
        <v>RT159</v>
      </c>
      <c r="K169" t="str">
        <f t="shared" si="29"/>
        <v>SG</v>
      </c>
      <c r="L169" t="str">
        <f t="shared" si="30"/>
        <v>2031</v>
      </c>
      <c r="M169" t="str">
        <f t="shared" si="31"/>
        <v>0100</v>
      </c>
      <c r="N169" t="str">
        <f t="shared" si="27"/>
        <v>10+950</v>
      </c>
    </row>
    <row r="170" spans="1:14" x14ac:dyDescent="0.2">
      <c r="A170" t="s">
        <v>338</v>
      </c>
      <c r="B170" t="s">
        <v>339</v>
      </c>
      <c r="G170" t="str">
        <f t="shared" si="25"/>
        <v>104.6378</v>
      </c>
      <c r="H170" s="1" t="str">
        <f>MID(A170,18,7)</f>
        <v>17.0420</v>
      </c>
      <c r="J170" t="str">
        <f t="shared" si="28"/>
        <v>RT160</v>
      </c>
      <c r="K170" t="str">
        <f t="shared" si="29"/>
        <v>SG</v>
      </c>
      <c r="L170" t="str">
        <f t="shared" si="30"/>
        <v>2031</v>
      </c>
      <c r="M170" t="str">
        <f t="shared" si="31"/>
        <v>0100</v>
      </c>
      <c r="N170" t="str">
        <f t="shared" si="27"/>
        <v>11+000</v>
      </c>
    </row>
    <row r="171" spans="1:14" x14ac:dyDescent="0.2">
      <c r="A171" t="s">
        <v>340</v>
      </c>
      <c r="B171" t="s">
        <v>341</v>
      </c>
      <c r="G171" t="str">
        <f t="shared" si="25"/>
        <v>104.6373</v>
      </c>
      <c r="H171" s="1" t="str">
        <f t="shared" si="26"/>
        <v xml:space="preserve"> 17.0421</v>
      </c>
      <c r="J171" t="str">
        <f t="shared" si="28"/>
        <v>RT161</v>
      </c>
      <c r="K171" t="str">
        <f t="shared" si="29"/>
        <v>SG</v>
      </c>
      <c r="L171" t="str">
        <f t="shared" si="30"/>
        <v>2031</v>
      </c>
      <c r="M171" t="str">
        <f t="shared" si="31"/>
        <v>0100</v>
      </c>
      <c r="N171" t="str">
        <f t="shared" si="27"/>
        <v>11+050</v>
      </c>
    </row>
    <row r="172" spans="1:14" x14ac:dyDescent="0.2">
      <c r="A172" t="s">
        <v>342</v>
      </c>
      <c r="B172" t="s">
        <v>343</v>
      </c>
      <c r="G172" t="str">
        <f t="shared" si="25"/>
        <v>104.6370</v>
      </c>
      <c r="H172" s="1" t="str">
        <f t="shared" si="26"/>
        <v xml:space="preserve"> 17.0421</v>
      </c>
      <c r="J172" t="str">
        <f t="shared" si="28"/>
        <v>RT162</v>
      </c>
      <c r="K172" t="str">
        <f t="shared" si="29"/>
        <v>SG</v>
      </c>
      <c r="L172" t="str">
        <f t="shared" si="30"/>
        <v>2031</v>
      </c>
      <c r="M172" t="str">
        <f t="shared" si="31"/>
        <v>0100</v>
      </c>
      <c r="N172" t="str">
        <f t="shared" si="27"/>
        <v>11+100</v>
      </c>
    </row>
    <row r="173" spans="1:14" x14ac:dyDescent="0.2">
      <c r="A173" t="s">
        <v>344</v>
      </c>
      <c r="B173" t="s">
        <v>345</v>
      </c>
      <c r="G173" t="str">
        <f t="shared" si="25"/>
        <v>104.6365</v>
      </c>
      <c r="H173" s="1" t="str">
        <f t="shared" si="26"/>
        <v xml:space="preserve"> 17.0422</v>
      </c>
      <c r="J173" t="str">
        <f t="shared" si="28"/>
        <v>RT163</v>
      </c>
      <c r="K173" t="str">
        <f t="shared" si="29"/>
        <v>SG</v>
      </c>
      <c r="L173" t="str">
        <f t="shared" si="30"/>
        <v>2031</v>
      </c>
      <c r="M173" t="str">
        <f t="shared" si="31"/>
        <v>0100</v>
      </c>
      <c r="N173" t="str">
        <f t="shared" si="27"/>
        <v>11+150</v>
      </c>
    </row>
    <row r="174" spans="1:14" x14ac:dyDescent="0.2">
      <c r="A174" t="s">
        <v>346</v>
      </c>
      <c r="B174" t="s">
        <v>347</v>
      </c>
      <c r="G174" t="str">
        <f t="shared" si="25"/>
        <v>104.6361</v>
      </c>
      <c r="H174" s="1" t="str">
        <f>MID(A174,18,7)</f>
        <v>17.0423</v>
      </c>
      <c r="J174" t="str">
        <f t="shared" si="28"/>
        <v>RT164</v>
      </c>
      <c r="K174" t="str">
        <f t="shared" si="29"/>
        <v>SG</v>
      </c>
      <c r="L174" t="str">
        <f t="shared" si="30"/>
        <v>2031</v>
      </c>
      <c r="M174" t="str">
        <f t="shared" si="31"/>
        <v>0100</v>
      </c>
      <c r="N174" t="str">
        <f t="shared" si="27"/>
        <v>11+200</v>
      </c>
    </row>
    <row r="175" spans="1:14" x14ac:dyDescent="0.2">
      <c r="A175" t="s">
        <v>348</v>
      </c>
      <c r="B175" t="s">
        <v>349</v>
      </c>
      <c r="G175" t="str">
        <f t="shared" si="25"/>
        <v>104.6353</v>
      </c>
      <c r="H175" s="1" t="str">
        <f t="shared" si="26"/>
        <v xml:space="preserve"> 17.0425</v>
      </c>
      <c r="J175" t="str">
        <f t="shared" si="28"/>
        <v>RT166</v>
      </c>
      <c r="K175" t="str">
        <f t="shared" si="29"/>
        <v>SG</v>
      </c>
      <c r="L175" t="str">
        <f t="shared" si="30"/>
        <v>2031</v>
      </c>
      <c r="M175" t="str">
        <f t="shared" si="31"/>
        <v>0100</v>
      </c>
      <c r="N175" t="str">
        <f t="shared" si="27"/>
        <v>11+300</v>
      </c>
    </row>
    <row r="176" spans="1:14" x14ac:dyDescent="0.2">
      <c r="A176" t="s">
        <v>350</v>
      </c>
      <c r="B176" t="s">
        <v>351</v>
      </c>
      <c r="G176" t="str">
        <f t="shared" si="25"/>
        <v>104.6356</v>
      </c>
      <c r="H176" s="1" t="str">
        <f t="shared" si="26"/>
        <v xml:space="preserve"> 17.0424</v>
      </c>
      <c r="J176" t="str">
        <f t="shared" si="28"/>
        <v>RT165</v>
      </c>
      <c r="K176" t="str">
        <f t="shared" si="29"/>
        <v>SG</v>
      </c>
      <c r="L176" t="str">
        <f t="shared" si="30"/>
        <v>2031</v>
      </c>
      <c r="M176" t="str">
        <f t="shared" si="31"/>
        <v>0100</v>
      </c>
      <c r="N176" t="str">
        <f t="shared" si="27"/>
        <v>11+250</v>
      </c>
    </row>
    <row r="177" spans="1:14" x14ac:dyDescent="0.2">
      <c r="A177" t="s">
        <v>352</v>
      </c>
      <c r="B177" t="s">
        <v>353</v>
      </c>
      <c r="G177" t="str">
        <f t="shared" si="25"/>
        <v>104.6348</v>
      </c>
      <c r="H177" s="1" t="str">
        <f t="shared" si="26"/>
        <v xml:space="preserve"> 17.0426</v>
      </c>
      <c r="J177" t="str">
        <f t="shared" si="28"/>
        <v>RT167</v>
      </c>
      <c r="K177" t="str">
        <f t="shared" si="29"/>
        <v>SG</v>
      </c>
      <c r="L177" t="str">
        <f t="shared" si="30"/>
        <v>2031</v>
      </c>
      <c r="M177" t="str">
        <f t="shared" si="31"/>
        <v>0100</v>
      </c>
      <c r="N177" t="str">
        <f t="shared" si="27"/>
        <v>11+350</v>
      </c>
    </row>
    <row r="178" spans="1:14" x14ac:dyDescent="0.2">
      <c r="A178" t="s">
        <v>354</v>
      </c>
      <c r="B178" t="s">
        <v>355</v>
      </c>
      <c r="G178" t="str">
        <f t="shared" si="25"/>
        <v>104.6345</v>
      </c>
      <c r="H178" s="1" t="str">
        <f t="shared" si="26"/>
        <v xml:space="preserve"> 17.0426</v>
      </c>
      <c r="J178" t="str">
        <f t="shared" si="28"/>
        <v>RT168</v>
      </c>
      <c r="K178" t="str">
        <f t="shared" si="29"/>
        <v>SG</v>
      </c>
      <c r="L178" t="str">
        <f t="shared" si="30"/>
        <v>2031</v>
      </c>
      <c r="M178" t="str">
        <f t="shared" si="31"/>
        <v>0100</v>
      </c>
      <c r="N178" t="str">
        <f t="shared" si="27"/>
        <v>11+400</v>
      </c>
    </row>
    <row r="179" spans="1:14" x14ac:dyDescent="0.2">
      <c r="A179" t="s">
        <v>356</v>
      </c>
      <c r="B179" t="s">
        <v>357</v>
      </c>
      <c r="G179" t="str">
        <f t="shared" si="25"/>
        <v>104.6340</v>
      </c>
      <c r="H179" s="1" t="str">
        <f t="shared" si="26"/>
        <v xml:space="preserve"> 17.0427</v>
      </c>
      <c r="J179" t="str">
        <f t="shared" si="28"/>
        <v>RT169</v>
      </c>
      <c r="K179" t="str">
        <f t="shared" si="29"/>
        <v>SG</v>
      </c>
      <c r="L179" t="str">
        <f t="shared" si="30"/>
        <v>2031</v>
      </c>
      <c r="M179" t="str">
        <f t="shared" si="31"/>
        <v>0100</v>
      </c>
      <c r="N179" t="str">
        <f t="shared" si="27"/>
        <v>11+450</v>
      </c>
    </row>
    <row r="180" spans="1:14" x14ac:dyDescent="0.2">
      <c r="A180" t="s">
        <v>358</v>
      </c>
      <c r="B180" t="s">
        <v>359</v>
      </c>
      <c r="G180" t="str">
        <f t="shared" si="25"/>
        <v>104.6336</v>
      </c>
      <c r="H180" s="1" t="str">
        <f t="shared" si="26"/>
        <v xml:space="preserve"> 17.0427</v>
      </c>
      <c r="J180" t="str">
        <f t="shared" si="28"/>
        <v>RT170</v>
      </c>
      <c r="K180" t="str">
        <f t="shared" si="29"/>
        <v>SG</v>
      </c>
      <c r="L180" t="str">
        <f t="shared" si="30"/>
        <v>2031</v>
      </c>
      <c r="M180" t="str">
        <f t="shared" si="31"/>
        <v>0100</v>
      </c>
      <c r="N180" t="str">
        <f t="shared" si="27"/>
        <v>11+500</v>
      </c>
    </row>
    <row r="181" spans="1:14" x14ac:dyDescent="0.2">
      <c r="A181" t="s">
        <v>360</v>
      </c>
      <c r="B181" t="s">
        <v>361</v>
      </c>
      <c r="G181" t="str">
        <f t="shared" si="25"/>
        <v>104.6250</v>
      </c>
      <c r="H181" s="1" t="str">
        <f t="shared" si="26"/>
        <v xml:space="preserve"> 17.0431</v>
      </c>
      <c r="J181" t="str">
        <f t="shared" si="28"/>
        <v>RT171</v>
      </c>
      <c r="K181" t="str">
        <f t="shared" si="29"/>
        <v>SG</v>
      </c>
      <c r="L181" t="str">
        <f t="shared" si="30"/>
        <v>2031</v>
      </c>
      <c r="M181" t="str">
        <f t="shared" si="31"/>
        <v>0100</v>
      </c>
      <c r="N181" t="str">
        <f t="shared" si="27"/>
        <v>12+350</v>
      </c>
    </row>
    <row r="182" spans="1:14" x14ac:dyDescent="0.2">
      <c r="A182" t="s">
        <v>362</v>
      </c>
      <c r="B182" t="s">
        <v>363</v>
      </c>
      <c r="G182" t="str">
        <f t="shared" si="25"/>
        <v>104.6246</v>
      </c>
      <c r="H182" s="1" t="str">
        <f t="shared" si="26"/>
        <v xml:space="preserve"> 17.0431</v>
      </c>
      <c r="J182" t="str">
        <f t="shared" si="28"/>
        <v>RT172</v>
      </c>
      <c r="K182" t="str">
        <f t="shared" si="29"/>
        <v>SG</v>
      </c>
      <c r="L182" t="str">
        <f t="shared" si="30"/>
        <v>2031</v>
      </c>
      <c r="M182" t="str">
        <f t="shared" si="31"/>
        <v>0100</v>
      </c>
      <c r="N182" t="str">
        <f t="shared" si="27"/>
        <v>12+395</v>
      </c>
    </row>
    <row r="183" spans="1:14" x14ac:dyDescent="0.2">
      <c r="A183" t="s">
        <v>364</v>
      </c>
      <c r="B183" t="s">
        <v>365</v>
      </c>
      <c r="G183" t="str">
        <f t="shared" si="25"/>
        <v>104.6242</v>
      </c>
      <c r="H183" s="1" t="str">
        <f t="shared" si="26"/>
        <v xml:space="preserve"> 17.0431</v>
      </c>
      <c r="J183" t="str">
        <f t="shared" si="28"/>
        <v>RT173</v>
      </c>
      <c r="K183" t="str">
        <f t="shared" si="29"/>
        <v>SG</v>
      </c>
      <c r="L183" t="str">
        <f t="shared" si="30"/>
        <v>2031</v>
      </c>
      <c r="M183" t="str">
        <f t="shared" si="31"/>
        <v>0100</v>
      </c>
      <c r="N183" t="str">
        <f t="shared" si="27"/>
        <v>12+450</v>
      </c>
    </row>
    <row r="184" spans="1:14" x14ac:dyDescent="0.2">
      <c r="A184" t="s">
        <v>366</v>
      </c>
      <c r="B184" t="s">
        <v>367</v>
      </c>
      <c r="G184" t="str">
        <f t="shared" si="25"/>
        <v>104.6237</v>
      </c>
      <c r="H184" s="1" t="str">
        <f t="shared" si="26"/>
        <v xml:space="preserve"> 17.0431</v>
      </c>
      <c r="J184" t="str">
        <f t="shared" si="28"/>
        <v>RT174</v>
      </c>
      <c r="K184" t="str">
        <f t="shared" si="29"/>
        <v>SG</v>
      </c>
      <c r="L184" t="str">
        <f t="shared" si="30"/>
        <v>2031</v>
      </c>
      <c r="M184" t="str">
        <f t="shared" si="31"/>
        <v>0100</v>
      </c>
      <c r="N184" t="str">
        <f t="shared" si="27"/>
        <v>12+500</v>
      </c>
    </row>
    <row r="185" spans="1:14" x14ac:dyDescent="0.2">
      <c r="A185" t="s">
        <v>368</v>
      </c>
      <c r="B185" t="s">
        <v>369</v>
      </c>
      <c r="G185" t="str">
        <f t="shared" si="25"/>
        <v>104.6233</v>
      </c>
      <c r="H185" s="1" t="str">
        <f t="shared" si="26"/>
        <v xml:space="preserve"> 17.0431</v>
      </c>
      <c r="J185" t="str">
        <f t="shared" si="28"/>
        <v>RT175</v>
      </c>
      <c r="K185" t="str">
        <f t="shared" si="29"/>
        <v>SG</v>
      </c>
      <c r="L185" t="str">
        <f t="shared" si="30"/>
        <v>2031</v>
      </c>
      <c r="M185" t="str">
        <f t="shared" si="31"/>
        <v>0100</v>
      </c>
      <c r="N185" t="str">
        <f t="shared" si="27"/>
        <v>12+550</v>
      </c>
    </row>
    <row r="186" spans="1:14" x14ac:dyDescent="0.2">
      <c r="A186" t="s">
        <v>370</v>
      </c>
      <c r="B186" t="s">
        <v>371</v>
      </c>
      <c r="G186" t="str">
        <f t="shared" si="25"/>
        <v>104.6228</v>
      </c>
      <c r="H186" s="1" t="str">
        <f t="shared" si="26"/>
        <v xml:space="preserve"> 17.0431</v>
      </c>
      <c r="J186" t="str">
        <f t="shared" si="28"/>
        <v>RT176</v>
      </c>
      <c r="K186" t="str">
        <f t="shared" si="29"/>
        <v>SG</v>
      </c>
      <c r="L186" t="str">
        <f t="shared" si="30"/>
        <v>2031</v>
      </c>
      <c r="M186" t="str">
        <f t="shared" si="31"/>
        <v>0100</v>
      </c>
      <c r="N186" t="str">
        <f t="shared" si="27"/>
        <v>12+600</v>
      </c>
    </row>
    <row r="187" spans="1:14" x14ac:dyDescent="0.2">
      <c r="A187" t="s">
        <v>372</v>
      </c>
      <c r="B187" t="s">
        <v>373</v>
      </c>
      <c r="G187" t="str">
        <f t="shared" si="25"/>
        <v>104.6224</v>
      </c>
      <c r="H187" s="1" t="str">
        <f t="shared" si="26"/>
        <v xml:space="preserve"> 17.0432</v>
      </c>
      <c r="J187" t="str">
        <f t="shared" si="28"/>
        <v>RT177</v>
      </c>
      <c r="K187" t="str">
        <f t="shared" si="29"/>
        <v>SG</v>
      </c>
      <c r="L187" t="str">
        <f t="shared" si="30"/>
        <v>2031</v>
      </c>
      <c r="M187" t="str">
        <f t="shared" si="31"/>
        <v>0100</v>
      </c>
      <c r="N187" t="str">
        <f t="shared" si="27"/>
        <v>12+640</v>
      </c>
    </row>
    <row r="188" spans="1:14" x14ac:dyDescent="0.2">
      <c r="A188" t="s">
        <v>374</v>
      </c>
      <c r="B188" t="s">
        <v>375</v>
      </c>
      <c r="G188" t="str">
        <f t="shared" si="25"/>
        <v>104.6219</v>
      </c>
      <c r="H188" s="1" t="str">
        <f t="shared" si="26"/>
        <v xml:space="preserve"> 17.0432</v>
      </c>
      <c r="J188" t="str">
        <f t="shared" si="28"/>
        <v>RT178</v>
      </c>
      <c r="K188" t="str">
        <f t="shared" si="29"/>
        <v>SG</v>
      </c>
      <c r="L188" t="str">
        <f t="shared" si="30"/>
        <v>2031</v>
      </c>
      <c r="M188" t="str">
        <f t="shared" si="31"/>
        <v>0100</v>
      </c>
      <c r="N188" t="str">
        <f t="shared" si="27"/>
        <v>12+680</v>
      </c>
    </row>
    <row r="189" spans="1:14" x14ac:dyDescent="0.2">
      <c r="A189" t="s">
        <v>376</v>
      </c>
      <c r="B189" t="s">
        <v>377</v>
      </c>
      <c r="G189" t="str">
        <f t="shared" si="25"/>
        <v>104.6215</v>
      </c>
      <c r="H189" s="1" t="str">
        <f t="shared" si="26"/>
        <v xml:space="preserve"> 17.0432</v>
      </c>
      <c r="J189" t="str">
        <f t="shared" si="28"/>
        <v>RT179</v>
      </c>
      <c r="K189" t="str">
        <f t="shared" si="29"/>
        <v>SG</v>
      </c>
      <c r="L189" t="str">
        <f t="shared" si="30"/>
        <v>2031</v>
      </c>
      <c r="M189" t="str">
        <f t="shared" si="31"/>
        <v>0100</v>
      </c>
      <c r="N189" t="str">
        <f t="shared" si="27"/>
        <v>12+720</v>
      </c>
    </row>
    <row r="190" spans="1:14" x14ac:dyDescent="0.2">
      <c r="A190" t="s">
        <v>378</v>
      </c>
      <c r="B190" t="s">
        <v>379</v>
      </c>
      <c r="G190" t="str">
        <f t="shared" ref="G190:G252" si="32">MID(A190,8,8)</f>
        <v>104.6210</v>
      </c>
      <c r="H190" s="1" t="str">
        <f t="shared" ref="H190:H252" si="33">MID(A190,18,8)</f>
        <v xml:space="preserve"> 17.0432</v>
      </c>
      <c r="J190" t="str">
        <f t="shared" si="28"/>
        <v>RT180</v>
      </c>
      <c r="K190" t="str">
        <f t="shared" si="29"/>
        <v>SG</v>
      </c>
      <c r="L190" t="str">
        <f t="shared" si="30"/>
        <v>2031</v>
      </c>
      <c r="M190" t="str">
        <f t="shared" si="31"/>
        <v>0100</v>
      </c>
      <c r="N190" t="str">
        <f t="shared" si="27"/>
        <v>12+770</v>
      </c>
    </row>
    <row r="191" spans="1:14" x14ac:dyDescent="0.2">
      <c r="A191" t="s">
        <v>380</v>
      </c>
      <c r="B191" t="s">
        <v>381</v>
      </c>
      <c r="G191" t="str">
        <f t="shared" si="32"/>
        <v>104.6206</v>
      </c>
      <c r="H191" s="1" t="str">
        <f t="shared" si="33"/>
        <v xml:space="preserve"> 17.0431</v>
      </c>
      <c r="J191" t="str">
        <f t="shared" si="28"/>
        <v>RT180</v>
      </c>
      <c r="K191" t="str">
        <f t="shared" si="29"/>
        <v>SG</v>
      </c>
      <c r="L191" t="str">
        <f t="shared" si="30"/>
        <v>2031</v>
      </c>
      <c r="M191" t="str">
        <f t="shared" si="31"/>
        <v>0100</v>
      </c>
      <c r="N191" t="str">
        <f t="shared" si="27"/>
        <v>12+820</v>
      </c>
    </row>
    <row r="192" spans="1:14" x14ac:dyDescent="0.2">
      <c r="A192" t="s">
        <v>382</v>
      </c>
      <c r="B192" t="s">
        <v>383</v>
      </c>
      <c r="G192" t="str">
        <f t="shared" si="32"/>
        <v>104.6201</v>
      </c>
      <c r="H192" s="1" t="str">
        <f t="shared" si="33"/>
        <v xml:space="preserve"> 17.0431</v>
      </c>
      <c r="J192" t="str">
        <f t="shared" si="28"/>
        <v>RT181</v>
      </c>
      <c r="K192" t="str">
        <f t="shared" si="29"/>
        <v>SG</v>
      </c>
      <c r="L192" t="str">
        <f t="shared" si="30"/>
        <v>2031</v>
      </c>
      <c r="M192" t="str">
        <f t="shared" si="31"/>
        <v>0100</v>
      </c>
      <c r="N192" t="str">
        <f t="shared" si="27"/>
        <v>12+870</v>
      </c>
    </row>
    <row r="193" spans="1:14" x14ac:dyDescent="0.2">
      <c r="A193" t="s">
        <v>384</v>
      </c>
      <c r="B193" t="s">
        <v>385</v>
      </c>
      <c r="G193" t="str">
        <f t="shared" si="32"/>
        <v>104.6197</v>
      </c>
      <c r="H193" s="1" t="str">
        <f t="shared" si="33"/>
        <v xml:space="preserve"> 17.0431</v>
      </c>
      <c r="J193" t="str">
        <f t="shared" si="28"/>
        <v>RT182</v>
      </c>
      <c r="K193" t="str">
        <f t="shared" si="29"/>
        <v>SG</v>
      </c>
      <c r="L193" t="str">
        <f t="shared" si="30"/>
        <v>2031</v>
      </c>
      <c r="M193" t="str">
        <f t="shared" si="31"/>
        <v>0100</v>
      </c>
      <c r="N193" t="str">
        <f t="shared" si="27"/>
        <v>12+920</v>
      </c>
    </row>
    <row r="194" spans="1:14" x14ac:dyDescent="0.2">
      <c r="A194" t="s">
        <v>386</v>
      </c>
      <c r="B194" t="s">
        <v>387</v>
      </c>
      <c r="G194" t="str">
        <f t="shared" si="32"/>
        <v>104.6193</v>
      </c>
      <c r="H194" s="1" t="str">
        <f t="shared" si="33"/>
        <v xml:space="preserve"> 17.0431</v>
      </c>
      <c r="J194" t="str">
        <f t="shared" si="28"/>
        <v>RT183</v>
      </c>
      <c r="K194" t="str">
        <f t="shared" si="29"/>
        <v>SG</v>
      </c>
      <c r="L194" t="str">
        <f t="shared" si="30"/>
        <v>2031</v>
      </c>
      <c r="M194" t="str">
        <f t="shared" si="31"/>
        <v>0100</v>
      </c>
      <c r="N194" t="str">
        <f t="shared" si="27"/>
        <v>12+960</v>
      </c>
    </row>
    <row r="195" spans="1:14" x14ac:dyDescent="0.2">
      <c r="A195" t="s">
        <v>388</v>
      </c>
      <c r="B195" t="s">
        <v>389</v>
      </c>
      <c r="G195" t="str">
        <f t="shared" si="32"/>
        <v>104.6189</v>
      </c>
      <c r="H195" s="1" t="str">
        <f>MID(A195,18,7)</f>
        <v>17.0430</v>
      </c>
      <c r="J195" t="str">
        <f t="shared" si="28"/>
        <v>RT184</v>
      </c>
      <c r="K195" t="str">
        <f t="shared" si="29"/>
        <v>SG</v>
      </c>
      <c r="L195" t="str">
        <f t="shared" si="30"/>
        <v>2031</v>
      </c>
      <c r="M195" t="str">
        <f t="shared" si="31"/>
        <v>0100</v>
      </c>
      <c r="N195" t="str">
        <f t="shared" si="27"/>
        <v>13+000</v>
      </c>
    </row>
    <row r="196" spans="1:14" x14ac:dyDescent="0.2">
      <c r="A196" t="s">
        <v>390</v>
      </c>
      <c r="B196" t="s">
        <v>391</v>
      </c>
      <c r="G196" t="str">
        <f t="shared" si="32"/>
        <v>104.6183</v>
      </c>
      <c r="H196" s="1" t="str">
        <f t="shared" si="33"/>
        <v xml:space="preserve"> 17.0430</v>
      </c>
      <c r="J196" t="str">
        <f t="shared" si="28"/>
        <v>RT185</v>
      </c>
      <c r="K196" t="str">
        <f t="shared" si="29"/>
        <v>SG</v>
      </c>
      <c r="L196" t="str">
        <f t="shared" si="30"/>
        <v>2031</v>
      </c>
      <c r="M196" t="str">
        <f t="shared" si="31"/>
        <v>0100</v>
      </c>
      <c r="N196" t="str">
        <f t="shared" si="27"/>
        <v>13+050</v>
      </c>
    </row>
    <row r="197" spans="1:14" x14ac:dyDescent="0.2">
      <c r="A197" t="s">
        <v>392</v>
      </c>
      <c r="B197" t="s">
        <v>393</v>
      </c>
      <c r="G197" t="str">
        <f t="shared" si="32"/>
        <v>104.6178</v>
      </c>
      <c r="H197" s="1" t="str">
        <f t="shared" si="33"/>
        <v xml:space="preserve"> 17.0430</v>
      </c>
      <c r="J197" t="str">
        <f t="shared" si="28"/>
        <v>RT186</v>
      </c>
      <c r="K197" t="str">
        <f t="shared" si="29"/>
        <v>SG</v>
      </c>
      <c r="L197" t="str">
        <f t="shared" si="30"/>
        <v>2031</v>
      </c>
      <c r="M197" t="str">
        <f t="shared" si="31"/>
        <v>0100</v>
      </c>
      <c r="N197" t="str">
        <f t="shared" si="27"/>
        <v>13+100</v>
      </c>
    </row>
    <row r="198" spans="1:14" x14ac:dyDescent="0.2">
      <c r="A198" t="s">
        <v>394</v>
      </c>
      <c r="B198" t="s">
        <v>395</v>
      </c>
      <c r="G198" t="str">
        <f t="shared" si="32"/>
        <v>104.6174</v>
      </c>
      <c r="H198" s="1" t="str">
        <f>MID(A198,18,7)</f>
        <v>17.0430</v>
      </c>
      <c r="J198" t="str">
        <f t="shared" si="28"/>
        <v>RT187</v>
      </c>
      <c r="K198" t="str">
        <f t="shared" si="29"/>
        <v>SG</v>
      </c>
      <c r="L198" t="str">
        <f t="shared" si="30"/>
        <v>2031</v>
      </c>
      <c r="M198" t="str">
        <f t="shared" si="31"/>
        <v>0100</v>
      </c>
      <c r="N198" t="str">
        <f t="shared" si="27"/>
        <v>13+150</v>
      </c>
    </row>
    <row r="199" spans="1:14" x14ac:dyDescent="0.2">
      <c r="A199" t="s">
        <v>396</v>
      </c>
      <c r="B199" t="s">
        <v>397</v>
      </c>
      <c r="G199" t="str">
        <f t="shared" si="32"/>
        <v>104.6169</v>
      </c>
      <c r="H199" s="1" t="str">
        <f t="shared" si="33"/>
        <v xml:space="preserve"> 17.0429</v>
      </c>
      <c r="J199" t="str">
        <f t="shared" si="28"/>
        <v>RT188</v>
      </c>
      <c r="K199" t="str">
        <f t="shared" si="29"/>
        <v>SG</v>
      </c>
      <c r="L199" t="str">
        <f t="shared" si="30"/>
        <v>2031</v>
      </c>
      <c r="M199" t="str">
        <f t="shared" si="31"/>
        <v>0100</v>
      </c>
      <c r="N199" t="str">
        <f t="shared" si="27"/>
        <v>13+200</v>
      </c>
    </row>
    <row r="200" spans="1:14" x14ac:dyDescent="0.2">
      <c r="A200" t="s">
        <v>398</v>
      </c>
      <c r="B200" t="s">
        <v>399</v>
      </c>
      <c r="G200" t="str">
        <f t="shared" si="32"/>
        <v>104.6164</v>
      </c>
      <c r="H200" s="1" t="str">
        <f t="shared" si="33"/>
        <v xml:space="preserve"> 17.0429</v>
      </c>
      <c r="J200" t="str">
        <f t="shared" si="28"/>
        <v>RT189</v>
      </c>
      <c r="K200" t="str">
        <f t="shared" si="29"/>
        <v>SG</v>
      </c>
      <c r="L200" t="str">
        <f t="shared" si="30"/>
        <v>2031</v>
      </c>
      <c r="M200" t="str">
        <f t="shared" si="31"/>
        <v>0100</v>
      </c>
      <c r="N200" t="str">
        <f t="shared" si="27"/>
        <v>13+260</v>
      </c>
    </row>
    <row r="201" spans="1:14" x14ac:dyDescent="0.2">
      <c r="A201" t="s">
        <v>400</v>
      </c>
      <c r="B201" t="s">
        <v>401</v>
      </c>
      <c r="G201" t="str">
        <f t="shared" si="32"/>
        <v>104.6159</v>
      </c>
      <c r="H201" s="1" t="str">
        <f t="shared" si="33"/>
        <v xml:space="preserve"> 17.0428</v>
      </c>
      <c r="J201" t="str">
        <f t="shared" si="28"/>
        <v>RT190</v>
      </c>
      <c r="K201" t="str">
        <f t="shared" si="29"/>
        <v>SG</v>
      </c>
      <c r="L201" t="str">
        <f t="shared" si="30"/>
        <v>2031</v>
      </c>
      <c r="M201" t="str">
        <f t="shared" si="31"/>
        <v>0100</v>
      </c>
      <c r="N201" t="str">
        <f t="shared" si="27"/>
        <v>13+300</v>
      </c>
    </row>
    <row r="202" spans="1:14" x14ac:dyDescent="0.2">
      <c r="A202" t="s">
        <v>402</v>
      </c>
      <c r="B202" t="s">
        <v>403</v>
      </c>
      <c r="G202" t="str">
        <f t="shared" si="32"/>
        <v>104.6155</v>
      </c>
      <c r="H202" s="1" t="str">
        <f t="shared" si="33"/>
        <v xml:space="preserve"> 17.0428</v>
      </c>
      <c r="J202" t="str">
        <f t="shared" si="28"/>
        <v>RT191</v>
      </c>
      <c r="K202" t="str">
        <f t="shared" si="29"/>
        <v>SG</v>
      </c>
      <c r="L202" t="str">
        <f t="shared" si="30"/>
        <v>2031</v>
      </c>
      <c r="M202" t="str">
        <f t="shared" si="31"/>
        <v>0100</v>
      </c>
      <c r="N202" t="str">
        <f t="shared" si="27"/>
        <v>13+350</v>
      </c>
    </row>
    <row r="203" spans="1:14" x14ac:dyDescent="0.2">
      <c r="A203" t="s">
        <v>404</v>
      </c>
      <c r="B203" t="s">
        <v>405</v>
      </c>
      <c r="G203" t="str">
        <f t="shared" si="32"/>
        <v>104.6150</v>
      </c>
      <c r="H203" s="1" t="str">
        <f t="shared" si="33"/>
        <v xml:space="preserve"> 17.0426</v>
      </c>
      <c r="J203" t="str">
        <f t="shared" si="28"/>
        <v>RT192</v>
      </c>
      <c r="K203" t="str">
        <f t="shared" si="29"/>
        <v>SG</v>
      </c>
      <c r="L203" t="str">
        <f t="shared" si="30"/>
        <v>2031</v>
      </c>
      <c r="M203" t="str">
        <f t="shared" si="31"/>
        <v>0100</v>
      </c>
      <c r="N203" t="str">
        <f t="shared" si="27"/>
        <v>13+400</v>
      </c>
    </row>
    <row r="204" spans="1:14" x14ac:dyDescent="0.2">
      <c r="A204" t="s">
        <v>406</v>
      </c>
      <c r="B204" t="s">
        <v>407</v>
      </c>
      <c r="G204" t="str">
        <f t="shared" si="32"/>
        <v>104.6147</v>
      </c>
      <c r="H204" s="1" t="str">
        <f t="shared" si="33"/>
        <v xml:space="preserve"> 17.0424</v>
      </c>
      <c r="J204" t="str">
        <f t="shared" si="28"/>
        <v>RT193</v>
      </c>
      <c r="K204" t="str">
        <f t="shared" si="29"/>
        <v>SG</v>
      </c>
      <c r="L204" t="str">
        <f t="shared" si="30"/>
        <v>2031</v>
      </c>
      <c r="M204" t="str">
        <f t="shared" si="31"/>
        <v>0100</v>
      </c>
      <c r="N204" t="str">
        <f t="shared" si="27"/>
        <v>13+450</v>
      </c>
    </row>
    <row r="205" spans="1:14" x14ac:dyDescent="0.2">
      <c r="A205" t="s">
        <v>408</v>
      </c>
      <c r="B205" t="s">
        <v>409</v>
      </c>
      <c r="G205" t="str">
        <f t="shared" si="32"/>
        <v>104.6144</v>
      </c>
      <c r="H205" s="1" t="str">
        <f t="shared" si="33"/>
        <v xml:space="preserve"> 17.0421</v>
      </c>
      <c r="J205" t="str">
        <f t="shared" si="28"/>
        <v>RT194</v>
      </c>
      <c r="K205" t="str">
        <f t="shared" si="29"/>
        <v>SG</v>
      </c>
      <c r="L205" t="str">
        <f t="shared" si="30"/>
        <v>2031</v>
      </c>
      <c r="M205" t="str">
        <f t="shared" si="31"/>
        <v>0100</v>
      </c>
      <c r="N205" t="str">
        <f t="shared" si="27"/>
        <v>13+500</v>
      </c>
    </row>
    <row r="206" spans="1:14" x14ac:dyDescent="0.2">
      <c r="A206" t="s">
        <v>410</v>
      </c>
      <c r="B206" t="s">
        <v>411</v>
      </c>
      <c r="G206" t="str">
        <f t="shared" si="32"/>
        <v>104.6137</v>
      </c>
      <c r="H206" s="1" t="str">
        <f t="shared" si="33"/>
        <v xml:space="preserve"> 17.0414</v>
      </c>
      <c r="J206" t="str">
        <f t="shared" si="28"/>
        <v>RT195</v>
      </c>
      <c r="K206" t="str">
        <f t="shared" si="29"/>
        <v>SG</v>
      </c>
      <c r="L206" t="str">
        <f t="shared" si="30"/>
        <v>2031</v>
      </c>
      <c r="M206" t="str">
        <f t="shared" si="31"/>
        <v>0100</v>
      </c>
      <c r="N206" t="str">
        <f t="shared" si="27"/>
        <v>13+600</v>
      </c>
    </row>
    <row r="207" spans="1:14" x14ac:dyDescent="0.2">
      <c r="A207" t="s">
        <v>412</v>
      </c>
      <c r="B207" t="s">
        <v>413</v>
      </c>
      <c r="G207" t="str">
        <f t="shared" si="32"/>
        <v>104.6135</v>
      </c>
      <c r="H207" s="1" t="str">
        <f t="shared" si="33"/>
        <v xml:space="preserve"> 17.0412</v>
      </c>
      <c r="J207" t="str">
        <f t="shared" si="28"/>
        <v>RT196</v>
      </c>
      <c r="K207" t="str">
        <f t="shared" si="29"/>
        <v>SG</v>
      </c>
      <c r="L207" t="str">
        <f t="shared" si="30"/>
        <v>2031</v>
      </c>
      <c r="M207" t="str">
        <f t="shared" si="31"/>
        <v>0100</v>
      </c>
      <c r="N207" t="str">
        <f t="shared" si="27"/>
        <v>13+630</v>
      </c>
    </row>
    <row r="208" spans="1:14" x14ac:dyDescent="0.2">
      <c r="A208" t="s">
        <v>414</v>
      </c>
      <c r="B208" t="s">
        <v>415</v>
      </c>
      <c r="G208" t="str">
        <f t="shared" si="32"/>
        <v>104.6132</v>
      </c>
      <c r="H208" s="1" t="str">
        <f>MID(A208,18,7)</f>
        <v>17.0410</v>
      </c>
      <c r="J208" t="str">
        <f t="shared" si="28"/>
        <v>RT197</v>
      </c>
      <c r="K208" t="str">
        <f t="shared" si="29"/>
        <v>SG</v>
      </c>
      <c r="L208" t="str">
        <f t="shared" si="30"/>
        <v>2031</v>
      </c>
      <c r="M208" t="str">
        <f t="shared" si="31"/>
        <v>0100</v>
      </c>
      <c r="N208" t="str">
        <f t="shared" si="27"/>
        <v>13+670</v>
      </c>
    </row>
    <row r="209" spans="1:14" x14ac:dyDescent="0.2">
      <c r="A209" t="s">
        <v>416</v>
      </c>
      <c r="B209" t="s">
        <v>417</v>
      </c>
      <c r="G209" t="str">
        <f t="shared" si="32"/>
        <v>104.6129</v>
      </c>
      <c r="H209" s="1" t="str">
        <f t="shared" si="33"/>
        <v xml:space="preserve"> 17.0407</v>
      </c>
      <c r="J209" t="str">
        <f t="shared" si="28"/>
        <v>RT198</v>
      </c>
      <c r="K209" t="str">
        <f t="shared" si="29"/>
        <v>SG</v>
      </c>
      <c r="L209" t="str">
        <f t="shared" si="30"/>
        <v>2031</v>
      </c>
      <c r="M209" t="str">
        <f t="shared" si="31"/>
        <v>0100</v>
      </c>
      <c r="N209" t="str">
        <f t="shared" si="27"/>
        <v>13+710</v>
      </c>
    </row>
    <row r="210" spans="1:14" x14ac:dyDescent="0.2">
      <c r="A210" t="s">
        <v>418</v>
      </c>
      <c r="B210" t="s">
        <v>419</v>
      </c>
      <c r="G210" t="str">
        <f t="shared" si="32"/>
        <v>104.6126</v>
      </c>
      <c r="H210" s="1" t="str">
        <f t="shared" si="33"/>
        <v xml:space="preserve"> 17.0405</v>
      </c>
      <c r="J210" t="str">
        <f t="shared" si="28"/>
        <v>RT199</v>
      </c>
      <c r="K210" t="str">
        <f t="shared" si="29"/>
        <v>SG</v>
      </c>
      <c r="L210" t="str">
        <f t="shared" si="30"/>
        <v>2031</v>
      </c>
      <c r="M210" t="str">
        <f t="shared" si="31"/>
        <v>0100</v>
      </c>
      <c r="N210" t="str">
        <f t="shared" si="27"/>
        <v>13+750</v>
      </c>
    </row>
    <row r="211" spans="1:14" x14ac:dyDescent="0.2">
      <c r="A211" t="s">
        <v>420</v>
      </c>
      <c r="B211" t="s">
        <v>421</v>
      </c>
      <c r="G211" t="str">
        <f t="shared" si="32"/>
        <v>104.6124</v>
      </c>
      <c r="H211" s="1" t="str">
        <f t="shared" si="33"/>
        <v xml:space="preserve"> 17.0403</v>
      </c>
      <c r="J211" t="str">
        <f t="shared" si="28"/>
        <v>RT200</v>
      </c>
      <c r="K211" t="str">
        <f t="shared" si="29"/>
        <v>SG</v>
      </c>
      <c r="L211" t="str">
        <f t="shared" si="30"/>
        <v>2031</v>
      </c>
      <c r="M211" t="str">
        <f t="shared" si="31"/>
        <v>0100</v>
      </c>
      <c r="N211" t="str">
        <f t="shared" si="27"/>
        <v>13+790</v>
      </c>
    </row>
    <row r="212" spans="1:14" x14ac:dyDescent="0.2">
      <c r="A212" t="s">
        <v>422</v>
      </c>
      <c r="B212" t="s">
        <v>423</v>
      </c>
      <c r="G212" t="str">
        <f t="shared" si="32"/>
        <v>104.6121</v>
      </c>
      <c r="H212" s="1" t="str">
        <f t="shared" si="33"/>
        <v xml:space="preserve"> 17.0401</v>
      </c>
      <c r="J212" t="str">
        <f t="shared" si="28"/>
        <v>RT201</v>
      </c>
      <c r="K212" t="str">
        <f t="shared" si="29"/>
        <v>SG</v>
      </c>
      <c r="L212" t="str">
        <f t="shared" si="30"/>
        <v>2031</v>
      </c>
      <c r="M212" t="str">
        <f t="shared" si="31"/>
        <v>0100</v>
      </c>
      <c r="N212" t="str">
        <f t="shared" si="27"/>
        <v>13+830</v>
      </c>
    </row>
    <row r="213" spans="1:14" x14ac:dyDescent="0.2">
      <c r="A213" t="s">
        <v>424</v>
      </c>
      <c r="B213" t="s">
        <v>425</v>
      </c>
      <c r="G213" t="str">
        <f t="shared" si="32"/>
        <v>104.6119</v>
      </c>
      <c r="H213" s="1" t="str">
        <f t="shared" si="33"/>
        <v xml:space="preserve"> 17.0399</v>
      </c>
      <c r="J213" t="str">
        <f t="shared" si="28"/>
        <v>RT202</v>
      </c>
      <c r="K213" t="str">
        <f t="shared" si="29"/>
        <v>SG</v>
      </c>
      <c r="L213" t="str">
        <f t="shared" si="30"/>
        <v>2031</v>
      </c>
      <c r="M213" t="str">
        <f t="shared" si="31"/>
        <v>0100</v>
      </c>
      <c r="N213" t="str">
        <f t="shared" si="27"/>
        <v>13+860</v>
      </c>
    </row>
    <row r="214" spans="1:14" x14ac:dyDescent="0.2">
      <c r="A214" t="s">
        <v>426</v>
      </c>
      <c r="B214" t="s">
        <v>427</v>
      </c>
      <c r="G214" t="str">
        <f t="shared" si="32"/>
        <v>104.6116</v>
      </c>
      <c r="H214" s="1" t="str">
        <f t="shared" si="33"/>
        <v xml:space="preserve"> 17.0396</v>
      </c>
      <c r="J214" t="str">
        <f t="shared" si="28"/>
        <v>RT203</v>
      </c>
      <c r="K214" t="str">
        <f t="shared" si="29"/>
        <v>SG</v>
      </c>
      <c r="L214" t="str">
        <f t="shared" si="30"/>
        <v>2031</v>
      </c>
      <c r="M214" t="str">
        <f t="shared" si="31"/>
        <v>0100</v>
      </c>
      <c r="N214" t="str">
        <f t="shared" si="27"/>
        <v>13+900</v>
      </c>
    </row>
    <row r="215" spans="1:14" x14ac:dyDescent="0.2">
      <c r="A215" t="s">
        <v>428</v>
      </c>
      <c r="B215" t="s">
        <v>429</v>
      </c>
      <c r="G215" t="str">
        <f t="shared" si="32"/>
        <v>104.6114</v>
      </c>
      <c r="H215" s="1" t="str">
        <f t="shared" si="33"/>
        <v xml:space="preserve"> 17.0394</v>
      </c>
      <c r="J215" t="str">
        <f t="shared" si="28"/>
        <v>RT204</v>
      </c>
      <c r="K215" t="str">
        <f t="shared" si="29"/>
        <v>SG</v>
      </c>
      <c r="L215" t="str">
        <f t="shared" si="30"/>
        <v>2031</v>
      </c>
      <c r="M215" t="str">
        <f t="shared" si="31"/>
        <v>0100</v>
      </c>
      <c r="N215" t="str">
        <f t="shared" si="27"/>
        <v>13+920</v>
      </c>
    </row>
    <row r="216" spans="1:14" x14ac:dyDescent="0.2">
      <c r="A216" t="s">
        <v>430</v>
      </c>
      <c r="B216" t="s">
        <v>431</v>
      </c>
      <c r="G216" t="str">
        <f t="shared" si="32"/>
        <v>104.6112</v>
      </c>
      <c r="H216" s="1" t="str">
        <f>MID(A216,17,7)</f>
        <v>17.0392</v>
      </c>
      <c r="J216" t="str">
        <f t="shared" si="28"/>
        <v>RT205</v>
      </c>
      <c r="K216" t="str">
        <f t="shared" si="29"/>
        <v>SG</v>
      </c>
      <c r="L216" t="str">
        <f t="shared" si="30"/>
        <v>2031</v>
      </c>
      <c r="M216" t="str">
        <f t="shared" si="31"/>
        <v>0100</v>
      </c>
      <c r="N216" t="str">
        <f t="shared" ref="N216:N269" si="34">MID(B216,20,6)</f>
        <v>13+945</v>
      </c>
    </row>
    <row r="217" spans="1:14" x14ac:dyDescent="0.2">
      <c r="A217" t="s">
        <v>432</v>
      </c>
      <c r="B217" t="s">
        <v>433</v>
      </c>
      <c r="G217" t="str">
        <f t="shared" si="32"/>
        <v>104.6109</v>
      </c>
      <c r="H217" s="1" t="str">
        <f>MID(A217,18,7)</f>
        <v>17.0390</v>
      </c>
      <c r="J217" t="str">
        <f t="shared" si="28"/>
        <v>RT206</v>
      </c>
      <c r="K217" t="str">
        <f t="shared" si="29"/>
        <v>SG</v>
      </c>
      <c r="L217" t="str">
        <f t="shared" si="30"/>
        <v>2031</v>
      </c>
      <c r="M217" t="str">
        <f t="shared" si="31"/>
        <v>0100</v>
      </c>
      <c r="N217" t="str">
        <f t="shared" si="34"/>
        <v>13+998</v>
      </c>
    </row>
    <row r="218" spans="1:14" x14ac:dyDescent="0.2">
      <c r="A218" t="s">
        <v>434</v>
      </c>
      <c r="B218" t="s">
        <v>435</v>
      </c>
      <c r="G218" t="str">
        <f t="shared" si="32"/>
        <v>104.6106</v>
      </c>
      <c r="H218" s="1" t="str">
        <f t="shared" si="33"/>
        <v xml:space="preserve"> 17.0387</v>
      </c>
      <c r="J218" t="str">
        <f t="shared" si="28"/>
        <v>RT207</v>
      </c>
      <c r="K218" t="str">
        <f t="shared" si="29"/>
        <v>SG</v>
      </c>
      <c r="L218" t="str">
        <f t="shared" si="30"/>
        <v>2031</v>
      </c>
      <c r="M218" t="str">
        <f t="shared" si="31"/>
        <v>0100</v>
      </c>
      <c r="N218" t="str">
        <f t="shared" si="34"/>
        <v>14+040</v>
      </c>
    </row>
    <row r="219" spans="1:14" x14ac:dyDescent="0.2">
      <c r="A219" t="s">
        <v>436</v>
      </c>
      <c r="B219" t="s">
        <v>437</v>
      </c>
      <c r="G219" t="str">
        <f t="shared" si="32"/>
        <v>104.6103</v>
      </c>
      <c r="H219" s="1" t="str">
        <f t="shared" si="33"/>
        <v xml:space="preserve"> 17.0385</v>
      </c>
      <c r="J219" t="str">
        <f t="shared" si="28"/>
        <v>RT208</v>
      </c>
      <c r="K219" t="str">
        <f t="shared" si="29"/>
        <v>SG</v>
      </c>
      <c r="L219" t="str">
        <f t="shared" si="30"/>
        <v>2031</v>
      </c>
      <c r="M219" t="str">
        <f t="shared" si="31"/>
        <v>0100</v>
      </c>
      <c r="N219" t="str">
        <f t="shared" si="34"/>
        <v>14+080</v>
      </c>
    </row>
    <row r="220" spans="1:14" x14ac:dyDescent="0.2">
      <c r="A220" t="s">
        <v>438</v>
      </c>
      <c r="B220" t="s">
        <v>439</v>
      </c>
      <c r="G220" t="str">
        <f t="shared" si="32"/>
        <v>104.5985</v>
      </c>
      <c r="H220" s="1" t="str">
        <f t="shared" si="33"/>
        <v xml:space="preserve"> 17.0300</v>
      </c>
      <c r="J220" t="str">
        <f t="shared" si="28"/>
        <v>RT208</v>
      </c>
      <c r="K220" t="str">
        <f t="shared" si="29"/>
        <v>SG</v>
      </c>
      <c r="L220" t="str">
        <f t="shared" si="30"/>
        <v>2031</v>
      </c>
      <c r="M220" t="str">
        <f t="shared" si="31"/>
        <v>0100</v>
      </c>
      <c r="N220" t="str">
        <f t="shared" si="34"/>
        <v>15+650</v>
      </c>
    </row>
    <row r="221" spans="1:14" x14ac:dyDescent="0.2">
      <c r="A221" t="s">
        <v>440</v>
      </c>
      <c r="B221" t="s">
        <v>441</v>
      </c>
      <c r="G221" t="str">
        <f t="shared" si="32"/>
        <v>104.5982</v>
      </c>
      <c r="H221" s="1" t="str">
        <f t="shared" si="33"/>
        <v xml:space="preserve"> 17.0298</v>
      </c>
      <c r="J221" t="str">
        <f t="shared" si="28"/>
        <v>RT209</v>
      </c>
      <c r="K221" t="str">
        <f t="shared" si="29"/>
        <v>SG</v>
      </c>
      <c r="L221" t="str">
        <f t="shared" si="30"/>
        <v>2031</v>
      </c>
      <c r="M221" t="str">
        <f t="shared" si="31"/>
        <v>0100</v>
      </c>
      <c r="N221" t="str">
        <f t="shared" si="34"/>
        <v>15+690</v>
      </c>
    </row>
    <row r="222" spans="1:14" x14ac:dyDescent="0.2">
      <c r="A222" t="s">
        <v>442</v>
      </c>
      <c r="B222" t="s">
        <v>443</v>
      </c>
      <c r="G222" t="str">
        <f t="shared" si="32"/>
        <v>104.5979</v>
      </c>
      <c r="H222" s="1" t="str">
        <f t="shared" si="33"/>
        <v xml:space="preserve"> 17.0295</v>
      </c>
      <c r="J222" t="str">
        <f t="shared" si="28"/>
        <v>RT210</v>
      </c>
      <c r="K222" t="str">
        <f t="shared" si="29"/>
        <v>SG</v>
      </c>
      <c r="L222" t="str">
        <f t="shared" si="30"/>
        <v>2031</v>
      </c>
      <c r="M222" t="str">
        <f t="shared" si="31"/>
        <v>0100</v>
      </c>
      <c r="N222" t="str">
        <f t="shared" si="34"/>
        <v>15+730</v>
      </c>
    </row>
    <row r="223" spans="1:14" x14ac:dyDescent="0.2">
      <c r="A223" t="s">
        <v>444</v>
      </c>
      <c r="B223" t="s">
        <v>445</v>
      </c>
      <c r="G223" t="str">
        <f t="shared" si="32"/>
        <v>104.5977</v>
      </c>
      <c r="H223" s="1" t="str">
        <f t="shared" si="33"/>
        <v xml:space="preserve"> 17.0293</v>
      </c>
      <c r="J223" t="str">
        <f t="shared" si="28"/>
        <v>RT211</v>
      </c>
      <c r="K223" t="str">
        <f t="shared" si="29"/>
        <v>SG</v>
      </c>
      <c r="L223" t="str">
        <f t="shared" si="30"/>
        <v>2031</v>
      </c>
      <c r="M223" t="str">
        <f t="shared" si="31"/>
        <v>0100</v>
      </c>
      <c r="N223" t="str">
        <f t="shared" si="34"/>
        <v>15+770</v>
      </c>
    </row>
    <row r="224" spans="1:14" x14ac:dyDescent="0.2">
      <c r="A224" t="s">
        <v>446</v>
      </c>
      <c r="B224" t="s">
        <v>447</v>
      </c>
      <c r="G224" t="str">
        <f t="shared" si="32"/>
        <v>104.5975</v>
      </c>
      <c r="H224" s="1" t="str">
        <f t="shared" si="33"/>
        <v xml:space="preserve"> 17.0290</v>
      </c>
      <c r="J224" t="str">
        <f t="shared" si="28"/>
        <v>RT212</v>
      </c>
      <c r="K224" t="str">
        <f t="shared" si="29"/>
        <v>SG</v>
      </c>
      <c r="L224" t="str">
        <f t="shared" si="30"/>
        <v>2031</v>
      </c>
      <c r="M224" t="str">
        <f t="shared" si="31"/>
        <v>0100</v>
      </c>
      <c r="N224" t="str">
        <f t="shared" si="34"/>
        <v>15+810</v>
      </c>
    </row>
    <row r="225" spans="1:14" x14ac:dyDescent="0.2">
      <c r="A225" t="s">
        <v>448</v>
      </c>
      <c r="B225" t="s">
        <v>449</v>
      </c>
      <c r="G225" t="str">
        <f t="shared" si="32"/>
        <v>104.5973</v>
      </c>
      <c r="H225" s="1" t="str">
        <f t="shared" si="33"/>
        <v xml:space="preserve"> 17.0286</v>
      </c>
      <c r="J225" t="str">
        <f t="shared" si="28"/>
        <v>RT213</v>
      </c>
      <c r="K225" t="str">
        <f t="shared" si="29"/>
        <v>SG</v>
      </c>
      <c r="L225" t="str">
        <f t="shared" si="30"/>
        <v>2031</v>
      </c>
      <c r="M225" t="str">
        <f t="shared" si="31"/>
        <v>0100</v>
      </c>
      <c r="N225" t="str">
        <f t="shared" si="34"/>
        <v>15+850</v>
      </c>
    </row>
    <row r="226" spans="1:14" x14ac:dyDescent="0.2">
      <c r="A226" t="s">
        <v>450</v>
      </c>
      <c r="B226" t="s">
        <v>451</v>
      </c>
      <c r="G226" t="str">
        <f t="shared" si="32"/>
        <v>104.5972</v>
      </c>
      <c r="H226" s="1" t="str">
        <f t="shared" si="33"/>
        <v xml:space="preserve"> 17.0283</v>
      </c>
      <c r="J226" t="str">
        <f t="shared" si="28"/>
        <v>RT214</v>
      </c>
      <c r="K226" t="str">
        <f t="shared" si="29"/>
        <v>SG</v>
      </c>
      <c r="L226" t="str">
        <f t="shared" si="30"/>
        <v>2031</v>
      </c>
      <c r="M226" t="str">
        <f t="shared" si="31"/>
        <v>0100</v>
      </c>
      <c r="N226" t="str">
        <f t="shared" si="34"/>
        <v>15+890</v>
      </c>
    </row>
    <row r="227" spans="1:14" x14ac:dyDescent="0.2">
      <c r="A227" t="s">
        <v>452</v>
      </c>
      <c r="B227" t="s">
        <v>453</v>
      </c>
      <c r="G227" t="str">
        <f t="shared" si="32"/>
        <v>104.5971</v>
      </c>
      <c r="H227" s="1" t="str">
        <f>MID(A227,18,7)</f>
        <v>17.0279</v>
      </c>
      <c r="J227" t="str">
        <f t="shared" ref="J227:J269" si="35">MID(B227,1,5)</f>
        <v>RT215</v>
      </c>
      <c r="K227" t="str">
        <f t="shared" ref="K227:K269" si="36">MID(B227,7,2)</f>
        <v>SG</v>
      </c>
      <c r="L227" t="str">
        <f t="shared" ref="L227:L269" si="37">MID(B227,10,4)</f>
        <v>2031</v>
      </c>
      <c r="M227" t="str">
        <f t="shared" ref="M227:M269" si="38">MID(B227,15,4)</f>
        <v>0100</v>
      </c>
      <c r="N227" t="str">
        <f t="shared" si="34"/>
        <v>15+930</v>
      </c>
    </row>
    <row r="228" spans="1:14" x14ac:dyDescent="0.2">
      <c r="A228" t="s">
        <v>454</v>
      </c>
      <c r="B228" t="s">
        <v>453</v>
      </c>
      <c r="G228" t="str">
        <f t="shared" si="32"/>
        <v>104.5970</v>
      </c>
      <c r="H228" s="1" t="str">
        <f t="shared" si="33"/>
        <v xml:space="preserve"> 17.0276</v>
      </c>
      <c r="J228" t="str">
        <f t="shared" si="35"/>
        <v>RT215</v>
      </c>
      <c r="K228" t="str">
        <f t="shared" si="36"/>
        <v>SG</v>
      </c>
      <c r="L228" t="str">
        <f t="shared" si="37"/>
        <v>2031</v>
      </c>
      <c r="M228" t="str">
        <f t="shared" si="38"/>
        <v>0100</v>
      </c>
      <c r="N228" t="str">
        <f t="shared" si="34"/>
        <v>15+930</v>
      </c>
    </row>
    <row r="229" spans="1:14" x14ac:dyDescent="0.2">
      <c r="A229" t="s">
        <v>455</v>
      </c>
      <c r="B229" t="s">
        <v>456</v>
      </c>
      <c r="G229" t="str">
        <f t="shared" si="32"/>
        <v>104.5969</v>
      </c>
      <c r="H229" s="1" t="str">
        <f t="shared" si="33"/>
        <v xml:space="preserve"> 17.0273</v>
      </c>
      <c r="J229" t="str">
        <f t="shared" si="35"/>
        <v>RT216</v>
      </c>
      <c r="K229" t="str">
        <f t="shared" si="36"/>
        <v>SG</v>
      </c>
      <c r="L229" t="str">
        <f t="shared" si="37"/>
        <v>2031</v>
      </c>
      <c r="M229" t="str">
        <f t="shared" si="38"/>
        <v>0100</v>
      </c>
      <c r="N229" t="str">
        <f t="shared" si="34"/>
        <v>15+970</v>
      </c>
    </row>
    <row r="230" spans="1:14" x14ac:dyDescent="0.2">
      <c r="A230" t="s">
        <v>457</v>
      </c>
      <c r="B230" t="s">
        <v>458</v>
      </c>
      <c r="G230" t="str">
        <f t="shared" si="32"/>
        <v>104.5793</v>
      </c>
      <c r="H230" s="1" t="str">
        <f t="shared" si="33"/>
        <v xml:space="preserve"> 17.0130</v>
      </c>
      <c r="J230" t="str">
        <f t="shared" si="35"/>
        <v>RT217</v>
      </c>
      <c r="K230" t="str">
        <f t="shared" si="36"/>
        <v>SG</v>
      </c>
      <c r="L230" t="str">
        <f t="shared" si="37"/>
        <v>2031</v>
      </c>
      <c r="M230" t="str">
        <f t="shared" si="38"/>
        <v>0100</v>
      </c>
      <c r="N230" t="str">
        <f t="shared" si="34"/>
        <v>18+620</v>
      </c>
    </row>
    <row r="231" spans="1:14" x14ac:dyDescent="0.2">
      <c r="A231" t="s">
        <v>459</v>
      </c>
      <c r="B231" t="s">
        <v>460</v>
      </c>
      <c r="G231" t="str">
        <f t="shared" si="32"/>
        <v>104.5788</v>
      </c>
      <c r="H231" s="1" t="str">
        <f t="shared" si="33"/>
        <v xml:space="preserve"> 17.0129</v>
      </c>
      <c r="J231" t="str">
        <f t="shared" si="35"/>
        <v>RT218</v>
      </c>
      <c r="K231" t="str">
        <f t="shared" si="36"/>
        <v>SG</v>
      </c>
      <c r="L231" t="str">
        <f t="shared" si="37"/>
        <v>2031</v>
      </c>
      <c r="M231" t="str">
        <f t="shared" si="38"/>
        <v>0100</v>
      </c>
      <c r="N231" t="str">
        <f t="shared" si="34"/>
        <v>18+665</v>
      </c>
    </row>
    <row r="232" spans="1:14" x14ac:dyDescent="0.2">
      <c r="A232" t="s">
        <v>461</v>
      </c>
      <c r="B232" t="s">
        <v>462</v>
      </c>
      <c r="G232" t="str">
        <f t="shared" si="32"/>
        <v>104.5784</v>
      </c>
      <c r="H232" s="1" t="str">
        <f t="shared" si="33"/>
        <v xml:space="preserve"> 17.0129</v>
      </c>
      <c r="J232" t="str">
        <f t="shared" si="35"/>
        <v>RT219</v>
      </c>
      <c r="K232" t="str">
        <f t="shared" si="36"/>
        <v>SG</v>
      </c>
      <c r="L232" t="str">
        <f t="shared" si="37"/>
        <v>2031</v>
      </c>
      <c r="M232" t="str">
        <f t="shared" si="38"/>
        <v>0100</v>
      </c>
      <c r="N232" t="str">
        <f t="shared" si="34"/>
        <v>18+710</v>
      </c>
    </row>
    <row r="233" spans="1:14" x14ac:dyDescent="0.2">
      <c r="A233" t="s">
        <v>463</v>
      </c>
      <c r="B233" t="s">
        <v>464</v>
      </c>
      <c r="G233" t="str">
        <f t="shared" si="32"/>
        <v>104.5780</v>
      </c>
      <c r="H233" s="1" t="str">
        <f t="shared" si="33"/>
        <v xml:space="preserve"> 17.0129</v>
      </c>
      <c r="J233" t="str">
        <f t="shared" si="35"/>
        <v>RT220</v>
      </c>
      <c r="K233" t="str">
        <f t="shared" si="36"/>
        <v>SG</v>
      </c>
      <c r="L233" t="str">
        <f t="shared" si="37"/>
        <v>2031</v>
      </c>
      <c r="M233" t="str">
        <f t="shared" si="38"/>
        <v>0100</v>
      </c>
      <c r="N233" t="str">
        <f t="shared" si="34"/>
        <v>18+755</v>
      </c>
    </row>
    <row r="234" spans="1:14" x14ac:dyDescent="0.2">
      <c r="A234" t="s">
        <v>465</v>
      </c>
      <c r="B234" t="s">
        <v>466</v>
      </c>
      <c r="G234" t="str">
        <f t="shared" si="32"/>
        <v>104.5776</v>
      </c>
      <c r="H234" s="1" t="str">
        <f t="shared" si="33"/>
        <v xml:space="preserve"> 17.0129</v>
      </c>
      <c r="J234" t="str">
        <f t="shared" si="35"/>
        <v>RT221</v>
      </c>
      <c r="K234" t="str">
        <f t="shared" si="36"/>
        <v>SG</v>
      </c>
      <c r="L234" t="str">
        <f t="shared" si="37"/>
        <v>2031</v>
      </c>
      <c r="M234" t="str">
        <f t="shared" si="38"/>
        <v>0100</v>
      </c>
      <c r="N234" t="str">
        <f t="shared" si="34"/>
        <v>18+800</v>
      </c>
    </row>
    <row r="235" spans="1:14" x14ac:dyDescent="0.2">
      <c r="A235" t="s">
        <v>467</v>
      </c>
      <c r="B235" t="s">
        <v>468</v>
      </c>
      <c r="G235" t="str">
        <f t="shared" si="32"/>
        <v>104.5772</v>
      </c>
      <c r="H235" s="1" t="str">
        <f>MID(A235,17,7)</f>
        <v>17.0129</v>
      </c>
      <c r="J235" t="str">
        <f t="shared" si="35"/>
        <v>RT222</v>
      </c>
      <c r="K235" t="str">
        <f t="shared" si="36"/>
        <v>SG</v>
      </c>
      <c r="L235" t="str">
        <f t="shared" si="37"/>
        <v>2031</v>
      </c>
      <c r="M235" t="str">
        <f t="shared" si="38"/>
        <v>0100</v>
      </c>
      <c r="N235" t="str">
        <f t="shared" si="34"/>
        <v>18+845</v>
      </c>
    </row>
    <row r="236" spans="1:14" x14ac:dyDescent="0.2">
      <c r="A236" t="s">
        <v>469</v>
      </c>
      <c r="B236" t="s">
        <v>470</v>
      </c>
      <c r="G236" t="str">
        <f t="shared" si="32"/>
        <v>104.5767</v>
      </c>
      <c r="H236" s="1" t="str">
        <f t="shared" si="33"/>
        <v xml:space="preserve"> 17.0129</v>
      </c>
      <c r="J236" t="str">
        <f t="shared" si="35"/>
        <v>RT222</v>
      </c>
      <c r="K236" t="str">
        <f t="shared" si="36"/>
        <v>SG</v>
      </c>
      <c r="L236" t="str">
        <f t="shared" si="37"/>
        <v>2031</v>
      </c>
      <c r="M236" t="str">
        <f t="shared" si="38"/>
        <v>0100</v>
      </c>
      <c r="N236" t="str">
        <f t="shared" si="34"/>
        <v>18+890</v>
      </c>
    </row>
    <row r="237" spans="1:14" x14ac:dyDescent="0.2">
      <c r="A237" t="s">
        <v>471</v>
      </c>
      <c r="B237" t="s">
        <v>472</v>
      </c>
      <c r="G237" t="str">
        <f t="shared" si="32"/>
        <v>104.5763</v>
      </c>
      <c r="H237" s="1" t="str">
        <f>MID(A237,18,7)</f>
        <v>17.0129</v>
      </c>
      <c r="J237" t="str">
        <f t="shared" si="35"/>
        <v>RT223</v>
      </c>
      <c r="K237" t="str">
        <f t="shared" si="36"/>
        <v>SG</v>
      </c>
      <c r="L237" t="str">
        <f t="shared" si="37"/>
        <v>2031</v>
      </c>
      <c r="M237" t="str">
        <f t="shared" si="38"/>
        <v>0100</v>
      </c>
      <c r="N237" t="str">
        <f t="shared" si="34"/>
        <v>18+935</v>
      </c>
    </row>
    <row r="238" spans="1:14" x14ac:dyDescent="0.2">
      <c r="A238" t="s">
        <v>473</v>
      </c>
      <c r="B238" t="s">
        <v>474</v>
      </c>
      <c r="G238" t="str">
        <f t="shared" si="32"/>
        <v>104.5759</v>
      </c>
      <c r="H238" s="1" t="str">
        <f t="shared" si="33"/>
        <v xml:space="preserve"> 17.0129</v>
      </c>
      <c r="J238" t="str">
        <f t="shared" si="35"/>
        <v>RT224</v>
      </c>
      <c r="K238" t="str">
        <f t="shared" si="36"/>
        <v>SG</v>
      </c>
      <c r="L238" t="str">
        <f t="shared" si="37"/>
        <v>2031</v>
      </c>
      <c r="M238" t="str">
        <f t="shared" si="38"/>
        <v>0100</v>
      </c>
      <c r="N238" t="str">
        <f t="shared" si="34"/>
        <v>18+980</v>
      </c>
    </row>
    <row r="239" spans="1:14" x14ac:dyDescent="0.2">
      <c r="A239" t="s">
        <v>475</v>
      </c>
      <c r="B239" t="s">
        <v>476</v>
      </c>
      <c r="G239" t="str">
        <f t="shared" si="32"/>
        <v>104.5755</v>
      </c>
      <c r="H239" s="1" t="str">
        <f t="shared" si="33"/>
        <v xml:space="preserve"> 17.0128</v>
      </c>
      <c r="J239" t="str">
        <f t="shared" si="35"/>
        <v>RT225</v>
      </c>
      <c r="K239" t="str">
        <f t="shared" si="36"/>
        <v>SG</v>
      </c>
      <c r="L239" t="str">
        <f t="shared" si="37"/>
        <v>2031</v>
      </c>
      <c r="M239" t="str">
        <f t="shared" si="38"/>
        <v>0100</v>
      </c>
      <c r="N239" t="str">
        <f t="shared" si="34"/>
        <v>19+035</v>
      </c>
    </row>
    <row r="240" spans="1:14" x14ac:dyDescent="0.2">
      <c r="A240" t="s">
        <v>477</v>
      </c>
      <c r="B240" t="s">
        <v>478</v>
      </c>
      <c r="G240" t="str">
        <f t="shared" si="32"/>
        <v>104.5750</v>
      </c>
      <c r="H240" s="1" t="str">
        <f t="shared" si="33"/>
        <v xml:space="preserve"> 17.0128</v>
      </c>
      <c r="J240" t="str">
        <f t="shared" si="35"/>
        <v>RT226</v>
      </c>
      <c r="K240" t="str">
        <f t="shared" si="36"/>
        <v>SG</v>
      </c>
      <c r="L240" t="str">
        <f t="shared" si="37"/>
        <v>2031</v>
      </c>
      <c r="M240" t="str">
        <f t="shared" si="38"/>
        <v>0100</v>
      </c>
      <c r="N240" t="str">
        <f t="shared" si="34"/>
        <v>19+080</v>
      </c>
    </row>
    <row r="241" spans="1:14" x14ac:dyDescent="0.2">
      <c r="A241" t="s">
        <v>479</v>
      </c>
      <c r="B241" t="s">
        <v>480</v>
      </c>
      <c r="G241" t="str">
        <f t="shared" si="32"/>
        <v>104.5746</v>
      </c>
      <c r="H241" s="1" t="str">
        <f t="shared" si="33"/>
        <v xml:space="preserve"> 17.0128</v>
      </c>
      <c r="J241" t="str">
        <f t="shared" si="35"/>
        <v>RT227</v>
      </c>
      <c r="K241" t="str">
        <f t="shared" si="36"/>
        <v>SG</v>
      </c>
      <c r="L241" t="str">
        <f t="shared" si="37"/>
        <v>2031</v>
      </c>
      <c r="M241" t="str">
        <f t="shared" si="38"/>
        <v>0100</v>
      </c>
      <c r="N241" t="str">
        <f t="shared" si="34"/>
        <v>19+125</v>
      </c>
    </row>
    <row r="242" spans="1:14" x14ac:dyDescent="0.2">
      <c r="A242" t="s">
        <v>481</v>
      </c>
      <c r="B242" t="s">
        <v>482</v>
      </c>
      <c r="G242" t="str">
        <f t="shared" si="32"/>
        <v>104.5742</v>
      </c>
      <c r="H242" s="1" t="str">
        <f t="shared" si="33"/>
        <v xml:space="preserve"> 17.0128</v>
      </c>
      <c r="J242" t="str">
        <f t="shared" si="35"/>
        <v>RT228</v>
      </c>
      <c r="K242" t="str">
        <f t="shared" si="36"/>
        <v>SG</v>
      </c>
      <c r="L242" t="str">
        <f t="shared" si="37"/>
        <v>2031</v>
      </c>
      <c r="M242" t="str">
        <f t="shared" si="38"/>
        <v>0100</v>
      </c>
      <c r="N242" t="str">
        <f t="shared" si="34"/>
        <v>19+170</v>
      </c>
    </row>
    <row r="243" spans="1:14" x14ac:dyDescent="0.2">
      <c r="A243" t="s">
        <v>483</v>
      </c>
      <c r="B243" t="s">
        <v>484</v>
      </c>
      <c r="G243" t="str">
        <f t="shared" si="32"/>
        <v>104.5735</v>
      </c>
      <c r="H243" s="1" t="str">
        <f t="shared" si="33"/>
        <v xml:space="preserve"> 17.0127</v>
      </c>
      <c r="J243" t="str">
        <f t="shared" si="35"/>
        <v>RT229</v>
      </c>
      <c r="K243" t="str">
        <f t="shared" si="36"/>
        <v>SG</v>
      </c>
      <c r="L243" t="str">
        <f t="shared" si="37"/>
        <v>2031</v>
      </c>
      <c r="M243" t="str">
        <f t="shared" si="38"/>
        <v>0100</v>
      </c>
      <c r="N243" t="str">
        <f t="shared" si="34"/>
        <v>19+240</v>
      </c>
    </row>
    <row r="244" spans="1:14" x14ac:dyDescent="0.2">
      <c r="A244" t="s">
        <v>485</v>
      </c>
      <c r="B244" t="s">
        <v>486</v>
      </c>
      <c r="G244" t="str">
        <f t="shared" si="32"/>
        <v>104.5732</v>
      </c>
      <c r="H244" s="1" t="str">
        <f t="shared" si="33"/>
        <v xml:space="preserve"> 17.0127</v>
      </c>
      <c r="J244" t="str">
        <f t="shared" si="35"/>
        <v>RT230</v>
      </c>
      <c r="K244" t="str">
        <f t="shared" si="36"/>
        <v>SG</v>
      </c>
      <c r="L244" t="str">
        <f t="shared" si="37"/>
        <v>2031</v>
      </c>
      <c r="M244" t="str">
        <f t="shared" si="38"/>
        <v>0100</v>
      </c>
      <c r="N244" t="str">
        <f t="shared" si="34"/>
        <v>19+280</v>
      </c>
    </row>
    <row r="245" spans="1:14" x14ac:dyDescent="0.2">
      <c r="A245" t="s">
        <v>487</v>
      </c>
      <c r="B245" t="s">
        <v>488</v>
      </c>
      <c r="G245" t="str">
        <f t="shared" si="32"/>
        <v>104.5728</v>
      </c>
      <c r="H245" s="1" t="str">
        <f t="shared" si="33"/>
        <v xml:space="preserve"> 17.0127</v>
      </c>
      <c r="J245" t="str">
        <f t="shared" si="35"/>
        <v>RT231</v>
      </c>
      <c r="K245" t="str">
        <f t="shared" si="36"/>
        <v>SG</v>
      </c>
      <c r="L245" t="str">
        <f t="shared" si="37"/>
        <v>2031</v>
      </c>
      <c r="M245" t="str">
        <f t="shared" si="38"/>
        <v>0100</v>
      </c>
      <c r="N245" t="str">
        <f t="shared" si="34"/>
        <v>19+320</v>
      </c>
    </row>
    <row r="246" spans="1:14" x14ac:dyDescent="0.2">
      <c r="A246" t="s">
        <v>489</v>
      </c>
      <c r="B246" t="s">
        <v>490</v>
      </c>
      <c r="G246" t="str">
        <f t="shared" si="32"/>
        <v>104.5724</v>
      </c>
      <c r="H246" s="1" t="str">
        <f t="shared" si="33"/>
        <v xml:space="preserve"> 17.0127</v>
      </c>
      <c r="J246" t="str">
        <f t="shared" si="35"/>
        <v>RT232</v>
      </c>
      <c r="K246" t="str">
        <f t="shared" si="36"/>
        <v>SG</v>
      </c>
      <c r="L246" t="str">
        <f t="shared" si="37"/>
        <v>2031</v>
      </c>
      <c r="M246" t="str">
        <f t="shared" si="38"/>
        <v>0100</v>
      </c>
      <c r="N246" t="str">
        <f t="shared" si="34"/>
        <v>19+360</v>
      </c>
    </row>
    <row r="247" spans="1:14" x14ac:dyDescent="0.2">
      <c r="A247" t="s">
        <v>491</v>
      </c>
      <c r="B247" t="s">
        <v>492</v>
      </c>
      <c r="G247" t="str">
        <f t="shared" si="32"/>
        <v>104.5721</v>
      </c>
      <c r="H247" s="1" t="str">
        <f t="shared" si="33"/>
        <v xml:space="preserve"> 17.0127</v>
      </c>
      <c r="J247" t="str">
        <f t="shared" si="35"/>
        <v>RT233</v>
      </c>
      <c r="K247" t="str">
        <f t="shared" si="36"/>
        <v>SG</v>
      </c>
      <c r="L247" t="str">
        <f t="shared" si="37"/>
        <v>2031</v>
      </c>
      <c r="M247" t="str">
        <f t="shared" si="38"/>
        <v>0100</v>
      </c>
      <c r="N247" t="str">
        <f t="shared" si="34"/>
        <v>19+400</v>
      </c>
    </row>
    <row r="248" spans="1:14" x14ac:dyDescent="0.2">
      <c r="A248" t="s">
        <v>493</v>
      </c>
      <c r="B248" t="s">
        <v>494</v>
      </c>
      <c r="G248" t="str">
        <f t="shared" si="32"/>
        <v>104.5717</v>
      </c>
      <c r="H248" s="1" t="str">
        <f t="shared" si="33"/>
        <v xml:space="preserve"> 17.0127</v>
      </c>
      <c r="J248" t="str">
        <f t="shared" si="35"/>
        <v>RT234</v>
      </c>
      <c r="K248" t="str">
        <f t="shared" si="36"/>
        <v>SG</v>
      </c>
      <c r="L248" t="str">
        <f t="shared" si="37"/>
        <v>2031</v>
      </c>
      <c r="M248" t="str">
        <f t="shared" si="38"/>
        <v>0100</v>
      </c>
      <c r="N248" t="str">
        <f t="shared" si="34"/>
        <v>19+440</v>
      </c>
    </row>
    <row r="249" spans="1:14" x14ac:dyDescent="0.2">
      <c r="A249" t="s">
        <v>495</v>
      </c>
      <c r="B249" t="s">
        <v>496</v>
      </c>
      <c r="G249" t="str">
        <f t="shared" si="32"/>
        <v>104.5714</v>
      </c>
      <c r="H249" s="1" t="str">
        <f t="shared" si="33"/>
        <v xml:space="preserve"> 17.0126</v>
      </c>
      <c r="J249" t="str">
        <f t="shared" si="35"/>
        <v>RT235</v>
      </c>
      <c r="K249" t="str">
        <f t="shared" si="36"/>
        <v>SG</v>
      </c>
      <c r="L249" t="str">
        <f t="shared" si="37"/>
        <v>2031</v>
      </c>
      <c r="M249" t="str">
        <f t="shared" si="38"/>
        <v>0100</v>
      </c>
      <c r="N249" t="str">
        <f t="shared" si="34"/>
        <v>19+480</v>
      </c>
    </row>
    <row r="250" spans="1:14" x14ac:dyDescent="0.2">
      <c r="A250" t="s">
        <v>497</v>
      </c>
      <c r="B250" t="s">
        <v>498</v>
      </c>
      <c r="G250" t="str">
        <f t="shared" si="32"/>
        <v>104.5710</v>
      </c>
      <c r="H250" s="1" t="str">
        <f t="shared" si="33"/>
        <v xml:space="preserve"> 17.0126</v>
      </c>
      <c r="J250" t="str">
        <f t="shared" si="35"/>
        <v>RT236</v>
      </c>
      <c r="K250" t="str">
        <f t="shared" si="36"/>
        <v>SG</v>
      </c>
      <c r="L250" t="str">
        <f t="shared" si="37"/>
        <v>2031</v>
      </c>
      <c r="M250" t="str">
        <f t="shared" si="38"/>
        <v>0100</v>
      </c>
      <c r="N250" t="str">
        <f t="shared" si="34"/>
        <v>19+520</v>
      </c>
    </row>
    <row r="251" spans="1:14" x14ac:dyDescent="0.2">
      <c r="A251" t="s">
        <v>499</v>
      </c>
      <c r="B251" t="s">
        <v>500</v>
      </c>
      <c r="G251" t="str">
        <f t="shared" si="32"/>
        <v>104.5707</v>
      </c>
      <c r="H251" s="1" t="str">
        <f t="shared" si="33"/>
        <v xml:space="preserve"> 17.0126</v>
      </c>
      <c r="J251" t="str">
        <f t="shared" si="35"/>
        <v>RT237</v>
      </c>
      <c r="K251" t="str">
        <f t="shared" si="36"/>
        <v>SG</v>
      </c>
      <c r="L251" t="str">
        <f t="shared" si="37"/>
        <v>2031</v>
      </c>
      <c r="M251" t="str">
        <f t="shared" si="38"/>
        <v>0100</v>
      </c>
      <c r="N251" t="str">
        <f t="shared" si="34"/>
        <v>19+560</v>
      </c>
    </row>
    <row r="252" spans="1:14" x14ac:dyDescent="0.2">
      <c r="A252" t="s">
        <v>501</v>
      </c>
      <c r="B252" t="s">
        <v>502</v>
      </c>
      <c r="G252" t="str">
        <f t="shared" si="32"/>
        <v>104.5703</v>
      </c>
      <c r="H252" s="1" t="str">
        <f t="shared" si="33"/>
        <v xml:space="preserve"> 17.0126</v>
      </c>
      <c r="J252" t="str">
        <f t="shared" si="35"/>
        <v>RT238</v>
      </c>
      <c r="K252" t="str">
        <f t="shared" si="36"/>
        <v>SG</v>
      </c>
      <c r="L252" t="str">
        <f t="shared" si="37"/>
        <v>2031</v>
      </c>
      <c r="M252" t="str">
        <f t="shared" si="38"/>
        <v>0100</v>
      </c>
      <c r="N252" t="str">
        <f t="shared" si="34"/>
        <v>19+600</v>
      </c>
    </row>
    <row r="253" spans="1:14" x14ac:dyDescent="0.2">
      <c r="A253" t="s">
        <v>503</v>
      </c>
      <c r="B253" t="s">
        <v>504</v>
      </c>
      <c r="G253" t="str">
        <f t="shared" ref="G253:G269" si="39">MID(A253,8,8)</f>
        <v>104.5700</v>
      </c>
      <c r="H253" s="1" t="str">
        <f t="shared" ref="H253:H269" si="40">MID(A253,18,8)</f>
        <v xml:space="preserve"> 17.0127</v>
      </c>
      <c r="J253" t="str">
        <f t="shared" si="35"/>
        <v>RT239</v>
      </c>
      <c r="K253" t="str">
        <f t="shared" si="36"/>
        <v>SG</v>
      </c>
      <c r="L253" t="str">
        <f t="shared" si="37"/>
        <v>2031</v>
      </c>
      <c r="M253" t="str">
        <f t="shared" si="38"/>
        <v>0100</v>
      </c>
      <c r="N253" t="str">
        <f t="shared" si="34"/>
        <v>19+640</v>
      </c>
    </row>
    <row r="254" spans="1:14" x14ac:dyDescent="0.2">
      <c r="A254" t="s">
        <v>505</v>
      </c>
      <c r="B254" t="s">
        <v>506</v>
      </c>
      <c r="G254" t="str">
        <f t="shared" si="39"/>
        <v>104.5697</v>
      </c>
      <c r="H254" s="1" t="str">
        <f t="shared" si="40"/>
        <v xml:space="preserve"> 17.0127</v>
      </c>
      <c r="J254" t="str">
        <f t="shared" si="35"/>
        <v>RT240</v>
      </c>
      <c r="K254" t="str">
        <f t="shared" si="36"/>
        <v>SG</v>
      </c>
      <c r="L254" t="str">
        <f t="shared" si="37"/>
        <v>2031</v>
      </c>
      <c r="M254" t="str">
        <f t="shared" si="38"/>
        <v>0100</v>
      </c>
      <c r="N254" t="str">
        <f t="shared" si="34"/>
        <v>19+680</v>
      </c>
    </row>
    <row r="255" spans="1:14" x14ac:dyDescent="0.2">
      <c r="A255" t="s">
        <v>507</v>
      </c>
      <c r="B255" t="s">
        <v>508</v>
      </c>
      <c r="G255" t="str">
        <f t="shared" si="39"/>
        <v>104.5659</v>
      </c>
      <c r="H255" s="1" t="str">
        <f t="shared" si="40"/>
        <v xml:space="preserve"> 17.0135</v>
      </c>
      <c r="J255" t="str">
        <f t="shared" si="35"/>
        <v>RT241</v>
      </c>
      <c r="K255" t="str">
        <f t="shared" si="36"/>
        <v>SG</v>
      </c>
      <c r="L255" t="str">
        <f t="shared" si="37"/>
        <v>2031</v>
      </c>
      <c r="M255" t="str">
        <f t="shared" si="38"/>
        <v>0100</v>
      </c>
      <c r="N255" t="str">
        <f t="shared" si="34"/>
        <v>20+090</v>
      </c>
    </row>
    <row r="256" spans="1:14" x14ac:dyDescent="0.2">
      <c r="A256" t="s">
        <v>509</v>
      </c>
      <c r="B256" t="s">
        <v>510</v>
      </c>
      <c r="G256" t="str">
        <f t="shared" si="39"/>
        <v>104.5655</v>
      </c>
      <c r="H256" s="1" t="str">
        <f t="shared" si="40"/>
        <v xml:space="preserve"> 17.0136</v>
      </c>
      <c r="J256" t="str">
        <f t="shared" si="35"/>
        <v>RT242</v>
      </c>
      <c r="K256" t="str">
        <f t="shared" si="36"/>
        <v>SG</v>
      </c>
      <c r="L256" t="str">
        <f t="shared" si="37"/>
        <v>2031</v>
      </c>
      <c r="M256" t="str">
        <f t="shared" si="38"/>
        <v>0100</v>
      </c>
      <c r="N256" t="str">
        <f t="shared" si="34"/>
        <v>20+130</v>
      </c>
    </row>
    <row r="257" spans="1:14" x14ac:dyDescent="0.2">
      <c r="A257" t="s">
        <v>511</v>
      </c>
      <c r="B257" t="s">
        <v>512</v>
      </c>
      <c r="G257" t="str">
        <f t="shared" si="39"/>
        <v>104.5653</v>
      </c>
      <c r="H257" s="1" t="str">
        <f t="shared" si="40"/>
        <v xml:space="preserve"> 17.0136</v>
      </c>
      <c r="J257" t="str">
        <f t="shared" si="35"/>
        <v>RT243</v>
      </c>
      <c r="K257" t="str">
        <f t="shared" si="36"/>
        <v>SG</v>
      </c>
      <c r="L257" t="str">
        <f t="shared" si="37"/>
        <v>2031</v>
      </c>
      <c r="M257" t="str">
        <f t="shared" si="38"/>
        <v>0100</v>
      </c>
      <c r="N257" t="str">
        <f t="shared" si="34"/>
        <v>20+160</v>
      </c>
    </row>
    <row r="258" spans="1:14" x14ac:dyDescent="0.2">
      <c r="A258" t="s">
        <v>513</v>
      </c>
      <c r="B258" t="s">
        <v>514</v>
      </c>
      <c r="G258" t="str">
        <f t="shared" si="39"/>
        <v>104.5650</v>
      </c>
      <c r="H258" s="1" t="str">
        <f t="shared" si="40"/>
        <v xml:space="preserve"> 17.0137</v>
      </c>
      <c r="J258" t="str">
        <f t="shared" si="35"/>
        <v>RT244</v>
      </c>
      <c r="K258" t="str">
        <f t="shared" si="36"/>
        <v>SG</v>
      </c>
      <c r="L258" t="str">
        <f t="shared" si="37"/>
        <v>2031</v>
      </c>
      <c r="M258" t="str">
        <f t="shared" si="38"/>
        <v>0100</v>
      </c>
      <c r="N258" t="str">
        <f t="shared" si="34"/>
        <v>20+200</v>
      </c>
    </row>
    <row r="259" spans="1:14" x14ac:dyDescent="0.2">
      <c r="A259" t="s">
        <v>515</v>
      </c>
      <c r="B259" t="s">
        <v>516</v>
      </c>
      <c r="G259" t="str">
        <f t="shared" si="39"/>
        <v>104.5650</v>
      </c>
      <c r="H259" s="1" t="str">
        <f t="shared" si="40"/>
        <v xml:space="preserve"> 17.0137</v>
      </c>
      <c r="J259" t="str">
        <f t="shared" si="35"/>
        <v>RT245</v>
      </c>
      <c r="K259" t="str">
        <f t="shared" si="36"/>
        <v>SG</v>
      </c>
      <c r="L259" t="str">
        <f t="shared" si="37"/>
        <v>2031</v>
      </c>
      <c r="M259" t="str">
        <f t="shared" si="38"/>
        <v>0100</v>
      </c>
      <c r="N259" t="str">
        <f t="shared" si="34"/>
        <v>20+200</v>
      </c>
    </row>
    <row r="260" spans="1:14" x14ac:dyDescent="0.2">
      <c r="A260" t="s">
        <v>517</v>
      </c>
      <c r="B260" t="s">
        <v>518</v>
      </c>
      <c r="G260" t="str">
        <f t="shared" si="39"/>
        <v>104.5598</v>
      </c>
      <c r="H260" s="1" t="str">
        <f>MID(A260,18,7)</f>
        <v>17.0148</v>
      </c>
      <c r="J260" t="str">
        <f t="shared" si="35"/>
        <v>RT246</v>
      </c>
      <c r="K260" t="str">
        <f t="shared" si="36"/>
        <v>SG</v>
      </c>
      <c r="L260" t="str">
        <f t="shared" si="37"/>
        <v>2031</v>
      </c>
      <c r="M260" t="str">
        <f t="shared" si="38"/>
        <v>0100</v>
      </c>
      <c r="N260" t="str">
        <f t="shared" si="34"/>
        <v>20+760</v>
      </c>
    </row>
    <row r="261" spans="1:14" x14ac:dyDescent="0.2">
      <c r="A261" t="s">
        <v>519</v>
      </c>
      <c r="B261" t="s">
        <v>520</v>
      </c>
      <c r="G261" t="str">
        <f t="shared" si="39"/>
        <v>104.5595</v>
      </c>
      <c r="H261" s="1" t="str">
        <f t="shared" si="40"/>
        <v xml:space="preserve"> 17.0148</v>
      </c>
      <c r="J261" t="str">
        <f t="shared" si="35"/>
        <v>RT247</v>
      </c>
      <c r="K261" t="str">
        <f t="shared" si="36"/>
        <v>SG</v>
      </c>
      <c r="L261" t="str">
        <f t="shared" si="37"/>
        <v>2031</v>
      </c>
      <c r="M261" t="str">
        <f t="shared" si="38"/>
        <v>0100</v>
      </c>
      <c r="N261" t="str">
        <f t="shared" si="34"/>
        <v>20+790</v>
      </c>
    </row>
    <row r="262" spans="1:14" x14ac:dyDescent="0.2">
      <c r="A262" t="s">
        <v>521</v>
      </c>
      <c r="B262" t="s">
        <v>522</v>
      </c>
      <c r="G262" t="str">
        <f t="shared" si="39"/>
        <v>104.5591</v>
      </c>
      <c r="H262" s="1" t="str">
        <f t="shared" si="40"/>
        <v xml:space="preserve"> 17.0149</v>
      </c>
      <c r="J262" t="str">
        <f t="shared" si="35"/>
        <v>RT248</v>
      </c>
      <c r="K262" t="str">
        <f t="shared" si="36"/>
        <v>SG</v>
      </c>
      <c r="L262" t="str">
        <f t="shared" si="37"/>
        <v>2031</v>
      </c>
      <c r="M262" t="str">
        <f t="shared" si="38"/>
        <v>0100</v>
      </c>
      <c r="N262" t="str">
        <f t="shared" si="34"/>
        <v>20+835</v>
      </c>
    </row>
    <row r="263" spans="1:14" x14ac:dyDescent="0.2">
      <c r="A263" t="s">
        <v>523</v>
      </c>
      <c r="B263" t="s">
        <v>524</v>
      </c>
      <c r="G263" t="str">
        <f t="shared" si="39"/>
        <v>104.5586</v>
      </c>
      <c r="H263" s="1" t="str">
        <f t="shared" si="40"/>
        <v xml:space="preserve"> 17.0150</v>
      </c>
      <c r="J263" t="str">
        <f t="shared" si="35"/>
        <v>RT249</v>
      </c>
      <c r="K263" t="str">
        <f t="shared" si="36"/>
        <v>SG</v>
      </c>
      <c r="L263" t="str">
        <f t="shared" si="37"/>
        <v>2031</v>
      </c>
      <c r="M263" t="str">
        <f t="shared" si="38"/>
        <v>0100</v>
      </c>
      <c r="N263" t="str">
        <f t="shared" si="34"/>
        <v>20+880</v>
      </c>
    </row>
    <row r="264" spans="1:14" x14ac:dyDescent="0.2">
      <c r="A264" t="s">
        <v>525</v>
      </c>
      <c r="B264" t="s">
        <v>526</v>
      </c>
      <c r="G264" t="str">
        <f t="shared" si="39"/>
        <v>104.5582</v>
      </c>
      <c r="H264" s="1" t="str">
        <f t="shared" si="40"/>
        <v xml:space="preserve"> 17.0151</v>
      </c>
      <c r="J264" t="str">
        <f t="shared" si="35"/>
        <v>RT250</v>
      </c>
      <c r="K264" t="str">
        <f t="shared" si="36"/>
        <v>SG</v>
      </c>
      <c r="L264" t="str">
        <f t="shared" si="37"/>
        <v>2031</v>
      </c>
      <c r="M264" t="str">
        <f t="shared" si="38"/>
        <v>0100</v>
      </c>
      <c r="N264" t="str">
        <f t="shared" si="34"/>
        <v>20+925</v>
      </c>
    </row>
    <row r="265" spans="1:14" x14ac:dyDescent="0.2">
      <c r="A265" t="s">
        <v>527</v>
      </c>
      <c r="B265" t="s">
        <v>528</v>
      </c>
      <c r="G265" t="str">
        <f t="shared" si="39"/>
        <v>104.5578</v>
      </c>
      <c r="H265" s="1" t="str">
        <f t="shared" si="40"/>
        <v xml:space="preserve"> 17.0151</v>
      </c>
      <c r="J265" t="str">
        <f t="shared" si="35"/>
        <v>RT251</v>
      </c>
      <c r="K265" t="str">
        <f t="shared" si="36"/>
        <v>SG</v>
      </c>
      <c r="L265" t="str">
        <f t="shared" si="37"/>
        <v>2031</v>
      </c>
      <c r="M265" t="str">
        <f t="shared" si="38"/>
        <v>0100</v>
      </c>
      <c r="N265" t="str">
        <f t="shared" si="34"/>
        <v>20+970</v>
      </c>
    </row>
    <row r="266" spans="1:14" x14ac:dyDescent="0.2">
      <c r="A266" t="s">
        <v>529</v>
      </c>
      <c r="B266" t="s">
        <v>530</v>
      </c>
      <c r="G266" t="str">
        <f t="shared" si="39"/>
        <v>104.5417</v>
      </c>
      <c r="H266" s="1" t="str">
        <f t="shared" si="40"/>
        <v xml:space="preserve"> 17.0188</v>
      </c>
      <c r="J266" t="str">
        <f t="shared" si="35"/>
        <v>RT252</v>
      </c>
      <c r="K266" t="str">
        <f t="shared" si="36"/>
        <v>SG</v>
      </c>
      <c r="L266" t="str">
        <f t="shared" si="37"/>
        <v>2031</v>
      </c>
      <c r="M266" t="str">
        <f t="shared" si="38"/>
        <v>0100</v>
      </c>
      <c r="N266" t="str">
        <f t="shared" si="34"/>
        <v>22+730</v>
      </c>
    </row>
    <row r="267" spans="1:14" x14ac:dyDescent="0.2">
      <c r="A267" t="s">
        <v>531</v>
      </c>
      <c r="B267" t="s">
        <v>532</v>
      </c>
      <c r="G267" t="str">
        <f t="shared" si="39"/>
        <v>104.5412</v>
      </c>
      <c r="H267" s="1" t="str">
        <f t="shared" si="40"/>
        <v xml:space="preserve"> 17.0189</v>
      </c>
      <c r="J267" t="str">
        <f t="shared" si="35"/>
        <v>RT253</v>
      </c>
      <c r="K267" t="str">
        <f t="shared" si="36"/>
        <v>SG</v>
      </c>
      <c r="L267" t="str">
        <f t="shared" si="37"/>
        <v>2031</v>
      </c>
      <c r="M267" t="str">
        <f t="shared" si="38"/>
        <v>0100</v>
      </c>
      <c r="N267" t="str">
        <f t="shared" si="34"/>
        <v>22+790</v>
      </c>
    </row>
    <row r="268" spans="1:14" x14ac:dyDescent="0.2">
      <c r="A268" t="s">
        <v>533</v>
      </c>
      <c r="B268" t="s">
        <v>534</v>
      </c>
      <c r="G268" t="str">
        <f t="shared" si="39"/>
        <v>104.5408</v>
      </c>
      <c r="H268" s="1" t="str">
        <f t="shared" si="40"/>
        <v xml:space="preserve"> 17.0189</v>
      </c>
      <c r="J268" t="str">
        <f t="shared" si="35"/>
        <v>RT254</v>
      </c>
      <c r="K268" t="str">
        <f t="shared" si="36"/>
        <v>SG</v>
      </c>
      <c r="L268" t="str">
        <f t="shared" si="37"/>
        <v>2031</v>
      </c>
      <c r="M268" t="str">
        <f t="shared" si="38"/>
        <v>0100</v>
      </c>
      <c r="N268" t="str">
        <f t="shared" si="34"/>
        <v>22+835</v>
      </c>
    </row>
    <row r="269" spans="1:14" x14ac:dyDescent="0.2">
      <c r="A269" t="s">
        <v>535</v>
      </c>
      <c r="B269" t="s">
        <v>536</v>
      </c>
      <c r="G269" t="str">
        <f t="shared" si="39"/>
        <v>104.5403</v>
      </c>
      <c r="H269" s="1" t="str">
        <f t="shared" si="40"/>
        <v xml:space="preserve"> 17.0190</v>
      </c>
      <c r="J269" t="str">
        <f t="shared" si="35"/>
        <v>RT255</v>
      </c>
      <c r="K269" t="str">
        <f t="shared" si="36"/>
        <v>SG</v>
      </c>
      <c r="L269" t="str">
        <f t="shared" si="37"/>
        <v>2031</v>
      </c>
      <c r="M269" t="str">
        <f t="shared" si="38"/>
        <v>0100</v>
      </c>
      <c r="N269" t="str">
        <f t="shared" si="34"/>
        <v>22+880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DATA CSV หมวดปลาปาก 2031 ขวา</vt:lpstr>
      <vt:lpstr>แผนที่ที่ไม่มีชื่อ- 2031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NongAum</dc:creator>
  <cp:lastModifiedBy>AUM_HumNoi</cp:lastModifiedBy>
  <dcterms:created xsi:type="dcterms:W3CDTF">2023-06-26T06:55:55Z</dcterms:created>
  <dcterms:modified xsi:type="dcterms:W3CDTF">2023-06-28T07:46:43Z</dcterms:modified>
</cp:coreProperties>
</file>