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ger\Desktop\just scan me\2027\"/>
    </mc:Choice>
  </mc:AlternateContent>
  <xr:revisionPtr revIDLastSave="0" documentId="13_ncr:1_{CAF4DAD6-6C58-40D8-9795-0C6268710378}" xr6:coauthVersionLast="47" xr6:coauthVersionMax="47" xr10:uidLastSave="{00000000-0000-0000-0000-000000000000}"/>
  <bookViews>
    <workbookView xWindow="195" yWindow="0" windowWidth="19980" windowHeight="15600" xr2:uid="{00000000-000D-0000-FFFF-FFFF00000000}"/>
  </bookViews>
  <sheets>
    <sheet name="2027- ทล.2027  ตอนควบคุม 0100 ต" sheetId="1" r:id="rId1"/>
  </sheets>
  <calcPr calcId="181029"/>
</workbook>
</file>

<file path=xl/calcChain.xml><?xml version="1.0" encoding="utf-8"?>
<calcChain xmlns="http://schemas.openxmlformats.org/spreadsheetml/2006/main">
  <c r="H11" i="1" l="1"/>
  <c r="H22" i="1"/>
  <c r="H23" i="1"/>
  <c r="H24" i="1"/>
  <c r="H25" i="1"/>
  <c r="H26" i="1"/>
  <c r="H27" i="1"/>
  <c r="H28" i="1"/>
  <c r="H29" i="1"/>
  <c r="H30" i="1"/>
  <c r="H31" i="1"/>
  <c r="H32" i="1"/>
  <c r="H33" i="1"/>
  <c r="H21" i="1"/>
  <c r="H20" i="1"/>
  <c r="H17" i="1"/>
  <c r="H15" i="1"/>
  <c r="G15" i="1"/>
  <c r="H46" i="1"/>
  <c r="H47" i="1"/>
  <c r="H49" i="1"/>
  <c r="H50" i="1"/>
  <c r="H51" i="1"/>
  <c r="H48" i="1"/>
  <c r="L49" i="1" l="1"/>
  <c r="L47" i="1"/>
  <c r="L48" i="1"/>
  <c r="L50" i="1"/>
  <c r="L51" i="1"/>
  <c r="L46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20" i="1"/>
  <c r="L17" i="1"/>
  <c r="L15" i="1"/>
  <c r="L11" i="1"/>
  <c r="L3" i="1"/>
  <c r="L4" i="1"/>
  <c r="L5" i="1"/>
  <c r="L6" i="1"/>
  <c r="L7" i="1"/>
  <c r="L8" i="1"/>
  <c r="L9" i="1"/>
  <c r="L10" i="1"/>
  <c r="L12" i="1"/>
  <c r="L13" i="1"/>
  <c r="L14" i="1"/>
  <c r="L16" i="1"/>
  <c r="L18" i="1"/>
  <c r="L19" i="1"/>
  <c r="L34" i="1"/>
  <c r="L35" i="1"/>
  <c r="L36" i="1"/>
  <c r="L37" i="1"/>
  <c r="L38" i="1"/>
  <c r="L39" i="1"/>
  <c r="L40" i="1"/>
  <c r="L41" i="1"/>
  <c r="L42" i="1"/>
  <c r="L43" i="1"/>
  <c r="L44" i="1"/>
  <c r="L45" i="1"/>
  <c r="L2" i="1"/>
  <c r="K35" i="1"/>
  <c r="K36" i="1"/>
  <c r="K37" i="1"/>
  <c r="K38" i="1"/>
  <c r="K39" i="1"/>
  <c r="K40" i="1"/>
  <c r="K41" i="1"/>
  <c r="K42" i="1"/>
  <c r="K43" i="1"/>
  <c r="K44" i="1"/>
  <c r="K45" i="1"/>
  <c r="K34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46" i="1"/>
  <c r="K47" i="1"/>
  <c r="K48" i="1"/>
  <c r="K49" i="1"/>
  <c r="K50" i="1"/>
  <c r="K51" i="1"/>
  <c r="K20" i="1"/>
  <c r="K17" i="1"/>
  <c r="K15" i="1"/>
  <c r="K11" i="1"/>
  <c r="K3" i="1"/>
  <c r="K4" i="1"/>
  <c r="K5" i="1"/>
  <c r="K6" i="1"/>
  <c r="K7" i="1"/>
  <c r="K8" i="1"/>
  <c r="K9" i="1"/>
  <c r="K10" i="1"/>
  <c r="K12" i="1"/>
  <c r="K13" i="1"/>
  <c r="K14" i="1"/>
  <c r="K16" i="1"/>
  <c r="K18" i="1"/>
  <c r="K19" i="1"/>
  <c r="J47" i="1"/>
  <c r="J48" i="1"/>
  <c r="J49" i="1"/>
  <c r="J50" i="1"/>
  <c r="J51" i="1"/>
  <c r="J46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20" i="1"/>
  <c r="J17" i="1"/>
  <c r="J15" i="1"/>
  <c r="J11" i="1"/>
  <c r="J3" i="1"/>
  <c r="J4" i="1"/>
  <c r="J5" i="1"/>
  <c r="J6" i="1"/>
  <c r="J7" i="1"/>
  <c r="J8" i="1"/>
  <c r="J9" i="1"/>
  <c r="J10" i="1"/>
  <c r="J12" i="1"/>
  <c r="J13" i="1"/>
  <c r="J14" i="1"/>
  <c r="J16" i="1"/>
  <c r="J18" i="1"/>
  <c r="J19" i="1"/>
  <c r="J34" i="1"/>
  <c r="J35" i="1"/>
  <c r="J36" i="1"/>
  <c r="J37" i="1"/>
  <c r="J38" i="1"/>
  <c r="J39" i="1"/>
  <c r="J40" i="1"/>
  <c r="J41" i="1"/>
  <c r="J42" i="1"/>
  <c r="J43" i="1"/>
  <c r="J44" i="1"/>
  <c r="J45" i="1"/>
  <c r="H3" i="1"/>
  <c r="H4" i="1"/>
  <c r="H5" i="1"/>
  <c r="H6" i="1"/>
  <c r="H7" i="1"/>
  <c r="H8" i="1"/>
  <c r="H9" i="1"/>
  <c r="H10" i="1"/>
  <c r="H12" i="1"/>
  <c r="H13" i="1"/>
  <c r="H14" i="1"/>
  <c r="H16" i="1"/>
  <c r="H18" i="1"/>
  <c r="H19" i="1"/>
  <c r="H34" i="1"/>
  <c r="H35" i="1"/>
  <c r="H36" i="1"/>
  <c r="H37" i="1"/>
  <c r="H38" i="1"/>
  <c r="H39" i="1"/>
  <c r="H40" i="1"/>
  <c r="H41" i="1"/>
  <c r="H42" i="1"/>
  <c r="H43" i="1"/>
  <c r="H44" i="1"/>
  <c r="H45" i="1"/>
  <c r="K2" i="1"/>
  <c r="J2" i="1"/>
  <c r="H2" i="1"/>
  <c r="G50" i="1"/>
  <c r="G45" i="1"/>
  <c r="G42" i="1"/>
  <c r="G26" i="1"/>
  <c r="G23" i="1"/>
  <c r="G21" i="1"/>
  <c r="G14" i="1"/>
  <c r="G12" i="1"/>
  <c r="G8" i="1"/>
  <c r="F3" i="1"/>
  <c r="G3" i="1"/>
  <c r="F4" i="1"/>
  <c r="G4" i="1"/>
  <c r="F5" i="1"/>
  <c r="G5" i="1"/>
  <c r="F6" i="1"/>
  <c r="G6" i="1"/>
  <c r="F7" i="1"/>
  <c r="G7" i="1"/>
  <c r="F8" i="1"/>
  <c r="F9" i="1"/>
  <c r="G9" i="1"/>
  <c r="F10" i="1"/>
  <c r="G10" i="1"/>
  <c r="F11" i="1"/>
  <c r="G11" i="1"/>
  <c r="F12" i="1"/>
  <c r="F13" i="1"/>
  <c r="G13" i="1"/>
  <c r="F14" i="1"/>
  <c r="F15" i="1"/>
  <c r="F16" i="1"/>
  <c r="G16" i="1"/>
  <c r="F17" i="1"/>
  <c r="G17" i="1"/>
  <c r="F18" i="1"/>
  <c r="G18" i="1"/>
  <c r="F19" i="1"/>
  <c r="G19" i="1"/>
  <c r="F20" i="1"/>
  <c r="G20" i="1"/>
  <c r="F21" i="1"/>
  <c r="F22" i="1"/>
  <c r="G22" i="1"/>
  <c r="F23" i="1"/>
  <c r="F24" i="1"/>
  <c r="G24" i="1"/>
  <c r="F25" i="1"/>
  <c r="G25" i="1"/>
  <c r="F26" i="1"/>
  <c r="F27" i="1"/>
  <c r="G27" i="1"/>
  <c r="F28" i="1"/>
  <c r="G28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F43" i="1"/>
  <c r="G43" i="1"/>
  <c r="F44" i="1"/>
  <c r="G44" i="1"/>
  <c r="F45" i="1"/>
  <c r="F46" i="1"/>
  <c r="G46" i="1"/>
  <c r="F47" i="1"/>
  <c r="G47" i="1"/>
  <c r="F48" i="1"/>
  <c r="G48" i="1"/>
  <c r="F49" i="1"/>
  <c r="G49" i="1"/>
  <c r="F50" i="1"/>
  <c r="F51" i="1"/>
  <c r="G51" i="1"/>
  <c r="G2" i="1"/>
  <c r="F2" i="1"/>
</calcChain>
</file>

<file path=xl/sharedStrings.xml><?xml version="1.0" encoding="utf-8"?>
<sst xmlns="http://schemas.openxmlformats.org/spreadsheetml/2006/main" count="103" uniqueCount="103">
  <si>
    <t>WKT</t>
  </si>
  <si>
    <t>เธเธทเนเธญ</t>
  </si>
  <si>
    <t>เธเธณเธญเธเธดเธเธฒเธข</t>
  </si>
  <si>
    <t>POINT (104.608125 17.565646 0.0)</t>
  </si>
  <si>
    <t>CL1 - DB - 0100 - 0+000</t>
  </si>
  <si>
    <t>POINT (104.607915 17.565963 0.0)</t>
  </si>
  <si>
    <t>CL2 - DB - 0100 - 0+040</t>
  </si>
  <si>
    <t>POINT (104.607725 17.566202 0.0)</t>
  </si>
  <si>
    <t>CL3 - DB - 0100 - 0+075</t>
  </si>
  <si>
    <t>POINT (104.607529 17.566435 0.0)</t>
  </si>
  <si>
    <t>CL4 - DB - 0100 - 0+110</t>
  </si>
  <si>
    <t>POINT (104.607334 17.566657 0.0)</t>
  </si>
  <si>
    <t>CL5 - DB - 0100 - 0+145</t>
  </si>
  <si>
    <t>POINT (104.607133 17.566888 149.14)</t>
  </si>
  <si>
    <t>CL6 - DB - 0100 - 0+180</t>
  </si>
  <si>
    <t>POINT (104.60689 17.567177 150.25)</t>
  </si>
  <si>
    <t>CL7 - DB - 0100 - 0+220</t>
  </si>
  <si>
    <t>POINT (104.606685 17.567422 149.7)</t>
  </si>
  <si>
    <t>CL8 - DB - 0100 - 0+255</t>
  </si>
  <si>
    <t>POINT (104.606518 17.567631 149.34)</t>
  </si>
  <si>
    <t>CL9 - DB - 0100 - 0+290</t>
  </si>
  <si>
    <t>POINT (104.606337 17.567857 149.3)</t>
  </si>
  <si>
    <t>CL10 - DB - 0100 - 0+325</t>
  </si>
  <si>
    <t>POINT (104.60644 17.567904 0.0)</t>
  </si>
  <si>
    <t>RT1 - SG - 0100 - 0+323</t>
  </si>
  <si>
    <t>POINT (104.606263 17.567759 0.0)</t>
  </si>
  <si>
    <t>LT1 - SG - 0100 - 0+323</t>
  </si>
  <si>
    <t>POINT (104.60624 17.568146 0.0)</t>
  </si>
  <si>
    <t>RT2 - SG - 0100 - 0+358</t>
  </si>
  <si>
    <t>POINT (104.606142 17.568096 0.0)</t>
  </si>
  <si>
    <t>CL11 - DB - 0100 - 0+360</t>
  </si>
  <si>
    <t>POINT (104.606063 17.567991 0.0)</t>
  </si>
  <si>
    <t>LT2 - SG - 0100 - 0+358</t>
  </si>
  <si>
    <t>POINT (104.605988 17.568279 0.0)</t>
  </si>
  <si>
    <t>CL12 - DB - 0100 - 0+390</t>
  </si>
  <si>
    <t>POINT (104.606068 17.56835 0.0)</t>
  </si>
  <si>
    <t>RT3 - SG - 0100 - 0+390</t>
  </si>
  <si>
    <t>POINT (104.605883 17.568201 0.0)</t>
  </si>
  <si>
    <t>LT3 - SG - 0100 - 0+390</t>
  </si>
  <si>
    <t>POINT (104.605771 17.568502 149.47)</t>
  </si>
  <si>
    <t>CL13 - DB - 0100 - 0+425</t>
  </si>
  <si>
    <t>POINT (104.60565 17.568659 0.0)</t>
  </si>
  <si>
    <t>CL14 - DB - 0100 - 0+460</t>
  </si>
  <si>
    <t>POINT (104.605447 17.56889 0.0)</t>
  </si>
  <si>
    <t>CL15 - DB - 0100 - 0+495</t>
  </si>
  <si>
    <t>POINT (104.60528 17.569088 0.0)</t>
  </si>
  <si>
    <t>CL16 - DB - 0100 - 0+530</t>
  </si>
  <si>
    <t>POINT (104.605164 17.569229 0.0)</t>
  </si>
  <si>
    <t>CL17 - DB - 0100 - 0+550</t>
  </si>
  <si>
    <t>POINT (104.604977 17.569448 0.0)</t>
  </si>
  <si>
    <t>CL18 - DB - 0100 - 0+580</t>
  </si>
  <si>
    <t>POINT (104.60484 17.569599 0.0)</t>
  </si>
  <si>
    <t>CL19 - DB - 0100 - 0+600</t>
  </si>
  <si>
    <t>POINT (104.604668 17.569811 0.0)</t>
  </si>
  <si>
    <t>CL20 - DB - 0100 - 0+630</t>
  </si>
  <si>
    <t>POINT (104.604478 17.570032 0.0)</t>
  </si>
  <si>
    <t>CL21 - DB - 0100 - 0+665</t>
  </si>
  <si>
    <t>POINT (104.604273 17.570272 0.0)</t>
  </si>
  <si>
    <t>CL22 - DB - 0100 - 0+700</t>
  </si>
  <si>
    <t>POINT (104.604056 17.570526 0.0)</t>
  </si>
  <si>
    <t>CL23 - DB - 0100 - 0+735</t>
  </si>
  <si>
    <t>POINT (104.603849 17.57076 0.0)</t>
  </si>
  <si>
    <t>CL24 - DB - 0100 - 0+770</t>
  </si>
  <si>
    <t>POINT (104.603638 17.571013 0.0)</t>
  </si>
  <si>
    <t>CL25 - DB - 0100 - 0+805</t>
  </si>
  <si>
    <t>POINT (104.603423 17.571261 0.0)</t>
  </si>
  <si>
    <t>CL26 - DB - 0100 - 0+840</t>
  </si>
  <si>
    <t>POINT (104.603082 17.571475 0.0)</t>
  </si>
  <si>
    <t>LT4 - SG - 0100 - 0+880</t>
  </si>
  <si>
    <t>POINT (104.603288 17.571625 0.0)</t>
  </si>
  <si>
    <t>RT4 - SG - 0100 - 0+880</t>
  </si>
  <si>
    <t>POINT (104.603065 17.571879 150.3)</t>
  </si>
  <si>
    <t>RT5 - SG - 0100 - 0+915</t>
  </si>
  <si>
    <t>POINT (104.602878 17.571716 0.0)</t>
  </si>
  <si>
    <t>LT5 - SG - 0100 - 0+915</t>
  </si>
  <si>
    <t>POINT (104.602691 17.571947 0.0)</t>
  </si>
  <si>
    <t>LT6 - SG - 0100 - 0+950</t>
  </si>
  <si>
    <t>POINT (104.602789 17.572156 0.0)</t>
  </si>
  <si>
    <t>RT6 - SG - 0100 - 0+960</t>
  </si>
  <si>
    <t>POINT (104.602526 17.572231 0.0)</t>
  </si>
  <si>
    <t>LT7 - SG - 0100 - 0+985</t>
  </si>
  <si>
    <t>POINT (104.602643 17.572327 0.0)</t>
  </si>
  <si>
    <t>RT7 - SG - 0100 - 0+985</t>
  </si>
  <si>
    <t>POINT (104.60235 17.57243 151.84)</t>
  </si>
  <si>
    <t>LT8 - SG - 0100 - 1+015</t>
  </si>
  <si>
    <t>POINT (104.602465 17.572536 151.82)</t>
  </si>
  <si>
    <t>RT8 - SG - 0100 - 1+015</t>
  </si>
  <si>
    <t>POINT (104.602169 17.572638 0.0)</t>
  </si>
  <si>
    <t>LT9 - SG - 0100 - 1+045</t>
  </si>
  <si>
    <t>POINT (104.60228 17.572722 0.0)</t>
  </si>
  <si>
    <t>RT9 - SG - 0100 - 1+045</t>
  </si>
  <si>
    <t>POINT (104.601914 17.572921 154.52)</t>
  </si>
  <si>
    <t>LT10 - SG - 0100 - 1+085</t>
  </si>
  <si>
    <t>POINT (104.602015 17.573024 154.87)</t>
  </si>
  <si>
    <t>RT10 - SG - 0100 - 1+085</t>
  </si>
  <si>
    <t>POINT (104.591636 17.576325 149.84)</t>
  </si>
  <si>
    <t>LT11 - SG - 0100 - 1+350</t>
  </si>
  <si>
    <t>POINT (104.591028 17.576644 148.41)</t>
  </si>
  <si>
    <t>POINT (104.59081 17.576599 148.96)</t>
  </si>
  <si>
    <t>LT12 - SG - 0100 - 2+450</t>
  </si>
  <si>
    <t>POINT (104.590422 17.576806 0.0)</t>
  </si>
  <si>
    <t>RT11 - SG - 0100 - 2+430</t>
  </si>
  <si>
    <t>RT12 - SG - 0100 - 2+495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</si>
</sst>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8"/>
      <color theme="3"/>
      <name val="Tahoma"/>
      <family val="2"/>
      <scheme val="major"/>
    </font>
    <font>
      <b/>
      <sz val="15"/>
      <color theme="3"/>
      <name val="Tahoma"/>
      <family val="2"/>
      <scheme val="minor"/>
    </font>
    <font>
      <b/>
      <sz val="13"/>
      <color theme="3"/>
      <name val="Tahoma"/>
      <family val="2"/>
      <scheme val="minor"/>
    </font>
    <font>
      <b/>
      <sz val="11"/>
      <color theme="3"/>
      <name val="Tahoma"/>
      <family val="2"/>
      <scheme val="minor"/>
    </font>
    <font>
      <sz val="11"/>
      <color rgb="FF006100"/>
      <name val="Tahoma"/>
      <family val="2"/>
      <scheme val="minor"/>
    </font>
    <font>
      <sz val="11"/>
      <color rgb="FF9C0006"/>
      <name val="Tahoma"/>
      <family val="2"/>
      <scheme val="minor"/>
    </font>
    <font>
      <sz val="11"/>
      <color rgb="FF9C5700"/>
      <name val="Tahoma"/>
      <family val="2"/>
      <scheme val="minor"/>
    </font>
    <font>
      <sz val="11"/>
      <color rgb="FF3F3F76"/>
      <name val="Tahoma"/>
      <family val="2"/>
      <scheme val="minor"/>
    </font>
    <font>
      <b/>
      <sz val="11"/>
      <color rgb="FF3F3F3F"/>
      <name val="Tahoma"/>
      <family val="2"/>
      <scheme val="minor"/>
    </font>
    <font>
      <b/>
      <sz val="11"/>
      <color rgb="FFFA7D00"/>
      <name val="Tahoma"/>
      <family val="2"/>
      <scheme val="minor"/>
    </font>
    <font>
      <sz val="11"/>
      <color rgb="FFFA7D00"/>
      <name val="Tahoma"/>
      <family val="2"/>
      <scheme val="minor"/>
    </font>
    <font>
      <b/>
      <sz val="11"/>
      <color theme="0"/>
      <name val="Tahoma"/>
      <family val="2"/>
      <scheme val="minor"/>
    </font>
    <font>
      <sz val="11"/>
      <color rgb="FFFF0000"/>
      <name val="Tahoma"/>
      <family val="2"/>
      <scheme val="minor"/>
    </font>
    <font>
      <i/>
      <sz val="11"/>
      <color rgb="FF7F7F7F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color theme="0"/>
      <name val="Tahoma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เซลล์ตรวจสอบ" xfId="13" builtinId="23" customBuiltin="1"/>
    <cellStyle name="เซลล์ที่มีลิงก์" xfId="12" builtinId="24" customBuiltin="1"/>
    <cellStyle name="แย่" xfId="7" builtinId="27" customBuiltin="1"/>
    <cellStyle name="แสดงผล" xfId="10" builtinId="21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workbookViewId="0">
      <selection activeCell="G9" sqref="G9"/>
    </sheetView>
  </sheetViews>
  <sheetFormatPr defaultRowHeight="14.25" x14ac:dyDescent="0.2"/>
  <cols>
    <col min="1" max="1" width="34.5" bestFit="1" customWidth="1"/>
  </cols>
  <sheetData>
    <row r="1" spans="1:12" x14ac:dyDescent="0.2">
      <c r="A1" t="s">
        <v>0</v>
      </c>
      <c r="B1" t="s">
        <v>1</v>
      </c>
      <c r="C1" t="s">
        <v>2</v>
      </c>
    </row>
    <row r="2" spans="1:12" x14ac:dyDescent="0.2">
      <c r="A2" t="s">
        <v>3</v>
      </c>
      <c r="B2" t="s">
        <v>4</v>
      </c>
      <c r="F2" t="str">
        <f>MID(A2,8,8)</f>
        <v>104.6081</v>
      </c>
      <c r="G2" t="str">
        <f>MID(A2,18,8)</f>
        <v xml:space="preserve"> 17.5656</v>
      </c>
      <c r="H2" s="1" t="str">
        <f>MID(B2,1,3)</f>
        <v>CL1</v>
      </c>
      <c r="I2" s="1">
        <v>2027</v>
      </c>
      <c r="J2" s="1" t="str">
        <f>MID(B2,7,2)</f>
        <v>DB</v>
      </c>
      <c r="K2" s="1" t="str">
        <f>MID(B2,12,4)</f>
        <v>0100</v>
      </c>
      <c r="L2" s="1" t="str">
        <f>MID(B2,19,5)</f>
        <v>0+000</v>
      </c>
    </row>
    <row r="3" spans="1:12" x14ac:dyDescent="0.2">
      <c r="A3" t="s">
        <v>5</v>
      </c>
      <c r="B3" t="s">
        <v>6</v>
      </c>
      <c r="F3" t="str">
        <f t="shared" ref="F3:F51" si="0">MID(A3,8,8)</f>
        <v>104.6079</v>
      </c>
      <c r="G3" t="str">
        <f t="shared" ref="G3:G51" si="1">MID(A3,18,8)</f>
        <v xml:space="preserve"> 17.5659</v>
      </c>
      <c r="H3" s="1" t="str">
        <f t="shared" ref="H3:H51" si="2">MID(B3,1,3)</f>
        <v>CL2</v>
      </c>
      <c r="I3" s="1">
        <v>2027</v>
      </c>
      <c r="J3" s="1" t="str">
        <f t="shared" ref="J3:J45" si="3">MID(B3,7,2)</f>
        <v>DB</v>
      </c>
      <c r="K3" s="1" t="str">
        <f t="shared" ref="K3:K19" si="4">MID(B3,12,4)</f>
        <v>0100</v>
      </c>
      <c r="L3" s="1" t="str">
        <f t="shared" ref="L3:L51" si="5">MID(B3,19,5)</f>
        <v>0+040</v>
      </c>
    </row>
    <row r="4" spans="1:12" x14ac:dyDescent="0.2">
      <c r="A4" t="s">
        <v>7</v>
      </c>
      <c r="B4" t="s">
        <v>8</v>
      </c>
      <c r="F4" t="str">
        <f t="shared" si="0"/>
        <v>104.6077</v>
      </c>
      <c r="G4" t="str">
        <f t="shared" si="1"/>
        <v xml:space="preserve"> 17.5662</v>
      </c>
      <c r="H4" s="1" t="str">
        <f t="shared" si="2"/>
        <v>CL3</v>
      </c>
      <c r="I4" s="1">
        <v>2027</v>
      </c>
      <c r="J4" s="1" t="str">
        <f t="shared" si="3"/>
        <v>DB</v>
      </c>
      <c r="K4" s="1" t="str">
        <f t="shared" si="4"/>
        <v>0100</v>
      </c>
      <c r="L4" s="1" t="str">
        <f t="shared" si="5"/>
        <v>0+075</v>
      </c>
    </row>
    <row r="5" spans="1:12" x14ac:dyDescent="0.2">
      <c r="A5" t="s">
        <v>9</v>
      </c>
      <c r="B5" t="s">
        <v>10</v>
      </c>
      <c r="F5" t="str">
        <f t="shared" si="0"/>
        <v>104.6075</v>
      </c>
      <c r="G5" t="str">
        <f t="shared" si="1"/>
        <v xml:space="preserve"> 17.5664</v>
      </c>
      <c r="H5" s="1" t="str">
        <f t="shared" si="2"/>
        <v>CL4</v>
      </c>
      <c r="I5" s="1">
        <v>2027</v>
      </c>
      <c r="J5" s="1" t="str">
        <f t="shared" si="3"/>
        <v>DB</v>
      </c>
      <c r="K5" s="1" t="str">
        <f t="shared" si="4"/>
        <v>0100</v>
      </c>
      <c r="L5" s="1" t="str">
        <f t="shared" si="5"/>
        <v>0+110</v>
      </c>
    </row>
    <row r="6" spans="1:12" x14ac:dyDescent="0.2">
      <c r="A6" t="s">
        <v>11</v>
      </c>
      <c r="B6" t="s">
        <v>12</v>
      </c>
      <c r="F6" t="str">
        <f t="shared" si="0"/>
        <v>104.6073</v>
      </c>
      <c r="G6" t="str">
        <f t="shared" si="1"/>
        <v xml:space="preserve"> 17.5666</v>
      </c>
      <c r="H6" s="1" t="str">
        <f t="shared" si="2"/>
        <v>CL5</v>
      </c>
      <c r="I6" s="1">
        <v>2027</v>
      </c>
      <c r="J6" s="1" t="str">
        <f t="shared" si="3"/>
        <v>DB</v>
      </c>
      <c r="K6" s="1" t="str">
        <f t="shared" si="4"/>
        <v>0100</v>
      </c>
      <c r="L6" s="1" t="str">
        <f t="shared" si="5"/>
        <v>0+145</v>
      </c>
    </row>
    <row r="7" spans="1:12" x14ac:dyDescent="0.2">
      <c r="A7" t="s">
        <v>13</v>
      </c>
      <c r="B7" t="s">
        <v>14</v>
      </c>
      <c r="F7" t="str">
        <f t="shared" si="0"/>
        <v>104.6071</v>
      </c>
      <c r="G7" t="str">
        <f t="shared" si="1"/>
        <v xml:space="preserve"> 17.5668</v>
      </c>
      <c r="H7" s="1" t="str">
        <f t="shared" si="2"/>
        <v>CL6</v>
      </c>
      <c r="I7" s="1">
        <v>2027</v>
      </c>
      <c r="J7" s="1" t="str">
        <f t="shared" si="3"/>
        <v>DB</v>
      </c>
      <c r="K7" s="1" t="str">
        <f t="shared" si="4"/>
        <v>0100</v>
      </c>
      <c r="L7" s="1" t="str">
        <f t="shared" si="5"/>
        <v>0+180</v>
      </c>
    </row>
    <row r="8" spans="1:12" x14ac:dyDescent="0.2">
      <c r="A8" t="s">
        <v>15</v>
      </c>
      <c r="B8" t="s">
        <v>16</v>
      </c>
      <c r="F8" t="str">
        <f t="shared" si="0"/>
        <v>104.6068</v>
      </c>
      <c r="G8" t="str">
        <f>MID(A8,17,8)</f>
        <v xml:space="preserve"> 17.5671</v>
      </c>
      <c r="H8" s="1" t="str">
        <f t="shared" si="2"/>
        <v>CL7</v>
      </c>
      <c r="I8" s="1">
        <v>2027</v>
      </c>
      <c r="J8" s="1" t="str">
        <f t="shared" si="3"/>
        <v>DB</v>
      </c>
      <c r="K8" s="1" t="str">
        <f t="shared" si="4"/>
        <v>0100</v>
      </c>
      <c r="L8" s="1" t="str">
        <f t="shared" si="5"/>
        <v>0+220</v>
      </c>
    </row>
    <row r="9" spans="1:12" x14ac:dyDescent="0.2">
      <c r="A9" t="s">
        <v>17</v>
      </c>
      <c r="B9" t="s">
        <v>18</v>
      </c>
      <c r="F9" t="str">
        <f t="shared" si="0"/>
        <v>104.6066</v>
      </c>
      <c r="G9" t="str">
        <f t="shared" si="1"/>
        <v xml:space="preserve"> 17.5674</v>
      </c>
      <c r="H9" s="1" t="str">
        <f t="shared" si="2"/>
        <v>CL8</v>
      </c>
      <c r="I9" s="1">
        <v>2027</v>
      </c>
      <c r="J9" s="1" t="str">
        <f t="shared" si="3"/>
        <v>DB</v>
      </c>
      <c r="K9" s="1" t="str">
        <f t="shared" si="4"/>
        <v>0100</v>
      </c>
      <c r="L9" s="1" t="str">
        <f t="shared" si="5"/>
        <v>0+255</v>
      </c>
    </row>
    <row r="10" spans="1:12" x14ac:dyDescent="0.2">
      <c r="A10" t="s">
        <v>19</v>
      </c>
      <c r="B10" t="s">
        <v>20</v>
      </c>
      <c r="F10" t="str">
        <f t="shared" si="0"/>
        <v>104.6065</v>
      </c>
      <c r="G10" t="str">
        <f t="shared" si="1"/>
        <v xml:space="preserve"> 17.5676</v>
      </c>
      <c r="H10" s="1" t="str">
        <f t="shared" si="2"/>
        <v>CL9</v>
      </c>
      <c r="I10" s="1">
        <v>2027</v>
      </c>
      <c r="J10" s="1" t="str">
        <f t="shared" si="3"/>
        <v>DB</v>
      </c>
      <c r="K10" s="1" t="str">
        <f t="shared" si="4"/>
        <v>0100</v>
      </c>
      <c r="L10" s="1" t="str">
        <f t="shared" si="5"/>
        <v>0+290</v>
      </c>
    </row>
    <row r="11" spans="1:12" x14ac:dyDescent="0.2">
      <c r="A11" t="s">
        <v>21</v>
      </c>
      <c r="B11" t="s">
        <v>22</v>
      </c>
      <c r="F11" t="str">
        <f t="shared" si="0"/>
        <v>104.6063</v>
      </c>
      <c r="G11" t="str">
        <f t="shared" si="1"/>
        <v xml:space="preserve"> 17.5678</v>
      </c>
      <c r="H11" s="1" t="str">
        <f>MID(B11,1,4)</f>
        <v>CL10</v>
      </c>
      <c r="I11" s="1">
        <v>2027</v>
      </c>
      <c r="J11" s="1" t="str">
        <f>MID(B11,8,2)</f>
        <v>DB</v>
      </c>
      <c r="K11" s="1" t="str">
        <f>MID(B11,13,4)</f>
        <v>0100</v>
      </c>
      <c r="L11" s="1" t="str">
        <f>MID(B11,20,5)</f>
        <v>0+325</v>
      </c>
    </row>
    <row r="12" spans="1:12" x14ac:dyDescent="0.2">
      <c r="A12" t="s">
        <v>23</v>
      </c>
      <c r="B12" t="s">
        <v>24</v>
      </c>
      <c r="F12" t="str">
        <f t="shared" si="0"/>
        <v>104.6064</v>
      </c>
      <c r="G12" t="str">
        <f>MID(A12,17,8)</f>
        <v xml:space="preserve"> 17.5679</v>
      </c>
      <c r="H12" s="1" t="str">
        <f t="shared" si="2"/>
        <v>RT1</v>
      </c>
      <c r="I12" s="1">
        <v>2027</v>
      </c>
      <c r="J12" s="1" t="str">
        <f t="shared" si="3"/>
        <v>SG</v>
      </c>
      <c r="K12" s="1" t="str">
        <f t="shared" si="4"/>
        <v>0100</v>
      </c>
      <c r="L12" s="1" t="str">
        <f t="shared" si="5"/>
        <v>0+323</v>
      </c>
    </row>
    <row r="13" spans="1:12" x14ac:dyDescent="0.2">
      <c r="A13" t="s">
        <v>25</v>
      </c>
      <c r="B13" t="s">
        <v>26</v>
      </c>
      <c r="F13" t="str">
        <f t="shared" si="0"/>
        <v>104.6062</v>
      </c>
      <c r="G13" t="str">
        <f t="shared" si="1"/>
        <v xml:space="preserve"> 17.5677</v>
      </c>
      <c r="H13" s="1" t="str">
        <f t="shared" si="2"/>
        <v>LT1</v>
      </c>
      <c r="I13" s="1">
        <v>2027</v>
      </c>
      <c r="J13" s="1" t="str">
        <f t="shared" si="3"/>
        <v>SG</v>
      </c>
      <c r="K13" s="1" t="str">
        <f t="shared" si="4"/>
        <v>0100</v>
      </c>
      <c r="L13" s="1" t="str">
        <f t="shared" si="5"/>
        <v>0+323</v>
      </c>
    </row>
    <row r="14" spans="1:12" x14ac:dyDescent="0.2">
      <c r="A14" t="s">
        <v>27</v>
      </c>
      <c r="B14" t="s">
        <v>28</v>
      </c>
      <c r="F14" t="str">
        <f t="shared" si="0"/>
        <v>104.6062</v>
      </c>
      <c r="G14" t="str">
        <f>MID(A14,17,8)</f>
        <v xml:space="preserve"> 17.5681</v>
      </c>
      <c r="H14" s="1" t="str">
        <f t="shared" si="2"/>
        <v>RT2</v>
      </c>
      <c r="I14" s="1">
        <v>2027</v>
      </c>
      <c r="J14" s="1" t="str">
        <f t="shared" si="3"/>
        <v>SG</v>
      </c>
      <c r="K14" s="1" t="str">
        <f t="shared" si="4"/>
        <v>0100</v>
      </c>
      <c r="L14" s="1" t="str">
        <f t="shared" si="5"/>
        <v>0+358</v>
      </c>
    </row>
    <row r="15" spans="1:12" x14ac:dyDescent="0.2">
      <c r="A15" t="s">
        <v>29</v>
      </c>
      <c r="B15" t="s">
        <v>30</v>
      </c>
      <c r="F15" t="str">
        <f t="shared" si="0"/>
        <v>104.6061</v>
      </c>
      <c r="G15" t="str">
        <f t="shared" si="1"/>
        <v xml:space="preserve"> 17.5680</v>
      </c>
      <c r="H15" s="1" t="str">
        <f>MID(B15,1,4)</f>
        <v>CL11</v>
      </c>
      <c r="I15" s="1">
        <v>2027</v>
      </c>
      <c r="J15" s="1" t="str">
        <f>MID(B15,8,2)</f>
        <v>DB</v>
      </c>
      <c r="K15" s="1" t="str">
        <f>MID(B15,13,4)</f>
        <v>0100</v>
      </c>
      <c r="L15" s="1" t="str">
        <f>MID(B15,20,5)</f>
        <v>0+360</v>
      </c>
    </row>
    <row r="16" spans="1:12" x14ac:dyDescent="0.2">
      <c r="A16" t="s">
        <v>31</v>
      </c>
      <c r="B16" t="s">
        <v>32</v>
      </c>
      <c r="F16" t="str">
        <f t="shared" si="0"/>
        <v>104.6060</v>
      </c>
      <c r="G16" t="str">
        <f t="shared" si="1"/>
        <v xml:space="preserve"> 17.5679</v>
      </c>
      <c r="H16" s="1" t="str">
        <f t="shared" si="2"/>
        <v>LT2</v>
      </c>
      <c r="I16" s="1">
        <v>2027</v>
      </c>
      <c r="J16" s="1" t="str">
        <f t="shared" si="3"/>
        <v>SG</v>
      </c>
      <c r="K16" s="1" t="str">
        <f t="shared" si="4"/>
        <v>0100</v>
      </c>
      <c r="L16" s="1" t="str">
        <f t="shared" si="5"/>
        <v>0+358</v>
      </c>
    </row>
    <row r="17" spans="1:12" x14ac:dyDescent="0.2">
      <c r="A17" t="s">
        <v>33</v>
      </c>
      <c r="B17" t="s">
        <v>34</v>
      </c>
      <c r="F17" t="str">
        <f t="shared" si="0"/>
        <v>104.6059</v>
      </c>
      <c r="G17" t="str">
        <f t="shared" si="1"/>
        <v xml:space="preserve"> 17.5682</v>
      </c>
      <c r="H17" s="1" t="str">
        <f>MID(B17,1,4)</f>
        <v>CL12</v>
      </c>
      <c r="I17" s="1">
        <v>2027</v>
      </c>
      <c r="J17" s="1" t="str">
        <f>MID(B17,8,2)</f>
        <v>DB</v>
      </c>
      <c r="K17" s="1" t="str">
        <f>MID(B17,13,4)</f>
        <v>0100</v>
      </c>
      <c r="L17" s="1" t="str">
        <f>MID(B17,20,5)</f>
        <v>0+390</v>
      </c>
    </row>
    <row r="18" spans="1:12" x14ac:dyDescent="0.2">
      <c r="A18" t="s">
        <v>35</v>
      </c>
      <c r="B18" t="s">
        <v>36</v>
      </c>
      <c r="F18" t="str">
        <f t="shared" si="0"/>
        <v>104.6060</v>
      </c>
      <c r="G18" t="str">
        <f t="shared" si="1"/>
        <v xml:space="preserve"> 17.5683</v>
      </c>
      <c r="H18" s="1" t="str">
        <f t="shared" si="2"/>
        <v>RT3</v>
      </c>
      <c r="I18" s="1">
        <v>2027</v>
      </c>
      <c r="J18" s="1" t="str">
        <f t="shared" si="3"/>
        <v>SG</v>
      </c>
      <c r="K18" s="1" t="str">
        <f t="shared" si="4"/>
        <v>0100</v>
      </c>
      <c r="L18" s="1" t="str">
        <f t="shared" si="5"/>
        <v>0+390</v>
      </c>
    </row>
    <row r="19" spans="1:12" x14ac:dyDescent="0.2">
      <c r="A19" t="s">
        <v>37</v>
      </c>
      <c r="B19" t="s">
        <v>38</v>
      </c>
      <c r="F19" t="str">
        <f t="shared" si="0"/>
        <v>104.6058</v>
      </c>
      <c r="G19" t="str">
        <f t="shared" si="1"/>
        <v xml:space="preserve"> 17.5682</v>
      </c>
      <c r="H19" s="1" t="str">
        <f t="shared" si="2"/>
        <v>LT3</v>
      </c>
      <c r="I19" s="1">
        <v>2027</v>
      </c>
      <c r="J19" s="1" t="str">
        <f t="shared" si="3"/>
        <v>SG</v>
      </c>
      <c r="K19" s="1" t="str">
        <f t="shared" si="4"/>
        <v>0100</v>
      </c>
      <c r="L19" s="1" t="str">
        <f t="shared" si="5"/>
        <v>0+390</v>
      </c>
    </row>
    <row r="20" spans="1:12" x14ac:dyDescent="0.2">
      <c r="A20" t="s">
        <v>39</v>
      </c>
      <c r="B20" t="s">
        <v>40</v>
      </c>
      <c r="F20" t="str">
        <f t="shared" si="0"/>
        <v>104.6057</v>
      </c>
      <c r="G20" t="str">
        <f t="shared" si="1"/>
        <v xml:space="preserve"> 17.5685</v>
      </c>
      <c r="H20" s="1" t="str">
        <f>MID(B20,1,4)</f>
        <v>CL13</v>
      </c>
      <c r="I20" s="1">
        <v>2027</v>
      </c>
      <c r="J20" s="1" t="str">
        <f>MID(B20,8,2)</f>
        <v>DB</v>
      </c>
      <c r="K20" s="1" t="str">
        <f>MID(B20,13,4)</f>
        <v>0100</v>
      </c>
      <c r="L20" s="1" t="str">
        <f>MID(B20,20,5)</f>
        <v>0+425</v>
      </c>
    </row>
    <row r="21" spans="1:12" x14ac:dyDescent="0.2">
      <c r="A21" t="s">
        <v>41</v>
      </c>
      <c r="B21" t="s">
        <v>42</v>
      </c>
      <c r="F21" t="str">
        <f t="shared" si="0"/>
        <v>104.6056</v>
      </c>
      <c r="G21" t="str">
        <f>MID(A21,17,8)</f>
        <v xml:space="preserve"> 17.5686</v>
      </c>
      <c r="H21" s="1" t="str">
        <f>MID(B21,1,4)</f>
        <v>CL14</v>
      </c>
      <c r="I21" s="1">
        <v>2027</v>
      </c>
      <c r="J21" s="1" t="str">
        <f t="shared" ref="J21:J33" si="6">MID(B21,8,2)</f>
        <v>DB</v>
      </c>
      <c r="K21" s="1" t="str">
        <f t="shared" ref="K21:K51" si="7">MID(B21,13,4)</f>
        <v>0100</v>
      </c>
      <c r="L21" s="1" t="str">
        <f t="shared" ref="L21:L33" si="8">MID(B21,20,5)</f>
        <v>0+460</v>
      </c>
    </row>
    <row r="22" spans="1:12" x14ac:dyDescent="0.2">
      <c r="A22" t="s">
        <v>43</v>
      </c>
      <c r="B22" t="s">
        <v>44</v>
      </c>
      <c r="F22" t="str">
        <f t="shared" si="0"/>
        <v>104.6054</v>
      </c>
      <c r="G22" t="str">
        <f t="shared" si="1"/>
        <v xml:space="preserve"> 17.5688</v>
      </c>
      <c r="H22" s="1" t="str">
        <f t="shared" ref="H22:H33" si="9">MID(B22,1,4)</f>
        <v>CL15</v>
      </c>
      <c r="I22" s="1">
        <v>2027</v>
      </c>
      <c r="J22" s="1" t="str">
        <f t="shared" si="6"/>
        <v>DB</v>
      </c>
      <c r="K22" s="1" t="str">
        <f t="shared" si="7"/>
        <v>0100</v>
      </c>
      <c r="L22" s="1" t="str">
        <f t="shared" si="8"/>
        <v>0+495</v>
      </c>
    </row>
    <row r="23" spans="1:12" x14ac:dyDescent="0.2">
      <c r="A23" t="s">
        <v>45</v>
      </c>
      <c r="B23" t="s">
        <v>46</v>
      </c>
      <c r="F23" t="str">
        <f t="shared" si="0"/>
        <v>104.6052</v>
      </c>
      <c r="G23" t="str">
        <f>MID(A23,17,8)</f>
        <v xml:space="preserve"> 17.5690</v>
      </c>
      <c r="H23" s="1" t="str">
        <f t="shared" si="9"/>
        <v>CL16</v>
      </c>
      <c r="I23" s="1">
        <v>2027</v>
      </c>
      <c r="J23" s="1" t="str">
        <f t="shared" si="6"/>
        <v>DB</v>
      </c>
      <c r="K23" s="1" t="str">
        <f t="shared" si="7"/>
        <v>0100</v>
      </c>
      <c r="L23" s="1" t="str">
        <f t="shared" si="8"/>
        <v>0+530</v>
      </c>
    </row>
    <row r="24" spans="1:12" x14ac:dyDescent="0.2">
      <c r="A24" t="s">
        <v>47</v>
      </c>
      <c r="B24" t="s">
        <v>48</v>
      </c>
      <c r="F24" t="str">
        <f t="shared" si="0"/>
        <v>104.6051</v>
      </c>
      <c r="G24" t="str">
        <f t="shared" si="1"/>
        <v xml:space="preserve"> 17.5692</v>
      </c>
      <c r="H24" s="1" t="str">
        <f t="shared" si="9"/>
        <v>CL17</v>
      </c>
      <c r="I24" s="1">
        <v>2027</v>
      </c>
      <c r="J24" s="1" t="str">
        <f t="shared" si="6"/>
        <v>DB</v>
      </c>
      <c r="K24" s="1" t="str">
        <f t="shared" si="7"/>
        <v>0100</v>
      </c>
      <c r="L24" s="1" t="str">
        <f t="shared" si="8"/>
        <v>0+550</v>
      </c>
    </row>
    <row r="25" spans="1:12" x14ac:dyDescent="0.2">
      <c r="A25" t="s">
        <v>49</v>
      </c>
      <c r="B25" t="s">
        <v>50</v>
      </c>
      <c r="F25" t="str">
        <f t="shared" si="0"/>
        <v>104.6049</v>
      </c>
      <c r="G25" t="str">
        <f t="shared" si="1"/>
        <v xml:space="preserve"> 17.5694</v>
      </c>
      <c r="H25" s="1" t="str">
        <f t="shared" si="9"/>
        <v>CL18</v>
      </c>
      <c r="I25" s="1">
        <v>2027</v>
      </c>
      <c r="J25" s="1" t="str">
        <f t="shared" si="6"/>
        <v>DB</v>
      </c>
      <c r="K25" s="1" t="str">
        <f t="shared" si="7"/>
        <v>0100</v>
      </c>
      <c r="L25" s="1" t="str">
        <f t="shared" si="8"/>
        <v>0+580</v>
      </c>
    </row>
    <row r="26" spans="1:12" x14ac:dyDescent="0.2">
      <c r="A26" t="s">
        <v>51</v>
      </c>
      <c r="B26" t="s">
        <v>52</v>
      </c>
      <c r="F26" t="str">
        <f t="shared" si="0"/>
        <v>104.6048</v>
      </c>
      <c r="G26" t="str">
        <f>MID(A26,17,8)</f>
        <v xml:space="preserve"> 17.5695</v>
      </c>
      <c r="H26" s="1" t="str">
        <f t="shared" si="9"/>
        <v>CL19</v>
      </c>
      <c r="I26" s="1">
        <v>2027</v>
      </c>
      <c r="J26" s="1" t="str">
        <f t="shared" si="6"/>
        <v>DB</v>
      </c>
      <c r="K26" s="1" t="str">
        <f t="shared" si="7"/>
        <v>0100</v>
      </c>
      <c r="L26" s="1" t="str">
        <f t="shared" si="8"/>
        <v>0+600</v>
      </c>
    </row>
    <row r="27" spans="1:12" x14ac:dyDescent="0.2">
      <c r="A27" t="s">
        <v>53</v>
      </c>
      <c r="B27" t="s">
        <v>54</v>
      </c>
      <c r="F27" t="str">
        <f t="shared" si="0"/>
        <v>104.6046</v>
      </c>
      <c r="G27" t="str">
        <f t="shared" si="1"/>
        <v xml:space="preserve"> 17.5698</v>
      </c>
      <c r="H27" s="1" t="str">
        <f t="shared" si="9"/>
        <v>CL20</v>
      </c>
      <c r="I27" s="1">
        <v>2027</v>
      </c>
      <c r="J27" s="1" t="str">
        <f t="shared" si="6"/>
        <v>DB</v>
      </c>
      <c r="K27" s="1" t="str">
        <f t="shared" si="7"/>
        <v>0100</v>
      </c>
      <c r="L27" s="1" t="str">
        <f t="shared" si="8"/>
        <v>0+630</v>
      </c>
    </row>
    <row r="28" spans="1:12" x14ac:dyDescent="0.2">
      <c r="A28" t="s">
        <v>55</v>
      </c>
      <c r="B28" t="s">
        <v>56</v>
      </c>
      <c r="F28" t="str">
        <f t="shared" si="0"/>
        <v>104.6044</v>
      </c>
      <c r="G28" t="str">
        <f t="shared" si="1"/>
        <v xml:space="preserve"> 17.5700</v>
      </c>
      <c r="H28" s="1" t="str">
        <f t="shared" si="9"/>
        <v>CL21</v>
      </c>
      <c r="I28" s="1">
        <v>2027</v>
      </c>
      <c r="J28" s="1" t="str">
        <f t="shared" si="6"/>
        <v>DB</v>
      </c>
      <c r="K28" s="1" t="str">
        <f t="shared" si="7"/>
        <v>0100</v>
      </c>
      <c r="L28" s="1" t="str">
        <f t="shared" si="8"/>
        <v>0+665</v>
      </c>
    </row>
    <row r="29" spans="1:12" x14ac:dyDescent="0.2">
      <c r="A29" t="s">
        <v>57</v>
      </c>
      <c r="B29" t="s">
        <v>58</v>
      </c>
      <c r="F29" t="str">
        <f t="shared" si="0"/>
        <v>104.6042</v>
      </c>
      <c r="G29" t="str">
        <f t="shared" si="1"/>
        <v xml:space="preserve"> 17.5702</v>
      </c>
      <c r="H29" s="1" t="str">
        <f t="shared" si="9"/>
        <v>CL22</v>
      </c>
      <c r="I29" s="1">
        <v>2027</v>
      </c>
      <c r="J29" s="1" t="str">
        <f t="shared" si="6"/>
        <v>DB</v>
      </c>
      <c r="K29" s="1" t="str">
        <f t="shared" si="7"/>
        <v>0100</v>
      </c>
      <c r="L29" s="1" t="str">
        <f t="shared" si="8"/>
        <v>0+700</v>
      </c>
    </row>
    <row r="30" spans="1:12" x14ac:dyDescent="0.2">
      <c r="A30" t="s">
        <v>59</v>
      </c>
      <c r="B30" t="s">
        <v>60</v>
      </c>
      <c r="F30" t="str">
        <f t="shared" si="0"/>
        <v>104.6040</v>
      </c>
      <c r="G30" t="str">
        <f t="shared" si="1"/>
        <v xml:space="preserve"> 17.5705</v>
      </c>
      <c r="H30" s="1" t="str">
        <f t="shared" si="9"/>
        <v>CL23</v>
      </c>
      <c r="I30" s="1">
        <v>2027</v>
      </c>
      <c r="J30" s="1" t="str">
        <f t="shared" si="6"/>
        <v>DB</v>
      </c>
      <c r="K30" s="1" t="str">
        <f t="shared" si="7"/>
        <v>0100</v>
      </c>
      <c r="L30" s="1" t="str">
        <f t="shared" si="8"/>
        <v>0+735</v>
      </c>
    </row>
    <row r="31" spans="1:12" x14ac:dyDescent="0.2">
      <c r="A31" t="s">
        <v>61</v>
      </c>
      <c r="B31" t="s">
        <v>62</v>
      </c>
      <c r="F31" t="str">
        <f t="shared" si="0"/>
        <v>104.6038</v>
      </c>
      <c r="G31" t="str">
        <f t="shared" si="1"/>
        <v xml:space="preserve"> 17.5707</v>
      </c>
      <c r="H31" s="1" t="str">
        <f t="shared" si="9"/>
        <v>CL24</v>
      </c>
      <c r="I31" s="1">
        <v>2027</v>
      </c>
      <c r="J31" s="1" t="str">
        <f t="shared" si="6"/>
        <v>DB</v>
      </c>
      <c r="K31" s="1" t="str">
        <f t="shared" si="7"/>
        <v>0100</v>
      </c>
      <c r="L31" s="1" t="str">
        <f t="shared" si="8"/>
        <v>0+770</v>
      </c>
    </row>
    <row r="32" spans="1:12" x14ac:dyDescent="0.2">
      <c r="A32" t="s">
        <v>63</v>
      </c>
      <c r="B32" t="s">
        <v>64</v>
      </c>
      <c r="F32" t="str">
        <f t="shared" si="0"/>
        <v>104.6036</v>
      </c>
      <c r="G32" t="str">
        <f t="shared" si="1"/>
        <v xml:space="preserve"> 17.5710</v>
      </c>
      <c r="H32" s="1" t="str">
        <f t="shared" si="9"/>
        <v>CL25</v>
      </c>
      <c r="I32" s="1">
        <v>2027</v>
      </c>
      <c r="J32" s="1" t="str">
        <f t="shared" si="6"/>
        <v>DB</v>
      </c>
      <c r="K32" s="1" t="str">
        <f t="shared" si="7"/>
        <v>0100</v>
      </c>
      <c r="L32" s="1" t="str">
        <f t="shared" si="8"/>
        <v>0+805</v>
      </c>
    </row>
    <row r="33" spans="1:12" x14ac:dyDescent="0.2">
      <c r="A33" t="s">
        <v>65</v>
      </c>
      <c r="B33" t="s">
        <v>66</v>
      </c>
      <c r="F33" t="str">
        <f t="shared" si="0"/>
        <v>104.6034</v>
      </c>
      <c r="G33" t="str">
        <f t="shared" si="1"/>
        <v xml:space="preserve"> 17.5712</v>
      </c>
      <c r="H33" s="1" t="str">
        <f t="shared" si="9"/>
        <v>CL26</v>
      </c>
      <c r="I33" s="1">
        <v>2027</v>
      </c>
      <c r="J33" s="1" t="str">
        <f t="shared" si="6"/>
        <v>DB</v>
      </c>
      <c r="K33" s="1" t="str">
        <f t="shared" si="7"/>
        <v>0100</v>
      </c>
      <c r="L33" s="1" t="str">
        <f t="shared" si="8"/>
        <v>0+840</v>
      </c>
    </row>
    <row r="34" spans="1:12" x14ac:dyDescent="0.2">
      <c r="A34" t="s">
        <v>67</v>
      </c>
      <c r="B34" t="s">
        <v>68</v>
      </c>
      <c r="F34" t="str">
        <f t="shared" si="0"/>
        <v>104.6030</v>
      </c>
      <c r="G34" t="str">
        <f t="shared" si="1"/>
        <v xml:space="preserve"> 17.5714</v>
      </c>
      <c r="H34" s="1" t="str">
        <f t="shared" si="2"/>
        <v>LT4</v>
      </c>
      <c r="I34" s="1">
        <v>2027</v>
      </c>
      <c r="J34" s="1" t="str">
        <f t="shared" si="3"/>
        <v>SG</v>
      </c>
      <c r="K34" s="1" t="str">
        <f>MID(B34,12,4)</f>
        <v>0100</v>
      </c>
      <c r="L34" s="1" t="str">
        <f t="shared" si="5"/>
        <v>0+880</v>
      </c>
    </row>
    <row r="35" spans="1:12" x14ac:dyDescent="0.2">
      <c r="A35" t="s">
        <v>69</v>
      </c>
      <c r="B35" t="s">
        <v>70</v>
      </c>
      <c r="F35" t="str">
        <f t="shared" si="0"/>
        <v>104.6032</v>
      </c>
      <c r="G35" t="str">
        <f t="shared" si="1"/>
        <v xml:space="preserve"> 17.5716</v>
      </c>
      <c r="H35" s="1" t="str">
        <f t="shared" si="2"/>
        <v>RT4</v>
      </c>
      <c r="I35" s="1">
        <v>2027</v>
      </c>
      <c r="J35" s="1" t="str">
        <f t="shared" si="3"/>
        <v>SG</v>
      </c>
      <c r="K35" s="1" t="str">
        <f t="shared" ref="K35:K45" si="10">MID(B35,12,4)</f>
        <v>0100</v>
      </c>
      <c r="L35" s="1" t="str">
        <f t="shared" si="5"/>
        <v>0+880</v>
      </c>
    </row>
    <row r="36" spans="1:12" x14ac:dyDescent="0.2">
      <c r="A36" t="s">
        <v>71</v>
      </c>
      <c r="B36" t="s">
        <v>72</v>
      </c>
      <c r="F36" t="str">
        <f t="shared" si="0"/>
        <v>104.6030</v>
      </c>
      <c r="G36" t="str">
        <f t="shared" si="1"/>
        <v xml:space="preserve"> 17.5718</v>
      </c>
      <c r="H36" s="1" t="str">
        <f t="shared" si="2"/>
        <v>RT5</v>
      </c>
      <c r="I36" s="1">
        <v>2027</v>
      </c>
      <c r="J36" s="1" t="str">
        <f t="shared" si="3"/>
        <v>SG</v>
      </c>
      <c r="K36" s="1" t="str">
        <f t="shared" si="10"/>
        <v>0100</v>
      </c>
      <c r="L36" s="1" t="str">
        <f t="shared" si="5"/>
        <v>0+915</v>
      </c>
    </row>
    <row r="37" spans="1:12" x14ac:dyDescent="0.2">
      <c r="A37" t="s">
        <v>73</v>
      </c>
      <c r="B37" t="s">
        <v>74</v>
      </c>
      <c r="F37" t="str">
        <f t="shared" si="0"/>
        <v>104.6028</v>
      </c>
      <c r="G37" t="str">
        <f t="shared" si="1"/>
        <v xml:space="preserve"> 17.5717</v>
      </c>
      <c r="H37" s="1" t="str">
        <f t="shared" si="2"/>
        <v>LT5</v>
      </c>
      <c r="I37" s="1">
        <v>2027</v>
      </c>
      <c r="J37" s="1" t="str">
        <f t="shared" si="3"/>
        <v>SG</v>
      </c>
      <c r="K37" s="1" t="str">
        <f t="shared" si="10"/>
        <v>0100</v>
      </c>
      <c r="L37" s="1" t="str">
        <f t="shared" si="5"/>
        <v>0+915</v>
      </c>
    </row>
    <row r="38" spans="1:12" x14ac:dyDescent="0.2">
      <c r="A38" t="s">
        <v>75</v>
      </c>
      <c r="B38" t="s">
        <v>76</v>
      </c>
      <c r="F38" t="str">
        <f t="shared" si="0"/>
        <v>104.6026</v>
      </c>
      <c r="G38" t="str">
        <f t="shared" si="1"/>
        <v xml:space="preserve"> 17.5719</v>
      </c>
      <c r="H38" s="1" t="str">
        <f t="shared" si="2"/>
        <v>LT6</v>
      </c>
      <c r="I38" s="1">
        <v>2027</v>
      </c>
      <c r="J38" s="1" t="str">
        <f t="shared" si="3"/>
        <v>SG</v>
      </c>
      <c r="K38" s="1" t="str">
        <f t="shared" si="10"/>
        <v>0100</v>
      </c>
      <c r="L38" s="1" t="str">
        <f t="shared" si="5"/>
        <v>0+950</v>
      </c>
    </row>
    <row r="39" spans="1:12" x14ac:dyDescent="0.2">
      <c r="A39" t="s">
        <v>77</v>
      </c>
      <c r="B39" t="s">
        <v>78</v>
      </c>
      <c r="F39" t="str">
        <f t="shared" si="0"/>
        <v>104.6027</v>
      </c>
      <c r="G39" t="str">
        <f t="shared" si="1"/>
        <v xml:space="preserve"> 17.5721</v>
      </c>
      <c r="H39" s="1" t="str">
        <f t="shared" si="2"/>
        <v>RT6</v>
      </c>
      <c r="I39" s="1">
        <v>2027</v>
      </c>
      <c r="J39" s="1" t="str">
        <f t="shared" si="3"/>
        <v>SG</v>
      </c>
      <c r="K39" s="1" t="str">
        <f t="shared" si="10"/>
        <v>0100</v>
      </c>
      <c r="L39" s="1" t="str">
        <f t="shared" si="5"/>
        <v>0+960</v>
      </c>
    </row>
    <row r="40" spans="1:12" x14ac:dyDescent="0.2">
      <c r="A40" t="s">
        <v>79</v>
      </c>
      <c r="B40" t="s">
        <v>80</v>
      </c>
      <c r="F40" t="str">
        <f t="shared" si="0"/>
        <v>104.6025</v>
      </c>
      <c r="G40" t="str">
        <f t="shared" si="1"/>
        <v xml:space="preserve"> 17.5722</v>
      </c>
      <c r="H40" s="1" t="str">
        <f t="shared" si="2"/>
        <v>LT7</v>
      </c>
      <c r="I40" s="1">
        <v>2027</v>
      </c>
      <c r="J40" s="1" t="str">
        <f t="shared" si="3"/>
        <v>SG</v>
      </c>
      <c r="K40" s="1" t="str">
        <f t="shared" si="10"/>
        <v>0100</v>
      </c>
      <c r="L40" s="1" t="str">
        <f t="shared" si="5"/>
        <v>0+985</v>
      </c>
    </row>
    <row r="41" spans="1:12" x14ac:dyDescent="0.2">
      <c r="A41" t="s">
        <v>81</v>
      </c>
      <c r="B41" t="s">
        <v>82</v>
      </c>
      <c r="F41" t="str">
        <f t="shared" si="0"/>
        <v>104.6026</v>
      </c>
      <c r="G41" t="str">
        <f t="shared" si="1"/>
        <v xml:space="preserve"> 17.5723</v>
      </c>
      <c r="H41" s="1" t="str">
        <f t="shared" si="2"/>
        <v>RT7</v>
      </c>
      <c r="I41" s="1">
        <v>2027</v>
      </c>
      <c r="J41" s="1" t="str">
        <f t="shared" si="3"/>
        <v>SG</v>
      </c>
      <c r="K41" s="1" t="str">
        <f t="shared" si="10"/>
        <v>0100</v>
      </c>
      <c r="L41" s="1" t="str">
        <f t="shared" si="5"/>
        <v>0+985</v>
      </c>
    </row>
    <row r="42" spans="1:12" x14ac:dyDescent="0.2">
      <c r="A42" t="s">
        <v>83</v>
      </c>
      <c r="B42" t="s">
        <v>84</v>
      </c>
      <c r="F42" t="str">
        <f t="shared" si="0"/>
        <v>104.6023</v>
      </c>
      <c r="G42" t="str">
        <f>MID(A42,17,8)</f>
        <v xml:space="preserve"> 17.5724</v>
      </c>
      <c r="H42" s="1" t="str">
        <f t="shared" si="2"/>
        <v>LT8</v>
      </c>
      <c r="I42" s="1">
        <v>2027</v>
      </c>
      <c r="J42" s="1" t="str">
        <f t="shared" si="3"/>
        <v>SG</v>
      </c>
      <c r="K42" s="1" t="str">
        <f t="shared" si="10"/>
        <v>0100</v>
      </c>
      <c r="L42" s="1" t="str">
        <f t="shared" si="5"/>
        <v>1+015</v>
      </c>
    </row>
    <row r="43" spans="1:12" x14ac:dyDescent="0.2">
      <c r="A43" t="s">
        <v>85</v>
      </c>
      <c r="B43" t="s">
        <v>86</v>
      </c>
      <c r="F43" t="str">
        <f t="shared" si="0"/>
        <v>104.6024</v>
      </c>
      <c r="G43" t="str">
        <f t="shared" si="1"/>
        <v xml:space="preserve"> 17.5725</v>
      </c>
      <c r="H43" s="1" t="str">
        <f t="shared" si="2"/>
        <v>RT8</v>
      </c>
      <c r="I43" s="1">
        <v>2027</v>
      </c>
      <c r="J43" s="1" t="str">
        <f t="shared" si="3"/>
        <v>SG</v>
      </c>
      <c r="K43" s="1" t="str">
        <f t="shared" si="10"/>
        <v>0100</v>
      </c>
      <c r="L43" s="1" t="str">
        <f t="shared" si="5"/>
        <v>1+015</v>
      </c>
    </row>
    <row r="44" spans="1:12" x14ac:dyDescent="0.2">
      <c r="A44" t="s">
        <v>87</v>
      </c>
      <c r="B44" t="s">
        <v>88</v>
      </c>
      <c r="F44" t="str">
        <f t="shared" si="0"/>
        <v>104.6021</v>
      </c>
      <c r="G44" t="str">
        <f t="shared" si="1"/>
        <v xml:space="preserve"> 17.5726</v>
      </c>
      <c r="H44" s="1" t="str">
        <f t="shared" si="2"/>
        <v>LT9</v>
      </c>
      <c r="I44" s="1">
        <v>2027</v>
      </c>
      <c r="J44" s="1" t="str">
        <f t="shared" si="3"/>
        <v>SG</v>
      </c>
      <c r="K44" s="1" t="str">
        <f t="shared" si="10"/>
        <v>0100</v>
      </c>
      <c r="L44" s="1" t="str">
        <f t="shared" si="5"/>
        <v>1+045</v>
      </c>
    </row>
    <row r="45" spans="1:12" x14ac:dyDescent="0.2">
      <c r="A45" t="s">
        <v>89</v>
      </c>
      <c r="B45" t="s">
        <v>90</v>
      </c>
      <c r="F45" t="str">
        <f t="shared" si="0"/>
        <v>104.6022</v>
      </c>
      <c r="G45" t="str">
        <f>MID(A45,17,8)</f>
        <v xml:space="preserve"> 17.5727</v>
      </c>
      <c r="H45" s="1" t="str">
        <f t="shared" si="2"/>
        <v>RT9</v>
      </c>
      <c r="I45" s="1">
        <v>2027</v>
      </c>
      <c r="J45" s="1" t="str">
        <f t="shared" si="3"/>
        <v>SG</v>
      </c>
      <c r="K45" s="1" t="str">
        <f t="shared" si="10"/>
        <v>0100</v>
      </c>
      <c r="L45" s="1" t="str">
        <f t="shared" si="5"/>
        <v>1+045</v>
      </c>
    </row>
    <row r="46" spans="1:12" x14ac:dyDescent="0.2">
      <c r="A46" t="s">
        <v>91</v>
      </c>
      <c r="B46" t="s">
        <v>92</v>
      </c>
      <c r="F46" t="str">
        <f t="shared" si="0"/>
        <v>104.6019</v>
      </c>
      <c r="G46" t="str">
        <f t="shared" si="1"/>
        <v xml:space="preserve"> 17.5729</v>
      </c>
      <c r="H46" s="1" t="str">
        <f>MID(B46,1,4)</f>
        <v>LT10</v>
      </c>
      <c r="I46" s="1">
        <v>2027</v>
      </c>
      <c r="J46" s="1" t="str">
        <f>MID(B46,8,2)</f>
        <v>SG</v>
      </c>
      <c r="K46" s="1" t="str">
        <f t="shared" si="7"/>
        <v>0100</v>
      </c>
      <c r="L46" s="1" t="str">
        <f t="shared" ref="L46:L51" si="11">MID(B46,20,5)</f>
        <v>1+085</v>
      </c>
    </row>
    <row r="47" spans="1:12" x14ac:dyDescent="0.2">
      <c r="A47" t="s">
        <v>93</v>
      </c>
      <c r="B47" t="s">
        <v>94</v>
      </c>
      <c r="F47" t="str">
        <f t="shared" si="0"/>
        <v>104.6020</v>
      </c>
      <c r="G47" t="str">
        <f t="shared" si="1"/>
        <v xml:space="preserve"> 17.5730</v>
      </c>
      <c r="H47" s="1" t="str">
        <f>MID(B47,1,4)</f>
        <v>RT10</v>
      </c>
      <c r="I47" s="1">
        <v>2027</v>
      </c>
      <c r="J47" s="1" t="str">
        <f t="shared" ref="J47:J51" si="12">MID(B47,8,2)</f>
        <v>SG</v>
      </c>
      <c r="K47" s="1" t="str">
        <f t="shared" si="7"/>
        <v>0100</v>
      </c>
      <c r="L47" s="1" t="str">
        <f t="shared" si="11"/>
        <v>1+085</v>
      </c>
    </row>
    <row r="48" spans="1:12" x14ac:dyDescent="0.2">
      <c r="A48" t="s">
        <v>95</v>
      </c>
      <c r="B48" t="s">
        <v>96</v>
      </c>
      <c r="F48" t="str">
        <f t="shared" si="0"/>
        <v>104.5916</v>
      </c>
      <c r="G48" t="str">
        <f t="shared" si="1"/>
        <v xml:space="preserve"> 17.5763</v>
      </c>
      <c r="H48" s="1" t="str">
        <f>MID(B48,1,4)</f>
        <v>LT11</v>
      </c>
      <c r="I48" s="1">
        <v>2027</v>
      </c>
      <c r="J48" s="1" t="str">
        <f t="shared" si="12"/>
        <v>SG</v>
      </c>
      <c r="K48" s="1" t="str">
        <f t="shared" si="7"/>
        <v>0100</v>
      </c>
      <c r="L48" s="1" t="str">
        <f t="shared" si="11"/>
        <v>1+350</v>
      </c>
    </row>
    <row r="49" spans="1:12" x14ac:dyDescent="0.2">
      <c r="A49" t="s">
        <v>97</v>
      </c>
      <c r="B49" t="s">
        <v>101</v>
      </c>
      <c r="F49" t="str">
        <f t="shared" si="0"/>
        <v>104.5910</v>
      </c>
      <c r="G49" t="str">
        <f t="shared" si="1"/>
        <v xml:space="preserve"> 17.5766</v>
      </c>
      <c r="H49" s="1" t="str">
        <f t="shared" ref="H49:H51" si="13">MID(B49,1,4)</f>
        <v>RT11</v>
      </c>
      <c r="I49" s="1">
        <v>2027</v>
      </c>
      <c r="J49" s="1" t="str">
        <f t="shared" si="12"/>
        <v>SG</v>
      </c>
      <c r="K49" s="1" t="str">
        <f t="shared" si="7"/>
        <v>0100</v>
      </c>
      <c r="L49" s="1" t="str">
        <f t="shared" si="11"/>
        <v>2+430</v>
      </c>
    </row>
    <row r="50" spans="1:12" x14ac:dyDescent="0.2">
      <c r="A50" t="s">
        <v>98</v>
      </c>
      <c r="B50" t="s">
        <v>99</v>
      </c>
      <c r="F50" t="str">
        <f t="shared" si="0"/>
        <v>104.5908</v>
      </c>
      <c r="G50" t="str">
        <f>MID(A50,17,8)</f>
        <v xml:space="preserve"> 17.5765</v>
      </c>
      <c r="H50" s="1" t="str">
        <f t="shared" si="13"/>
        <v>LT12</v>
      </c>
      <c r="I50" s="1">
        <v>2027</v>
      </c>
      <c r="J50" s="1" t="str">
        <f t="shared" si="12"/>
        <v>SG</v>
      </c>
      <c r="K50" s="1" t="str">
        <f t="shared" si="7"/>
        <v>0100</v>
      </c>
      <c r="L50" s="1" t="str">
        <f t="shared" si="11"/>
        <v>2+450</v>
      </c>
    </row>
    <row r="51" spans="1:12" x14ac:dyDescent="0.2">
      <c r="A51" t="s">
        <v>100</v>
      </c>
      <c r="B51" t="s">
        <v>102</v>
      </c>
      <c r="F51" t="str">
        <f t="shared" si="0"/>
        <v>104.5904</v>
      </c>
      <c r="G51" t="str">
        <f t="shared" si="1"/>
        <v xml:space="preserve"> 17.5768</v>
      </c>
      <c r="H51" s="1" t="str">
        <f t="shared" si="13"/>
        <v>RT12</v>
      </c>
      <c r="I51" s="1">
        <v>2027</v>
      </c>
      <c r="J51" s="1" t="str">
        <f t="shared" si="12"/>
        <v>SG</v>
      </c>
      <c r="K51" s="1" t="str">
        <f t="shared" si="7"/>
        <v>0100</v>
      </c>
      <c r="L51" s="1" t="str">
        <f t="shared" si="11"/>
        <v>2+495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2027- ทล.2027  ตอนควบคุม 0100 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Tiger</dc:creator>
  <cp:lastModifiedBy>Tiger</cp:lastModifiedBy>
  <dcterms:created xsi:type="dcterms:W3CDTF">2023-06-26T06:43:33Z</dcterms:created>
  <dcterms:modified xsi:type="dcterms:W3CDTF">2023-06-30T08:03:12Z</dcterms:modified>
</cp:coreProperties>
</file>