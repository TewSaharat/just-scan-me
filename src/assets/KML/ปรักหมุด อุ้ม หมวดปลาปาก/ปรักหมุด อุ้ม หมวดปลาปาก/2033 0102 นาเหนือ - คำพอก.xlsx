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UM_HumNoi\OneDrive\เดสก์ท็อป\ปรักหมุด อุ้ม หมวดปลาปาก\"/>
    </mc:Choice>
  </mc:AlternateContent>
  <xr:revisionPtr revIDLastSave="0" documentId="13_ncr:1_{B24000CB-41F0-4DA3-B2AC-C0CA6AF205D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ATA CSV หมวดปลาปาก 2033" sheetId="2" r:id="rId1"/>
    <sheet name="แผนที่ที่ไม่มีชื่อ- 2033" sheetId="1" r:id="rId2"/>
  </sheets>
  <calcPr calcId="181029"/>
</workbook>
</file>

<file path=xl/calcChain.xml><?xml version="1.0" encoding="utf-8"?>
<calcChain xmlns="http://schemas.openxmlformats.org/spreadsheetml/2006/main">
  <c r="M242" i="1" l="1"/>
  <c r="M243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188" i="1"/>
  <c r="M189" i="1"/>
  <c r="M190" i="1"/>
  <c r="M191" i="1"/>
  <c r="M192" i="1"/>
  <c r="M193" i="1"/>
  <c r="M194" i="1"/>
  <c r="M195" i="1"/>
  <c r="M196" i="1"/>
  <c r="M197" i="1"/>
  <c r="M198" i="1"/>
  <c r="M187" i="1"/>
  <c r="M179" i="1"/>
  <c r="M177" i="1"/>
  <c r="M178" i="1"/>
  <c r="M180" i="1"/>
  <c r="M181" i="1"/>
  <c r="M182" i="1"/>
  <c r="M183" i="1"/>
  <c r="M184" i="1"/>
  <c r="M185" i="1"/>
  <c r="M186" i="1"/>
  <c r="M166" i="1"/>
  <c r="M167" i="1"/>
  <c r="M168" i="1"/>
  <c r="M169" i="1"/>
  <c r="M170" i="1"/>
  <c r="M171" i="1"/>
  <c r="M172" i="1"/>
  <c r="M173" i="1"/>
  <c r="M174" i="1"/>
  <c r="M175" i="1"/>
  <c r="M176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59" i="1"/>
  <c r="M60" i="1"/>
  <c r="M61" i="1"/>
  <c r="M62" i="1"/>
  <c r="M63" i="1"/>
  <c r="M58" i="1"/>
  <c r="M49" i="1"/>
  <c r="M50" i="1"/>
  <c r="M51" i="1"/>
  <c r="M52" i="1"/>
  <c r="M53" i="1"/>
  <c r="M54" i="1"/>
  <c r="M55" i="1"/>
  <c r="M56" i="1"/>
  <c r="M57" i="1"/>
  <c r="M39" i="1"/>
  <c r="M40" i="1"/>
  <c r="M41" i="1"/>
  <c r="M42" i="1"/>
  <c r="M43" i="1"/>
  <c r="M44" i="1"/>
  <c r="M45" i="1"/>
  <c r="M46" i="1"/>
  <c r="M47" i="1"/>
  <c r="M48" i="1"/>
  <c r="M38" i="1"/>
  <c r="M35" i="1"/>
  <c r="M36" i="1"/>
  <c r="M37" i="1"/>
  <c r="M34" i="1"/>
  <c r="M33" i="1"/>
  <c r="M28" i="1"/>
  <c r="M29" i="1"/>
  <c r="M30" i="1"/>
  <c r="M31" i="1"/>
  <c r="M32" i="1"/>
  <c r="M17" i="1"/>
  <c r="M18" i="1"/>
  <c r="M19" i="1"/>
  <c r="M20" i="1"/>
  <c r="M21" i="1"/>
  <c r="M22" i="1"/>
  <c r="M23" i="1"/>
  <c r="M24" i="1"/>
  <c r="M25" i="1"/>
  <c r="M26" i="1"/>
  <c r="M27" i="1"/>
  <c r="M16" i="1"/>
  <c r="M11" i="1"/>
  <c r="M12" i="1"/>
  <c r="M13" i="1"/>
  <c r="M14" i="1"/>
  <c r="M15" i="1"/>
  <c r="M10" i="1"/>
  <c r="M3" i="1"/>
  <c r="M4" i="1"/>
  <c r="M5" i="1"/>
  <c r="M6" i="1"/>
  <c r="M7" i="1"/>
  <c r="M8" i="1"/>
  <c r="M9" i="1"/>
  <c r="M2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21" i="1"/>
  <c r="J214" i="1"/>
  <c r="J215" i="1"/>
  <c r="J216" i="1"/>
  <c r="J217" i="1"/>
  <c r="J218" i="1"/>
  <c r="J219" i="1"/>
  <c r="J220" i="1"/>
  <c r="J213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187" i="1"/>
  <c r="J179" i="1"/>
  <c r="J158" i="1"/>
  <c r="J38" i="1"/>
  <c r="J176" i="1"/>
  <c r="J177" i="1"/>
  <c r="J178" i="1"/>
  <c r="J180" i="1"/>
  <c r="J181" i="1"/>
  <c r="J182" i="1"/>
  <c r="J183" i="1"/>
  <c r="J184" i="1"/>
  <c r="J185" i="1"/>
  <c r="J186" i="1"/>
  <c r="J153" i="1"/>
  <c r="J154" i="1"/>
  <c r="J155" i="1"/>
  <c r="J156" i="1"/>
  <c r="J157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54" i="1"/>
  <c r="J55" i="1"/>
  <c r="J56" i="1"/>
  <c r="J57" i="1"/>
  <c r="J58" i="1"/>
  <c r="J59" i="1"/>
  <c r="J60" i="1"/>
  <c r="J61" i="1"/>
  <c r="J62" i="1"/>
  <c r="J63" i="1"/>
  <c r="J64" i="1"/>
  <c r="J65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35" i="1"/>
  <c r="J36" i="1"/>
  <c r="J37" i="1"/>
  <c r="J34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16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2" i="1"/>
  <c r="H35" i="1"/>
  <c r="H36" i="1"/>
  <c r="H37" i="1"/>
  <c r="H34" i="1"/>
  <c r="H214" i="1"/>
  <c r="H215" i="1"/>
  <c r="H216" i="1"/>
  <c r="H217" i="1"/>
  <c r="H218" i="1"/>
  <c r="H219" i="1"/>
  <c r="H220" i="1"/>
  <c r="H213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187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I57" i="1"/>
  <c r="I58" i="1"/>
  <c r="I59" i="1"/>
  <c r="I60" i="1"/>
  <c r="I61" i="1"/>
  <c r="I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H180" i="1"/>
  <c r="H181" i="1"/>
  <c r="H182" i="1"/>
  <c r="H183" i="1"/>
  <c r="H184" i="1"/>
  <c r="H185" i="1"/>
  <c r="H186" i="1"/>
  <c r="I16" i="1"/>
  <c r="H3" i="1"/>
  <c r="I4" i="1"/>
  <c r="H5" i="1"/>
  <c r="I6" i="1"/>
  <c r="H7" i="1"/>
  <c r="I8" i="1"/>
  <c r="H9" i="1"/>
  <c r="I10" i="1"/>
  <c r="I11" i="1"/>
  <c r="I12" i="1"/>
  <c r="I13" i="1"/>
  <c r="I14" i="1"/>
  <c r="I15" i="1"/>
  <c r="H2" i="1"/>
  <c r="G2" i="1"/>
  <c r="G81" i="1"/>
  <c r="G71" i="1"/>
  <c r="G70" i="1"/>
  <c r="G63" i="1"/>
  <c r="G60" i="1"/>
  <c r="G41" i="1"/>
  <c r="G38" i="1"/>
  <c r="G22" i="1"/>
  <c r="G19" i="1"/>
  <c r="G7" i="1"/>
  <c r="G83" i="1"/>
  <c r="G108" i="1"/>
  <c r="G107" i="1"/>
  <c r="G113" i="1"/>
  <c r="G125" i="1"/>
  <c r="G133" i="1"/>
  <c r="G145" i="1"/>
  <c r="G164" i="1"/>
  <c r="G165" i="1"/>
  <c r="G194" i="1"/>
  <c r="G200" i="1"/>
  <c r="G203" i="1"/>
  <c r="G225" i="1"/>
  <c r="G226" i="1"/>
  <c r="G238" i="1"/>
  <c r="F21" i="1"/>
  <c r="G21" i="1"/>
  <c r="F22" i="1"/>
  <c r="F23" i="1"/>
  <c r="G23" i="1"/>
  <c r="F24" i="1"/>
  <c r="G24" i="1"/>
  <c r="F25" i="1"/>
  <c r="G25" i="1"/>
  <c r="F26" i="1"/>
  <c r="G26" i="1"/>
  <c r="F27" i="1"/>
  <c r="G27" i="1"/>
  <c r="F28" i="1"/>
  <c r="G28" i="1"/>
  <c r="F29" i="1"/>
  <c r="G29" i="1"/>
  <c r="F30" i="1"/>
  <c r="G30" i="1"/>
  <c r="F31" i="1"/>
  <c r="G31" i="1"/>
  <c r="F32" i="1"/>
  <c r="G32" i="1"/>
  <c r="F33" i="1"/>
  <c r="G33" i="1"/>
  <c r="F34" i="1"/>
  <c r="G34" i="1"/>
  <c r="F35" i="1"/>
  <c r="G35" i="1"/>
  <c r="F36" i="1"/>
  <c r="G36" i="1"/>
  <c r="F37" i="1"/>
  <c r="G37" i="1"/>
  <c r="F38" i="1"/>
  <c r="F39" i="1"/>
  <c r="G39" i="1"/>
  <c r="F40" i="1"/>
  <c r="G40" i="1"/>
  <c r="F41" i="1"/>
  <c r="F42" i="1"/>
  <c r="G42" i="1"/>
  <c r="F43" i="1"/>
  <c r="G43" i="1"/>
  <c r="F44" i="1"/>
  <c r="G44" i="1"/>
  <c r="F45" i="1"/>
  <c r="G45" i="1"/>
  <c r="F46" i="1"/>
  <c r="G46" i="1"/>
  <c r="F47" i="1"/>
  <c r="G47" i="1"/>
  <c r="F48" i="1"/>
  <c r="G48" i="1"/>
  <c r="F49" i="1"/>
  <c r="G49" i="1"/>
  <c r="F50" i="1"/>
  <c r="G50" i="1"/>
  <c r="F51" i="1"/>
  <c r="G51" i="1"/>
  <c r="F52" i="1"/>
  <c r="G52" i="1"/>
  <c r="F53" i="1"/>
  <c r="G53" i="1"/>
  <c r="F54" i="1"/>
  <c r="G54" i="1"/>
  <c r="F55" i="1"/>
  <c r="G55" i="1"/>
  <c r="F56" i="1"/>
  <c r="G56" i="1"/>
  <c r="F57" i="1"/>
  <c r="G57" i="1"/>
  <c r="F58" i="1"/>
  <c r="G58" i="1"/>
  <c r="F59" i="1"/>
  <c r="G59" i="1"/>
  <c r="F60" i="1"/>
  <c r="F61" i="1"/>
  <c r="G61" i="1"/>
  <c r="F62" i="1"/>
  <c r="G62" i="1"/>
  <c r="F63" i="1"/>
  <c r="F64" i="1"/>
  <c r="G64" i="1"/>
  <c r="F65" i="1"/>
  <c r="G65" i="1"/>
  <c r="F66" i="1"/>
  <c r="G66" i="1"/>
  <c r="F67" i="1"/>
  <c r="G67" i="1"/>
  <c r="F68" i="1"/>
  <c r="G68" i="1"/>
  <c r="F69" i="1"/>
  <c r="G69" i="1"/>
  <c r="F70" i="1"/>
  <c r="F71" i="1"/>
  <c r="F72" i="1"/>
  <c r="G72" i="1"/>
  <c r="F73" i="1"/>
  <c r="G73" i="1"/>
  <c r="F74" i="1"/>
  <c r="G74" i="1"/>
  <c r="F75" i="1"/>
  <c r="G75" i="1"/>
  <c r="F76" i="1"/>
  <c r="G76" i="1"/>
  <c r="F77" i="1"/>
  <c r="G77" i="1"/>
  <c r="F78" i="1"/>
  <c r="G78" i="1"/>
  <c r="F79" i="1"/>
  <c r="G79" i="1"/>
  <c r="F80" i="1"/>
  <c r="G80" i="1"/>
  <c r="F81" i="1"/>
  <c r="F82" i="1"/>
  <c r="G82" i="1"/>
  <c r="F83" i="1"/>
  <c r="F84" i="1"/>
  <c r="G84" i="1"/>
  <c r="F85" i="1"/>
  <c r="G85" i="1"/>
  <c r="F86" i="1"/>
  <c r="G86" i="1"/>
  <c r="F87" i="1"/>
  <c r="G87" i="1"/>
  <c r="F88" i="1"/>
  <c r="G88" i="1"/>
  <c r="F89" i="1"/>
  <c r="G89" i="1"/>
  <c r="F90" i="1"/>
  <c r="G90" i="1"/>
  <c r="F91" i="1"/>
  <c r="G91" i="1"/>
  <c r="F92" i="1"/>
  <c r="G92" i="1"/>
  <c r="F93" i="1"/>
  <c r="G93" i="1"/>
  <c r="F94" i="1"/>
  <c r="G94" i="1"/>
  <c r="F95" i="1"/>
  <c r="G95" i="1"/>
  <c r="F96" i="1"/>
  <c r="G96" i="1"/>
  <c r="F97" i="1"/>
  <c r="G97" i="1"/>
  <c r="F98" i="1"/>
  <c r="G98" i="1"/>
  <c r="F99" i="1"/>
  <c r="G99" i="1"/>
  <c r="F100" i="1"/>
  <c r="G100" i="1"/>
  <c r="F101" i="1"/>
  <c r="G101" i="1"/>
  <c r="F102" i="1"/>
  <c r="G102" i="1"/>
  <c r="F103" i="1"/>
  <c r="G103" i="1"/>
  <c r="F104" i="1"/>
  <c r="G104" i="1"/>
  <c r="F105" i="1"/>
  <c r="G105" i="1"/>
  <c r="F106" i="1"/>
  <c r="G106" i="1"/>
  <c r="F107" i="1"/>
  <c r="F108" i="1"/>
  <c r="F109" i="1"/>
  <c r="G109" i="1"/>
  <c r="F110" i="1"/>
  <c r="G110" i="1"/>
  <c r="F111" i="1"/>
  <c r="G111" i="1"/>
  <c r="F112" i="1"/>
  <c r="G112" i="1"/>
  <c r="F113" i="1"/>
  <c r="F114" i="1"/>
  <c r="G114" i="1"/>
  <c r="F115" i="1"/>
  <c r="G115" i="1"/>
  <c r="F116" i="1"/>
  <c r="G116" i="1"/>
  <c r="F117" i="1"/>
  <c r="G117" i="1"/>
  <c r="F118" i="1"/>
  <c r="G118" i="1"/>
  <c r="F119" i="1"/>
  <c r="G119" i="1"/>
  <c r="F120" i="1"/>
  <c r="G120" i="1"/>
  <c r="F121" i="1"/>
  <c r="G121" i="1"/>
  <c r="F122" i="1"/>
  <c r="G122" i="1"/>
  <c r="F123" i="1"/>
  <c r="G123" i="1"/>
  <c r="F124" i="1"/>
  <c r="G124" i="1"/>
  <c r="F125" i="1"/>
  <c r="F126" i="1"/>
  <c r="G126" i="1"/>
  <c r="F127" i="1"/>
  <c r="G127" i="1"/>
  <c r="F128" i="1"/>
  <c r="G128" i="1"/>
  <c r="F129" i="1"/>
  <c r="G129" i="1"/>
  <c r="F130" i="1"/>
  <c r="G130" i="1"/>
  <c r="F131" i="1"/>
  <c r="G131" i="1"/>
  <c r="F132" i="1"/>
  <c r="G132" i="1"/>
  <c r="F133" i="1"/>
  <c r="F134" i="1"/>
  <c r="G134" i="1"/>
  <c r="F135" i="1"/>
  <c r="G135" i="1"/>
  <c r="F136" i="1"/>
  <c r="G136" i="1"/>
  <c r="F137" i="1"/>
  <c r="G137" i="1"/>
  <c r="F138" i="1"/>
  <c r="G138" i="1"/>
  <c r="F139" i="1"/>
  <c r="G139" i="1"/>
  <c r="F140" i="1"/>
  <c r="G140" i="1"/>
  <c r="F141" i="1"/>
  <c r="G141" i="1"/>
  <c r="F142" i="1"/>
  <c r="G142" i="1"/>
  <c r="F143" i="1"/>
  <c r="G143" i="1"/>
  <c r="F144" i="1"/>
  <c r="G144" i="1"/>
  <c r="F145" i="1"/>
  <c r="F146" i="1"/>
  <c r="G146" i="1"/>
  <c r="F147" i="1"/>
  <c r="G147" i="1"/>
  <c r="F148" i="1"/>
  <c r="G148" i="1"/>
  <c r="F149" i="1"/>
  <c r="G149" i="1"/>
  <c r="F150" i="1"/>
  <c r="G150" i="1"/>
  <c r="F151" i="1"/>
  <c r="G151" i="1"/>
  <c r="F152" i="1"/>
  <c r="G152" i="1"/>
  <c r="F153" i="1"/>
  <c r="G153" i="1"/>
  <c r="F154" i="1"/>
  <c r="G154" i="1"/>
  <c r="F155" i="1"/>
  <c r="G155" i="1"/>
  <c r="F156" i="1"/>
  <c r="G156" i="1"/>
  <c r="F157" i="1"/>
  <c r="G157" i="1"/>
  <c r="F158" i="1"/>
  <c r="G158" i="1"/>
  <c r="F159" i="1"/>
  <c r="G159" i="1"/>
  <c r="F160" i="1"/>
  <c r="G160" i="1"/>
  <c r="F161" i="1"/>
  <c r="G161" i="1"/>
  <c r="F162" i="1"/>
  <c r="G162" i="1"/>
  <c r="F163" i="1"/>
  <c r="G163" i="1"/>
  <c r="F164" i="1"/>
  <c r="F165" i="1"/>
  <c r="F166" i="1"/>
  <c r="G166" i="1"/>
  <c r="F167" i="1"/>
  <c r="G167" i="1"/>
  <c r="F168" i="1"/>
  <c r="G168" i="1"/>
  <c r="F169" i="1"/>
  <c r="G169" i="1"/>
  <c r="F170" i="1"/>
  <c r="G170" i="1"/>
  <c r="F171" i="1"/>
  <c r="G171" i="1"/>
  <c r="F172" i="1"/>
  <c r="G172" i="1"/>
  <c r="F173" i="1"/>
  <c r="G173" i="1"/>
  <c r="F174" i="1"/>
  <c r="G174" i="1"/>
  <c r="F175" i="1"/>
  <c r="G175" i="1"/>
  <c r="F176" i="1"/>
  <c r="G176" i="1"/>
  <c r="F177" i="1"/>
  <c r="G177" i="1"/>
  <c r="F178" i="1"/>
  <c r="G178" i="1"/>
  <c r="F179" i="1"/>
  <c r="G179" i="1"/>
  <c r="F180" i="1"/>
  <c r="G180" i="1"/>
  <c r="F181" i="1"/>
  <c r="G181" i="1"/>
  <c r="F182" i="1"/>
  <c r="G182" i="1"/>
  <c r="F183" i="1"/>
  <c r="G183" i="1"/>
  <c r="F184" i="1"/>
  <c r="G184" i="1"/>
  <c r="F185" i="1"/>
  <c r="G185" i="1"/>
  <c r="F186" i="1"/>
  <c r="G186" i="1"/>
  <c r="F187" i="1"/>
  <c r="G187" i="1"/>
  <c r="F188" i="1"/>
  <c r="G188" i="1"/>
  <c r="F189" i="1"/>
  <c r="G189" i="1"/>
  <c r="F190" i="1"/>
  <c r="G190" i="1"/>
  <c r="F191" i="1"/>
  <c r="G191" i="1"/>
  <c r="F192" i="1"/>
  <c r="G192" i="1"/>
  <c r="F193" i="1"/>
  <c r="G193" i="1"/>
  <c r="F194" i="1"/>
  <c r="F195" i="1"/>
  <c r="G195" i="1"/>
  <c r="F196" i="1"/>
  <c r="G196" i="1"/>
  <c r="F197" i="1"/>
  <c r="G197" i="1"/>
  <c r="F198" i="1"/>
  <c r="G198" i="1"/>
  <c r="F199" i="1"/>
  <c r="G199" i="1"/>
  <c r="F200" i="1"/>
  <c r="F201" i="1"/>
  <c r="G201" i="1"/>
  <c r="F202" i="1"/>
  <c r="G202" i="1"/>
  <c r="F203" i="1"/>
  <c r="F204" i="1"/>
  <c r="G204" i="1"/>
  <c r="F205" i="1"/>
  <c r="G205" i="1"/>
  <c r="F206" i="1"/>
  <c r="G206" i="1"/>
  <c r="F207" i="1"/>
  <c r="G207" i="1"/>
  <c r="F208" i="1"/>
  <c r="G208" i="1"/>
  <c r="F209" i="1"/>
  <c r="G209" i="1"/>
  <c r="F210" i="1"/>
  <c r="G210" i="1"/>
  <c r="F211" i="1"/>
  <c r="G211" i="1"/>
  <c r="F212" i="1"/>
  <c r="G212" i="1"/>
  <c r="F213" i="1"/>
  <c r="G213" i="1"/>
  <c r="F214" i="1"/>
  <c r="G214" i="1"/>
  <c r="F215" i="1"/>
  <c r="G215" i="1"/>
  <c r="F216" i="1"/>
  <c r="G216" i="1"/>
  <c r="F217" i="1"/>
  <c r="G217" i="1"/>
  <c r="F218" i="1"/>
  <c r="G218" i="1"/>
  <c r="F219" i="1"/>
  <c r="G219" i="1"/>
  <c r="F220" i="1"/>
  <c r="G220" i="1"/>
  <c r="F221" i="1"/>
  <c r="G221" i="1"/>
  <c r="F222" i="1"/>
  <c r="G222" i="1"/>
  <c r="F223" i="1"/>
  <c r="G223" i="1"/>
  <c r="F224" i="1"/>
  <c r="G224" i="1"/>
  <c r="F225" i="1"/>
  <c r="F226" i="1"/>
  <c r="F227" i="1"/>
  <c r="G227" i="1"/>
  <c r="F228" i="1"/>
  <c r="G228" i="1"/>
  <c r="F229" i="1"/>
  <c r="G229" i="1"/>
  <c r="F230" i="1"/>
  <c r="G230" i="1"/>
  <c r="F231" i="1"/>
  <c r="G231" i="1"/>
  <c r="F232" i="1"/>
  <c r="G232" i="1"/>
  <c r="F233" i="1"/>
  <c r="G233" i="1"/>
  <c r="F234" i="1"/>
  <c r="G234" i="1"/>
  <c r="F235" i="1"/>
  <c r="G235" i="1"/>
  <c r="F236" i="1"/>
  <c r="G236" i="1"/>
  <c r="F237" i="1"/>
  <c r="G237" i="1"/>
  <c r="F238" i="1"/>
  <c r="F239" i="1"/>
  <c r="G239" i="1"/>
  <c r="F240" i="1"/>
  <c r="G240" i="1"/>
  <c r="F241" i="1"/>
  <c r="G241" i="1"/>
  <c r="F242" i="1"/>
  <c r="G242" i="1"/>
  <c r="F243" i="1"/>
  <c r="G243" i="1"/>
  <c r="F3" i="1"/>
  <c r="G3" i="1"/>
  <c r="F4" i="1"/>
  <c r="G4" i="1"/>
  <c r="F5" i="1"/>
  <c r="G5" i="1"/>
  <c r="F6" i="1"/>
  <c r="G6" i="1"/>
  <c r="F7" i="1"/>
  <c r="F8" i="1"/>
  <c r="G8" i="1"/>
  <c r="F9" i="1"/>
  <c r="G9" i="1"/>
  <c r="F10" i="1"/>
  <c r="G10" i="1"/>
  <c r="F11" i="1"/>
  <c r="G11" i="1"/>
  <c r="F12" i="1"/>
  <c r="G12" i="1"/>
  <c r="F13" i="1"/>
  <c r="G13" i="1"/>
  <c r="F14" i="1"/>
  <c r="G14" i="1"/>
  <c r="F15" i="1"/>
  <c r="G15" i="1"/>
  <c r="F16" i="1"/>
  <c r="G16" i="1"/>
  <c r="F17" i="1"/>
  <c r="G17" i="1"/>
  <c r="F18" i="1"/>
  <c r="G18" i="1"/>
  <c r="F19" i="1"/>
  <c r="F20" i="1"/>
  <c r="G20" i="1"/>
  <c r="F2" i="1"/>
</calcChain>
</file>

<file path=xl/sharedStrings.xml><?xml version="1.0" encoding="utf-8"?>
<sst xmlns="http://schemas.openxmlformats.org/spreadsheetml/2006/main" count="1711" uniqueCount="1412">
  <si>
    <t>WKT</t>
  </si>
  <si>
    <t>เธเธทเนเธญ</t>
  </si>
  <si>
    <t>เธเธณเธญเธเธดเธเธฒเธข</t>
  </si>
  <si>
    <t>POINT (104.53991 17.019472 0.0)</t>
  </si>
  <si>
    <t>LT2-SG - 2033 - 0102 - 9+510</t>
  </si>
  <si>
    <t>POINT (104.539708 17.01926 0.0)</t>
  </si>
  <si>
    <t>LT1-SG - 2033 - 0102 - 9+475</t>
  </si>
  <si>
    <t>POINT (104.540163 17.0195 159.42)</t>
  </si>
  <si>
    <t>RT1-SG- 2033 - 0102 - 9+535</t>
  </si>
  <si>
    <t>POINT (104.540163 17.019754 157.89)</t>
  </si>
  <si>
    <t>LT3-SG - 2033 - 0102 - 9+545</t>
  </si>
  <si>
    <t>POINT (104.540442 17.019837 157.12)</t>
  </si>
  <si>
    <t>RT2-SG - 2033 - 0102 - 9+580</t>
  </si>
  <si>
    <t>POINT (104.54053 17.020114 156.4)</t>
  </si>
  <si>
    <t>LT4-SG - 2033 - 0102 - 9+595</t>
  </si>
  <si>
    <t>POINT (104.540711 17.020166 156.33)</t>
  </si>
  <si>
    <t>RT3-SG - 2033 - 0102 - 9+630</t>
  </si>
  <si>
    <t>POINT (104.540865 17.020465 157.01)</t>
  </si>
  <si>
    <t>LT5-SG - 2033 - 0102 - 9+650</t>
  </si>
  <si>
    <t>POINT (104.547153 17.02781 149.81)</t>
  </si>
  <si>
    <t>RT4-SG - 2033 - 0102 - 10+700</t>
  </si>
  <si>
    <t>POINT (104.547305 17.028102 149.05)</t>
  </si>
  <si>
    <t>RT5-SG - 2033 - 0102 - 10+735</t>
  </si>
  <si>
    <t>POINT (104.547463 17.028378 0.0)</t>
  </si>
  <si>
    <t>RT6-SG - 2033 - 0102 - 10+770</t>
  </si>
  <si>
    <t>POINT (104.547641 17.028687 150.97)</t>
  </si>
  <si>
    <t>RT7-SG - 2033 - 0102 - 10+805</t>
  </si>
  <si>
    <t>POINT (104.547749 17.02892 150.67)</t>
  </si>
  <si>
    <t>RT8-SG - 2033 - 0102 - 10+840</t>
  </si>
  <si>
    <t>POINT (104.547904 17.029232 149.33)</t>
  </si>
  <si>
    <t>RT9-SG - 2033 - 0102 - 10+875</t>
  </si>
  <si>
    <t>POINT (104.548035 17.029502 148.05)</t>
  </si>
  <si>
    <t>RT10-SG - 2033 - 0102 - 10+910</t>
  </si>
  <si>
    <t>POINT (104.548194 17.029843 147.62)</t>
  </si>
  <si>
    <t>RT11-SG - 2033 - 0102 - 10+945</t>
  </si>
  <si>
    <t>POINT (104.551187 17.034748 0.0)</t>
  </si>
  <si>
    <t>RT12-SG - 2033 - 0102 - 11+585</t>
  </si>
  <si>
    <t>POINT (104.5514 17.035047 0.0)</t>
  </si>
  <si>
    <t>RT13-SG - 2033 - 0102 - 11+625</t>
  </si>
  <si>
    <t>POINT (104.551599 17.035318 149.94)</t>
  </si>
  <si>
    <t>RT14-SG - 2033 - 0102 - 11+660</t>
  </si>
  <si>
    <t>POINT (104.551781 17.035597 148.93)</t>
  </si>
  <si>
    <t>RT15-SG - 2033 - 0102 - 11+700</t>
  </si>
  <si>
    <t>POINT (104.55195 17.03585 0.0)</t>
  </si>
  <si>
    <t>RT16-SG - 2033 - 0102 - 11+740</t>
  </si>
  <si>
    <t>POINT (104.552128 17.036165 148.2)</t>
  </si>
  <si>
    <t>RT17-SG - 2033 - 0102 - 11+780</t>
  </si>
  <si>
    <t>POINT (104.552285 17.036452 148.38)</t>
  </si>
  <si>
    <t>RT18-SG - 2033 - 0102 - 11+820</t>
  </si>
  <si>
    <t>POINT (104.552426 17.036751 148.73)</t>
  </si>
  <si>
    <t>RT19-SG - 2033 - 0102 - 11+860</t>
  </si>
  <si>
    <t>POINT (104.552561 17.03705 148.63)</t>
  </si>
  <si>
    <t>RT20-SG - 2033 - 0102 - 11+900</t>
  </si>
  <si>
    <t>POINT (104.552689 17.03735 148.82)</t>
  </si>
  <si>
    <t>RT21-SG - 2033 - 0102 - 11+940</t>
  </si>
  <si>
    <t>POINT (104.556287 17.045851 0.0)</t>
  </si>
  <si>
    <t>RT22-SG - 2033 - 0102 - 12+910</t>
  </si>
  <si>
    <t>POINT (104.556426 17.046198 0.0)</t>
  </si>
  <si>
    <t>RT23-SG - 2033 - 0102 - 12+950</t>
  </si>
  <si>
    <t>POINT (104.556602 17.046621 0.0)</t>
  </si>
  <si>
    <t>RT24-SG - 2033 - 0102 - 12+990</t>
  </si>
  <si>
    <t>POINT (104.556738 17.04696 0.0)</t>
  </si>
  <si>
    <t>RT25-SG - 2033 - 0102 - 13+030</t>
  </si>
  <si>
    <t>POINT (104.556897 17.047395 0.0)</t>
  </si>
  <si>
    <t>RT26-SG - 2033 - 0102 - 13+070</t>
  </si>
  <si>
    <t>POINT (104.557023 17.047748 0.0)</t>
  </si>
  <si>
    <t>RT27-SG - 2033 - 0102 - 13+110</t>
  </si>
  <si>
    <t>POINT (104.563122 17.062396 0.0)</t>
  </si>
  <si>
    <t>LT6-SG - 2033 - 0102 - 14+840</t>
  </si>
  <si>
    <t>POINT (104.563413 17.062864 0.0)</t>
  </si>
  <si>
    <t>LT7-SG - 2033 - 0102 - 14+880</t>
  </si>
  <si>
    <t>POINT (104.563672 17.063252 0.0)</t>
  </si>
  <si>
    <t>LT8-SG - 2033 - 0102 - 14+920</t>
  </si>
  <si>
    <t>POINT (104.563908 17.063627 0.0)</t>
  </si>
  <si>
    <t>LT9-SG - 2033 - 0102 - 14+960</t>
  </si>
  <si>
    <t>POINT (104.56414 17.06396 166.52)</t>
  </si>
  <si>
    <t>LT10-SG - 2033 - 0102 - 15+000</t>
  </si>
  <si>
    <t>POINT (104.567848 17.068688 0.0)</t>
  </si>
  <si>
    <t>LT11-SG - 2033 - 0102 - 14+655</t>
  </si>
  <si>
    <t>POINT (104.568122 17.069009 0.0)</t>
  </si>
  <si>
    <t>LT12-SG - 2033 - 0102 - 14+700</t>
  </si>
  <si>
    <t>POINT (104.56839 17.069339 0.0)</t>
  </si>
  <si>
    <t>LT13-SG - 2033 - 0102 - 14+745</t>
  </si>
  <si>
    <t>POINT (104.568633 17.069639 0.0)</t>
  </si>
  <si>
    <t>LT14-SG - 2033 - 0102 - 14+790</t>
  </si>
  <si>
    <t>POINT (104.568922 17.069971 0.0)</t>
  </si>
  <si>
    <t>LT15-SG - 2033 - 0102 - 14+835</t>
  </si>
  <si>
    <t>POINT (104.569157 17.070261 0.0)</t>
  </si>
  <si>
    <t>LT16-DB - 2033 - 0102 - 14+880</t>
  </si>
  <si>
    <t>POINT (104.569459 17.070642 0.0)</t>
  </si>
  <si>
    <t>LT17-SG - 2033 - 0102 - 14+925</t>
  </si>
  <si>
    <t>POINT (104.569711 17.070928 0.0)</t>
  </si>
  <si>
    <t>LT18-SG - 2033 - 0102 - 14+970</t>
  </si>
  <si>
    <t>POINT (104.56999 17.071262 0.0)</t>
  </si>
  <si>
    <t>LT19-SG - 2033 - 0102 - 15+015</t>
  </si>
  <si>
    <t>POINT (104.570253 17.071578 0.0)</t>
  </si>
  <si>
    <t>LT20-SG - 2033 - 0102 - 15+060</t>
  </si>
  <si>
    <t>POINT (104.570515 17.071851 0.0)</t>
  </si>
  <si>
    <t>LT21-SG - 2033 - 0102 - 15+100</t>
  </si>
  <si>
    <t>POINT (104.570805 17.072203 0.0)</t>
  </si>
  <si>
    <t>LT22-SG - 2033 - 0102 - 15+145</t>
  </si>
  <si>
    <t>POINT (104.579113 17.077516 0.0)</t>
  </si>
  <si>
    <t>LT23-SG - 2033 - 0102 - 17+300</t>
  </si>
  <si>
    <t>POINT (104.579774 17.077901 0.0)</t>
  </si>
  <si>
    <t>LT24-SG - 2033 - 0102 - 17+345</t>
  </si>
  <si>
    <t>POINT (104.580109 17.078112 0.0)</t>
  </si>
  <si>
    <t>LT25-SG - 2033 - 0102 - 17+390</t>
  </si>
  <si>
    <t>POINT (104.580518 17.078361 0.0)</t>
  </si>
  <si>
    <t>LT26-SG - 2033 - 0102 - 17+435</t>
  </si>
  <si>
    <t>POINT (104.580883 17.078587 0.0)</t>
  </si>
  <si>
    <t>LT27-SG - 2033 - 0102 - 17+480</t>
  </si>
  <si>
    <t>POINT (104.581174 17.078771 0.0)</t>
  </si>
  <si>
    <t>LT28-SG - 2033 - 0102 - 17+525</t>
  </si>
  <si>
    <t>POINT (104.588642 17.083263 0.0)</t>
  </si>
  <si>
    <t>RT28-SG - 2033 - 0102 - 18+490</t>
  </si>
  <si>
    <t>POINT (104.589025 17.083478 0.0)</t>
  </si>
  <si>
    <t>RT29-SG - 2033 - 0102 - 18+535</t>
  </si>
  <si>
    <t>POINT (104.589391 17.083684 0.0)</t>
  </si>
  <si>
    <t>RT30-SG - 2033 - 0102 - 18+580</t>
  </si>
  <si>
    <t>POINT (104.59009 17.084146 0.0)</t>
  </si>
  <si>
    <t>RT31-SG - 2033 - 0102 - 18+670</t>
  </si>
  <si>
    <t>POINT (104.590438 17.084381 0.0)</t>
  </si>
  <si>
    <t>RT32-SG - 2033 - 0102 - 18+715</t>
  </si>
  <si>
    <t>POINT (104.590783 17.0846 0.0)</t>
  </si>
  <si>
    <t>RT33-SG - 2033 - 0102 - 18+750</t>
  </si>
  <si>
    <t>POINT (104.60112 17.101847 0.0)</t>
  </si>
  <si>
    <t>LT29-SG - 2033 - 0102 - 20+990</t>
  </si>
  <si>
    <t>POINT (104.601324 17.102233 0.0)</t>
  </si>
  <si>
    <t>LT30-SG - 2033 - 0102 - 21+035</t>
  </si>
  <si>
    <t>POINT (104.601515 17.102576 0.0)</t>
  </si>
  <si>
    <t>LT31-SG - 2033 - 0102 - 21+080</t>
  </si>
  <si>
    <t>POINT (104.601714 17.102941 0.0)</t>
  </si>
  <si>
    <t>LT32-SG - 2033 - 0102 - 21+125</t>
  </si>
  <si>
    <t>POINT (104.601921 17.103323 0.0)</t>
  </si>
  <si>
    <t>LT33-SG - 2033 - 0102 - 21+170</t>
  </si>
  <si>
    <t>POINT (104.602209 17.103889 0.0)</t>
  </si>
  <si>
    <t>LT34-SG - 2033 - 0102 - 21+215</t>
  </si>
  <si>
    <t>POINT (104.602428 17.104352 0.0)</t>
  </si>
  <si>
    <t>LT35-SG - 2033 - 0102 - 21+260</t>
  </si>
  <si>
    <t>POINT (104.60264 17.10473 0.0)</t>
  </si>
  <si>
    <t>LT36-SG - 2033 - 0102 - 21+305</t>
  </si>
  <si>
    <t>POINT (104.60283 17.105088 0.0)</t>
  </si>
  <si>
    <t>LT37-SG - 2033 - 0102 - 21+350</t>
  </si>
  <si>
    <t>POINT (104.603081 17.105509 0.0)</t>
  </si>
  <si>
    <t>LT38-SG - 2033 - 0102 - 21+395</t>
  </si>
  <si>
    <t>POINT (104.603352 17.105851 0.0)</t>
  </si>
  <si>
    <t>LT39-SG - 2033 - 0102 - 21+440</t>
  </si>
  <si>
    <t>POINT (104.603654 17.106172 0.0)</t>
  </si>
  <si>
    <t>LT40-SG - 2033 - 0102 - 21+485</t>
  </si>
  <si>
    <t>POINT (104.603951 17.106506 0.0)</t>
  </si>
  <si>
    <t>LT41-SG - 2033 - 0102 - 21+530</t>
  </si>
  <si>
    <t>POINT (104.604312 17.106896 0.0)</t>
  </si>
  <si>
    <t>LT42-SG - 2033 - 0102 - 21+575</t>
  </si>
  <si>
    <t>POINT (104.604549 17.107112 0.0)</t>
  </si>
  <si>
    <t>LT43-SG - 2033 - 0102 - 21+620</t>
  </si>
  <si>
    <t>POINT (104.604859 17.10744 0.0)</t>
  </si>
  <si>
    <t>LT44-SG - 2033 - 0102 - 21+665</t>
  </si>
  <si>
    <t>POINT (104.605072 17.107681 0.0)</t>
  </si>
  <si>
    <t>LT45-SG - 2033 - 0102 - 21+710</t>
  </si>
  <si>
    <t>POINT (104.605328 17.107953 0.0)</t>
  </si>
  <si>
    <t>LT46-SG - 2033 - 0102 - 21+755</t>
  </si>
  <si>
    <t>POINT (104.6058 17.108463 0.0)</t>
  </si>
  <si>
    <t>LT47-SG - 2033 - 0102 - 21+855</t>
  </si>
  <si>
    <t>POINT (104.606121 17.108759 0.0)</t>
  </si>
  <si>
    <t>LT48-SG - 2033 - 0102 - 21+890</t>
  </si>
  <si>
    <t>POINT (104.60634 17.108989 0.0)</t>
  </si>
  <si>
    <t>LT49-SG - 2033 - 0102 - 21+925</t>
  </si>
  <si>
    <t>POINT (104.606744 17.109425 0.0)</t>
  </si>
  <si>
    <t>LT50-SG - 2033 - 0102 - 21+970</t>
  </si>
  <si>
    <t>POINT (104.607041 17.109704 0.0)</t>
  </si>
  <si>
    <t>LT51-SG - 2033 - 0102 - 22+015</t>
  </si>
  <si>
    <t>POINT (104.607288 17.109958 0.0)</t>
  </si>
  <si>
    <t>LT52-SG - 2033 - 0102 - 22+060</t>
  </si>
  <si>
    <t>POINT (104.607556 17.110241 0.0)</t>
  </si>
  <si>
    <t>LT53-SG - 2033 - 0102 - 22+105</t>
  </si>
  <si>
    <t>POINT (104.607926 17.110611 0.0)</t>
  </si>
  <si>
    <t>LT54-SG - 2033 - 0102 - 22+150</t>
  </si>
  <si>
    <t>POINT (104.608278 17.11101 0.0)</t>
  </si>
  <si>
    <t>LT55-SG - 2033 - 0102 - 22+200</t>
  </si>
  <si>
    <t>POINT (104.608542 17.111248 0.0)</t>
  </si>
  <si>
    <t>LT56-SG - 2033 - 0102 - 22+250</t>
  </si>
  <si>
    <t>POINT (104.608871 17.111589 0.0)</t>
  </si>
  <si>
    <t>LT57-SG - 2033 - 0102 - 22+300</t>
  </si>
  <si>
    <t>POINT (104.609154 17.111862 0.0)</t>
  </si>
  <si>
    <t>LT58-SG - 2033 - 0102 - 22+350</t>
  </si>
  <si>
    <t>POINT (104.609498 17.112191 0.0)</t>
  </si>
  <si>
    <t>LT59-SG - 2033 - 0102 - 22+400</t>
  </si>
  <si>
    <t>POINT (104.609816 17.112521 0.0)</t>
  </si>
  <si>
    <t>LT60-SG - 2033 - 0102 - 22+450</t>
  </si>
  <si>
    <t>POINT (104.610123 17.112845 0.0)</t>
  </si>
  <si>
    <t>LT61-SG - 2033 - 0102 - 22+500</t>
  </si>
  <si>
    <t>POINT (104.610443 17.11317 0.0)</t>
  </si>
  <si>
    <t>LT62-SG - 2033 - 0102 - 22+550</t>
  </si>
  <si>
    <t>POINT (104.610765 17.113509 0.0)</t>
  </si>
  <si>
    <t>LT63-SG - 2033 - 0102 - 22+600</t>
  </si>
  <si>
    <t>POINT (104.610989 17.113746 0.0)</t>
  </si>
  <si>
    <t>LT64-SG - 2033 - 0102 - 22+650</t>
  </si>
  <si>
    <t>POINT (104.611332 17.114093 0.0)</t>
  </si>
  <si>
    <t>LT65-SG - 2033 - 0102 - 22+700</t>
  </si>
  <si>
    <t>POINT (104.611654 17.11442 0.0)</t>
  </si>
  <si>
    <t>LT66-SG - 2033 - 0102 - 22+750</t>
  </si>
  <si>
    <t>POINT (104.612013 17.114779 0.0)</t>
  </si>
  <si>
    <t>LT67-SG - 2033 - 0102 - 22+800</t>
  </si>
  <si>
    <t>POINT (104.612319 17.115095 0.0)</t>
  </si>
  <si>
    <t>LT68-SG - 2033 - 0102 - 22+850</t>
  </si>
  <si>
    <t>POINT (104.612616 17.115388 0.0)</t>
  </si>
  <si>
    <t>LT69-SG - 2033 - 0102 - 22+900</t>
  </si>
  <si>
    <t>POINT (104.612898 17.115669 0.0)</t>
  </si>
  <si>
    <t>LT70-SG - 2033 - 0102 - 22+950</t>
  </si>
  <si>
    <t>POINT (104.613246 17.11603 0.0)</t>
  </si>
  <si>
    <t>LT71-SG - 2033 - 0102 - 23+000</t>
  </si>
  <si>
    <t>POINT (104.613511 17.116299 0.0)</t>
  </si>
  <si>
    <t>LT72-SG - 2033 - 0102 - 23+050</t>
  </si>
  <si>
    <t>POINT (104.61381 17.116606 0.0)</t>
  </si>
  <si>
    <t>LT73-SG - 2033 - 0102 - 23+100</t>
  </si>
  <si>
    <t>POINT (104.614152 17.116938 0.0)</t>
  </si>
  <si>
    <t>LT74-SG - 2033 - 0102 - 23+150</t>
  </si>
  <si>
    <t>POINT (104.614462 17.117241 0.0)</t>
  </si>
  <si>
    <t>LT75-SG - 2033 - 0102 - 23+200</t>
  </si>
  <si>
    <t>POINT (104.614984 17.117707 0.0)</t>
  </si>
  <si>
    <t>LT76-SG - 2033 - 0102 - 23+270</t>
  </si>
  <si>
    <t>POINT (104.602162 17.103552 0.0)</t>
  </si>
  <si>
    <t>RT34-SG - 2033 - 0102 - 21+200</t>
  </si>
  <si>
    <t>POINT (104.602493 17.104062 0.0)</t>
  </si>
  <si>
    <t>RT35-SG - 2033 - 0102 - 21+265</t>
  </si>
  <si>
    <t>POINT (104.60272 17.104432 0.0)</t>
  </si>
  <si>
    <t>RT34-SG - 2033 - 0102 - 21+315</t>
  </si>
  <si>
    <t>POINT (104.602921 17.104826 0.0)</t>
  </si>
  <si>
    <t>RT35-SG - 2033 - 0102 - 21+365</t>
  </si>
  <si>
    <t>POINT (104.603146 17.105234 0.0)</t>
  </si>
  <si>
    <t>RT36-SG - 2033 - 0102 - 21+415</t>
  </si>
  <si>
    <t>POINT (104.603402 17.105592 0.0)</t>
  </si>
  <si>
    <t>RT37-SG - 2033 - 0102 - 21+465</t>
  </si>
  <si>
    <t>POINT (104.603735 17.105971 0.0)</t>
  </si>
  <si>
    <t>RT38-SG - 2033 - 0102 - 21+515</t>
  </si>
  <si>
    <t>POINT (104.603965 17.106241 0.0)</t>
  </si>
  <si>
    <t>RT39-SG - 2033 - 0102 - 21+565</t>
  </si>
  <si>
    <t>POINT (104.604332 17.10662 0.0)</t>
  </si>
  <si>
    <t>RT40-SG - 2033 - 0102 - 21+620</t>
  </si>
  <si>
    <t>POINT (104.604669 17.106994 0.0)</t>
  </si>
  <si>
    <t>RT41-SG - 2033 - 0102 - 21+665</t>
  </si>
  <si>
    <t>POINT (104.604882 17.107176 0.0)</t>
  </si>
  <si>
    <t>RT42-SG - 2033 - 0102 - 21+695</t>
  </si>
  <si>
    <t>POINT (104.605197 17.107498 0.0)</t>
  </si>
  <si>
    <t>RT43-SG - 2033 - 0102 - 21+745</t>
  </si>
  <si>
    <t>POINT (104.605487 17.107791 0.0)</t>
  </si>
  <si>
    <t>RT44-SG - 2033 - 0102 - 21+790</t>
  </si>
  <si>
    <t>POINT (104.605782 17.108112 0.0)</t>
  </si>
  <si>
    <t>RT45-SG - 2033 - 0102 - 21+840</t>
  </si>
  <si>
    <t>POINT (104.60611 17.108433 0.0)</t>
  </si>
  <si>
    <t>RT46-SG - 2033 - 0102 - 21+890</t>
  </si>
  <si>
    <t>POINT (104.606381 17.108721 0.0)</t>
  </si>
  <si>
    <t>RT47-SG - 2033 - 0102 - 21+915</t>
  </si>
  <si>
    <t>POINT (104.606712 17.109056 0.0)</t>
  </si>
  <si>
    <t>RT48-SG - 2033 - 0102 - 21+965</t>
  </si>
  <si>
    <t>POINT (104.607029 17.109377 0.0)</t>
  </si>
  <si>
    <t>RT49-SG - 2033 - 0102 - 22+025</t>
  </si>
  <si>
    <t>POINT (104.607356 17.109723 0.0)</t>
  </si>
  <si>
    <t>RT50-SG - 2033 - 0102 - 22+075</t>
  </si>
  <si>
    <t>POINT (104.607586 17.109936 0.0)</t>
  </si>
  <si>
    <t>RT51-SG - 2033 - 0102 - 22+110</t>
  </si>
  <si>
    <t>POINT (104.607964 17.110361 0.0)</t>
  </si>
  <si>
    <t>RT52-SG - 2033 - 0102 - 22+170</t>
  </si>
  <si>
    <t>POINT (104.608244 17.110621 0.0)</t>
  </si>
  <si>
    <t>RT53-SG - 2033 - 0102 - 22+205</t>
  </si>
  <si>
    <t>POINT (104.60855 17.110928 0.0)</t>
  </si>
  <si>
    <t>RT54-SG - 2033 - 0102 - 22+230</t>
  </si>
  <si>
    <t>POINT (104.608858 17.111254 0.0)</t>
  </si>
  <si>
    <t>RT55-SG - 2033 - 0102 - 22+265</t>
  </si>
  <si>
    <t>POINT (104.609156 17.11155 0.0)</t>
  </si>
  <si>
    <t>RT56-SG - 2033 - 0102 - 22+325</t>
  </si>
  <si>
    <t>POINT (104.609467 17.111873 0.0)</t>
  </si>
  <si>
    <t>RT57-SG - 2033 - 0102 - 22+375</t>
  </si>
  <si>
    <t>POINT (104.609776 17.112206 0.0)</t>
  </si>
  <si>
    <t>RT58-SG - 2033 - 0102 - 22+425</t>
  </si>
  <si>
    <t>POINT (104.610097 17.112538 0.0)</t>
  </si>
  <si>
    <t>RT59-SG - 2033 - 0102 - 22+475</t>
  </si>
  <si>
    <t>POINT (104.610417 17.112865 0.0)</t>
  </si>
  <si>
    <t>RT60-SG - 2033 - 0102 - 22+525</t>
  </si>
  <si>
    <t>POINT (104.610726 17.113196 0.0)</t>
  </si>
  <si>
    <t>RT61-SG - 2033 - 0102 - 22+575</t>
  </si>
  <si>
    <t>POINT (104.611016 17.11348 0.0)</t>
  </si>
  <si>
    <t>RT62-SG - 2033 - 0102 - 22+625</t>
  </si>
  <si>
    <t>POINT (104.611372 17.113849 0.0)</t>
  </si>
  <si>
    <t>RT63-SG - 2033 - 0102 - 22+675</t>
  </si>
  <si>
    <t>POINT (104.611678 17.11416 0.0)</t>
  </si>
  <si>
    <t>RT64-SG - 2033 - 0102 - 22+725</t>
  </si>
  <si>
    <t>POINT (104.611939 17.114422 0.0)</t>
  </si>
  <si>
    <t>RT65-SG - 2033 - 0102 - 22+775</t>
  </si>
  <si>
    <t>POINT (104.61227 17.114749 0.0)</t>
  </si>
  <si>
    <t>RT66-SG - 2033 - 0102 - 22+825</t>
  </si>
  <si>
    <t>POINT (104.612614 17.1151 0.0)</t>
  </si>
  <si>
    <t>RT67-SG - 2033 - 0102 - 22+875</t>
  </si>
  <si>
    <t>POINT (104.612886 17.11537 0.0)</t>
  </si>
  <si>
    <t>RT68-SG - 2033 - 0102 - 22+925</t>
  </si>
  <si>
    <t>POINT (104.613208 17.115694 0.0)</t>
  </si>
  <si>
    <t>RT69-SG - 2033 - 0102 - 22+975</t>
  </si>
  <si>
    <t>POINT (104.613491 17.115986 0.0)</t>
  </si>
  <si>
    <t>RT70-SG - 2033 - 0102 - 23+025</t>
  </si>
  <si>
    <t>POINT (104.613816 17.116316 0.0)</t>
  </si>
  <si>
    <t>RT71-SG - 2033 - 0102 - 23+075</t>
  </si>
  <si>
    <t>POINT (104.614194 17.116688 0.0)</t>
  </si>
  <si>
    <t>RT72-SG - 2033 - 0102 - 23+125</t>
  </si>
  <si>
    <t>POINT (104.614434 17.116944 0.0)</t>
  </si>
  <si>
    <t>RT73-SG - 2033 - 0102 - 23+175</t>
  </si>
  <si>
    <t>POINT (104.614804 17.117343 0.0)</t>
  </si>
  <si>
    <t>RT74-SG - 2033 - 0102 - 23+225</t>
  </si>
  <si>
    <t>POINT (104.626701 17.134179 0.0)</t>
  </si>
  <si>
    <t>RT75-SG - 2033 - 0102 - 25+560</t>
  </si>
  <si>
    <t>POINT (104.627023 17.134494 0.0)</t>
  </si>
  <si>
    <t>RT76-SG - 2033 - 0102 - 25+600</t>
  </si>
  <si>
    <t>POINT (104.627298 17.134753 0.0)</t>
  </si>
  <si>
    <t>RT77-SG - 2033 - 0102 - 25+650</t>
  </si>
  <si>
    <t>POINT (104.627633 17.13508 0.0)</t>
  </si>
  <si>
    <t>RT78-SG - 2033 - 0102 - 25+700</t>
  </si>
  <si>
    <t>POINT (104.642472 17.150576 0.0)</t>
  </si>
  <si>
    <t>RT79SG - 2033 - 0102 - 28+040</t>
  </si>
  <si>
    <t>POINT (104.642702 17.150916 0.0)</t>
  </si>
  <si>
    <t>RT80-SG - 2033 - 0102 - 28+085</t>
  </si>
  <si>
    <t>POINT (104.642928 17.151254 0.0)</t>
  </si>
  <si>
    <t>RT81-SG - 2033 - 0102 - 28+130</t>
  </si>
  <si>
    <t>POINT (104.643168 17.151599 160.94)</t>
  </si>
  <si>
    <t>RT82-SG - 2033 - 0102 - 28+175</t>
  </si>
  <si>
    <t>POINT (104.643377 17.151914 0.0)</t>
  </si>
  <si>
    <t>RT83-SG - 2033 - 0102 - 28+220</t>
  </si>
  <si>
    <t>POINT (104.643708 17.152398 0.0)</t>
  </si>
  <si>
    <t>RT84-SG - 2033 - 0102 - 28+265</t>
  </si>
  <si>
    <t>POINT (104.64394 17.152736 159.92)</t>
  </si>
  <si>
    <t>RT85-SG - 2033 - 0102 - 28+310</t>
  </si>
  <si>
    <t>POINT (104.64416 17.15306 0.0)</t>
  </si>
  <si>
    <t>RT86-SG - 2033 - 0102 - 28+355</t>
  </si>
  <si>
    <t>POINT (104.644408 17.153413 160.15)</t>
  </si>
  <si>
    <t>RT87-SG - 2033 - 0102 - 28+400</t>
  </si>
  <si>
    <t>POINT (104.644656 17.153776 160.35)</t>
  </si>
  <si>
    <t>RT88-SG - 2033 - 0102 - 28+445</t>
  </si>
  <si>
    <t>POINT (104.644898 17.154143 157.42)</t>
  </si>
  <si>
    <t>RT89-SG - 2033 - 0102 - 28+490</t>
  </si>
  <si>
    <t>POINT (104.645105 17.154442 157.46)</t>
  </si>
  <si>
    <t>RT90-SG - 2033 - 0102 - 28+535</t>
  </si>
  <si>
    <t>POINT (104.645324 17.154761 158.64)</t>
  </si>
  <si>
    <t>RT91-SG - 2033 - 0102 - 28+580</t>
  </si>
  <si>
    <t>POINT (104.645544 17.155087 0.0)</t>
  </si>
  <si>
    <t>RT92-SG - 2033 - 0102 - 28+625</t>
  </si>
  <si>
    <t>POINT (104.645762 17.155377 0.0)</t>
  </si>
  <si>
    <t>RT93-SG - 2033 - 0102 - 28+670</t>
  </si>
  <si>
    <t>POINT (104.646034 17.155787 0.0)</t>
  </si>
  <si>
    <t>RT94-SG - 2033 - 0102 - 28+715</t>
  </si>
  <si>
    <t>POINT (104.646264 17.156125 159.08)</t>
  </si>
  <si>
    <t>RT95-SG - 2033 - 0102 - 28+760</t>
  </si>
  <si>
    <t>POINT (104.646491 17.156446 160.05)</t>
  </si>
  <si>
    <t>RT96-SG - 2033 - 0102 - 28+805</t>
  </si>
  <si>
    <t>POINT (104.646732 17.156808 159.8)</t>
  </si>
  <si>
    <t>RT97-SG - 2033 - 0102 - 28+850</t>
  </si>
  <si>
    <t>POINT (104.657577 17.17201 0.0)</t>
  </si>
  <si>
    <t>RT98-SG - 2033 - 0102 - 30+920</t>
  </si>
  <si>
    <t>POINT (104.657964 17.172723 0.0)</t>
  </si>
  <si>
    <t>RT99-SG - 2033 - 0102 - 31+010</t>
  </si>
  <si>
    <t>POINT (104.658136 17.173083 166.04)</t>
  </si>
  <si>
    <t>RT100-SG - 2033 - 0102 - 31+055</t>
  </si>
  <si>
    <t>POINT (104.658229 17.173498 0.0)</t>
  </si>
  <si>
    <t>LT77-SG - 2033 - 0102 - 31+100</t>
  </si>
  <si>
    <t>POINT (104.658452 17.17385 0.0)</t>
  </si>
  <si>
    <t>LT78-SG - 2033 - 0102 - 31+145</t>
  </si>
  <si>
    <t>POINT (104.658977 17.174503 0.0)</t>
  </si>
  <si>
    <t>LT79-SG - 2033 - 0102 - 31+230</t>
  </si>
  <si>
    <t>POINT (104.659218 17.174815 0.0)</t>
  </si>
  <si>
    <t>LT80-SG - 2033 - 0102 - 31+275</t>
  </si>
  <si>
    <t>POINT (104.659469 17.175153 0.0)</t>
  </si>
  <si>
    <t>LT81-SG - 2033 - 0102 - 31+320</t>
  </si>
  <si>
    <t>POINT (104.659693 17.175487 0.0)</t>
  </si>
  <si>
    <t>LT82-SG - 2033 - 0102 - 31+365</t>
  </si>
  <si>
    <t>POINT (104.659924 17.175837 0.0)</t>
  </si>
  <si>
    <t>LT83-SG - 2033 - 0102 - 31+410</t>
  </si>
  <si>
    <t>POINT (104.682621 17.209763 0.0)</t>
  </si>
  <si>
    <t>RT101-SG - 2033 - 0102 - 35+880</t>
  </si>
  <si>
    <t>POINT (104.682847 17.210132 0.0)</t>
  </si>
  <si>
    <t>RT102-SG - 2033 - 0102 - 35+925</t>
  </si>
  <si>
    <t>POINT (104.683028 17.210484 0.0)</t>
  </si>
  <si>
    <t>RT103-SG - 2033 - 0102 - 35+970</t>
  </si>
  <si>
    <t>POINT (104.683157 17.210877 0.0)</t>
  </si>
  <si>
    <t>RT104-SG - 2033 - 0102 - 36+015</t>
  </si>
  <si>
    <t>POINT (104.683246 17.211271 0.0)</t>
  </si>
  <si>
    <t>RT105-SG - 2033 - 0102 - 36+060</t>
  </si>
  <si>
    <t>POINT (104.683418 17.212064 0.0)</t>
  </si>
  <si>
    <t>RT106-SG - 2033 - 0102 - 36+150</t>
  </si>
  <si>
    <t>POINT (104.683497 17.212472 0.0)</t>
  </si>
  <si>
    <t>RT107-SG - 2033 - 0102 - 36+205</t>
  </si>
  <si>
    <t>POINT (104.68358 17.212851 0.0)</t>
  </si>
  <si>
    <t>RT108-SG - 2033 - 0102 - 36+250</t>
  </si>
  <si>
    <t>POINT (104.683667 17.213253 0.0)</t>
  </si>
  <si>
    <t>RT109-SG - 2033 - 0102 - 36+295</t>
  </si>
  <si>
    <t>POINT (104.683747 17.213657 0.0)</t>
  </si>
  <si>
    <t>RT110-SG - 2033 - 0102 - 36+340</t>
  </si>
  <si>
    <t>POINT (104.683827 17.21401 0.0)</t>
  </si>
  <si>
    <t>RT111-SG - 2033 - 0102 - 36+385</t>
  </si>
  <si>
    <t>POINT (104.683917 17.214469 0.0)</t>
  </si>
  <si>
    <t>RT112-SG - 2033 - 0102 - 36+430</t>
  </si>
  <si>
    <t>POINT (104.685996 17.226092 0.0)</t>
  </si>
  <si>
    <t>RT113-SG - 2033 - 0102 - 37+730</t>
  </si>
  <si>
    <t>POINT (104.68603 17.226501 0.0)</t>
  </si>
  <si>
    <t>RT114-SG - 2033 - 0102 - 37+775</t>
  </si>
  <si>
    <t>POINT (104.686108 17.227344 0.0)</t>
  </si>
  <si>
    <t>RT115-SG - 2033 - 0102 - 37+870</t>
  </si>
  <si>
    <t>POINT (104.686138 17.227714 0.0)</t>
  </si>
  <si>
    <t>RT116-SG - 2033 - 0102 - 37+915</t>
  </si>
  <si>
    <t>POINT (104.68617 17.228145 0.0)</t>
  </si>
  <si>
    <t>RT117-SG - 2033 - 0102 - 37+960</t>
  </si>
  <si>
    <t>POINT (104.686203 17.228544 0.0)</t>
  </si>
  <si>
    <t>RT118-SG - 2033 - 0102 - 38+005</t>
  </si>
  <si>
    <t>POINT (104.686238 17.228913 0.0)</t>
  </si>
  <si>
    <t>RT119-SG - 2033 - 0102 - 38+050</t>
  </si>
  <si>
    <t>POINT (104.686307 17.22975 0.0)</t>
  </si>
  <si>
    <t>RT120-SG - 2033 - 0102 - 38+145</t>
  </si>
  <si>
    <t>POINT (104.686339 17.230153 0.0)</t>
  </si>
  <si>
    <t>RT121-SG - 2033 - 0102 - 38+190</t>
  </si>
  <si>
    <t>POINT (104.686372 17.230565 0.0)</t>
  </si>
  <si>
    <t>RT122-SG - 2033 - 0102 - 38+235</t>
  </si>
  <si>
    <t>POINT (104.686409 17.230964 0.0)</t>
  </si>
  <si>
    <t>RT123-SG - 2033 - 0102 - 38+280</t>
  </si>
  <si>
    <t>POINT (104.686444 17.23137 0.0)</t>
  </si>
  <si>
    <t>RT124-SG - 2033 - 0102 - 38+325</t>
  </si>
  <si>
    <t>POINT (104.686474 17.231796 0.0)</t>
  </si>
  <si>
    <t>RT125-SG - 2033 - 0102 - 38+370</t>
  </si>
  <si>
    <t>POINT (104.686507 17.232174 0.0)</t>
  </si>
  <si>
    <t>RT126-SG - 2033 - 0102 - 38+315</t>
  </si>
  <si>
    <t>POINT (104.696951 17.257685 0.0)</t>
  </si>
  <si>
    <t>LT84-SG - 2033 - 0102 - 41+500</t>
  </si>
  <si>
    <t>POINT (104.697251 17.258004 0.0)</t>
  </si>
  <si>
    <t>LT85-SG - 2033 - 0102 - 41+545</t>
  </si>
  <si>
    <t>POINT (104.697522 17.258309 0.0)</t>
  </si>
  <si>
    <t>LT86-SG - 2033 - 0102 - 41+590</t>
  </si>
  <si>
    <t>POINT (104.697789 17.25862 0.0)</t>
  </si>
  <si>
    <t>LT87-SG - 2033 - 0102 - 41+635</t>
  </si>
  <si>
    <t>POINT (104.698073 17.258929 0.0)</t>
  </si>
  <si>
    <t>LT88-SG - 2033 - 0102 - 41+680</t>
  </si>
  <si>
    <t>POINT (104.698332 17.259221 0.0)</t>
  </si>
  <si>
    <t>LT89-SG - 2033 - 0102 - 41+725</t>
  </si>
  <si>
    <t>POINT (104.698598 17.259539 0.0)</t>
  </si>
  <si>
    <t>LT90-SG - 2033 - 0102 - 41+770</t>
  </si>
  <si>
    <t>POINT (104.698878 17.25987 0.0)</t>
  </si>
  <si>
    <t>LT91-SG - 2033 - 0102 - 41+815</t>
  </si>
  <si>
    <t>POINT (104.700046 17.261052 153.57)</t>
  </si>
  <si>
    <t>RT127-SG - 2033 - 0102 - 41+995</t>
  </si>
  <si>
    <t>POINT (104.700588 17.261677 0.0)</t>
  </si>
  <si>
    <t>RT128-SG - 2033 - 0102 - 42+085</t>
  </si>
  <si>
    <t>POINT (104.701202 17.262721 0.0)</t>
  </si>
  <si>
    <t>RT129-SG - 2033 - 0102 - 42+215</t>
  </si>
  <si>
    <t>POINT (104.701397 17.263182 0.0)</t>
  </si>
  <si>
    <t>RT130-SG - 2033 - 0102 - 42+270</t>
  </si>
  <si>
    <t>POINT (104.70155 17.263556 0.0)</t>
  </si>
  <si>
    <t>RT131-SG - 2033 - 0102 - 42+315</t>
  </si>
  <si>
    <t>POINT (104.7017 17.263936 0.0)</t>
  </si>
  <si>
    <t>RT132-SG - 2033 - 0102 - 42+360</t>
  </si>
  <si>
    <t>POINT (104.701861 17.264328 0.0)</t>
  </si>
  <si>
    <t>RT133-SG - 2033 - 0102 - 42+405</t>
  </si>
  <si>
    <t>POINT (104.710654 17.284579 0.0)</t>
  </si>
  <si>
    <t>RT134-SG - 2033 - 0102 - 44+850</t>
  </si>
  <si>
    <t>POINT (104.710805 17.285013 158.76)</t>
  </si>
  <si>
    <t>RT135-SG - 2033 - 0102 - 44+900</t>
  </si>
  <si>
    <t>POINT (104.710924 17.285381 158.32)</t>
  </si>
  <si>
    <t>RT136-SG - 2033 - 0102 - 44+945</t>
  </si>
  <si>
    <t>POINT (104.711023 17.285706 0.0)</t>
  </si>
  <si>
    <t>RT137-SG - 2033 - 0102 - 44+990</t>
  </si>
  <si>
    <t>POINT (104.711156 17.286078 0.0)</t>
  </si>
  <si>
    <t>RT138-SG - 2033 - 0102 - 45+025</t>
  </si>
  <si>
    <t>POINT (104.711272 17.286472 0.0)</t>
  </si>
  <si>
    <t>RT139-SG - 2033 - 0102 - 45+070</t>
  </si>
  <si>
    <t>POINT (104.711366 17.286798 0.0)</t>
  </si>
  <si>
    <t>RT140-SG - 2033 - 0102 - 45+115</t>
  </si>
  <si>
    <t>POINT (104.711458 17.287214 0.0)</t>
  </si>
  <si>
    <t>RT141-SG - 2033 - 0102 - 45+160</t>
  </si>
  <si>
    <t>POINT (104.711534 17.287613 0.0)</t>
  </si>
  <si>
    <t>RT142-SG - 2033 - 0102 - 45+205</t>
  </si>
  <si>
    <t>POINT (104.711608 17.288026 0.0)</t>
  </si>
  <si>
    <t>RT143-SG - 2033 - 0102 - 45+250</t>
  </si>
  <si>
    <t>POINT (104.71167 17.288413 0.0)</t>
  </si>
  <si>
    <t>RT144-SG - 2033 - 0102 - 45+295</t>
  </si>
  <si>
    <t>POINT (104.711742 17.28882 0.0)</t>
  </si>
  <si>
    <t>RT145-SG - 2033 - 0102 - 45+340</t>
  </si>
  <si>
    <t>POINT (104.711814 17.289224 0.0)</t>
  </si>
  <si>
    <t>RT146-SG - 2033 - 0102 - 45+385</t>
  </si>
  <si>
    <t>POINT (104.711877 17.289641 0.0)</t>
  </si>
  <si>
    <t>RT147-SG - 2033 - 0102 - 45+430</t>
  </si>
  <si>
    <t>POINT (104.711932 17.290007 0.0)</t>
  </si>
  <si>
    <t>RT148-SG - 2033 - 0102 - 45+475</t>
  </si>
  <si>
    <t>POINT (104.711995 17.290378 0.0)</t>
  </si>
  <si>
    <t>RT149-SG - 2033 - 0102 - 45+520</t>
  </si>
  <si>
    <t>ประเภทโคมไฟ</t>
  </si>
  <si>
    <t>ทิศทางที่ตั้ง (LT/RT/MD)</t>
  </si>
  <si>
    <t>สถานะ</t>
  </si>
  <si>
    <t>ชนิดของหลอดไฟ</t>
  </si>
  <si>
    <t>ตู้คอนโทรล</t>
  </si>
  <si>
    <t>วันที่ก่อสร้าง</t>
  </si>
  <si>
    <t>สัญญาที่</t>
  </si>
  <si>
    <t>สายทาง</t>
  </si>
  <si>
    <t>ตอนควบคุม</t>
  </si>
  <si>
    <t>กม.</t>
  </si>
  <si>
    <t>วันที่ซ่อมครั้งล่าสุด</t>
  </si>
  <si>
    <t>สาเหตุการเสียหาย</t>
  </si>
  <si>
    <t>วิธีการซ่อม</t>
  </si>
  <si>
    <t>หมายเหตุ</t>
  </si>
  <si>
    <t>Lat</t>
  </si>
  <si>
    <t>Long</t>
  </si>
  <si>
    <t xml:space="preserve"> SG</t>
  </si>
  <si>
    <t xml:space="preserve"> DB</t>
  </si>
  <si>
    <t xml:space="preserve">SG </t>
  </si>
  <si>
    <t>17.0194</t>
  </si>
  <si>
    <t xml:space="preserve"> 17.0192</t>
  </si>
  <si>
    <t xml:space="preserve"> 17.0195</t>
  </si>
  <si>
    <t xml:space="preserve"> 17.0197</t>
  </si>
  <si>
    <t xml:space="preserve"> 17.0198</t>
  </si>
  <si>
    <t>17.0201</t>
  </si>
  <si>
    <t xml:space="preserve"> 17.0201</t>
  </si>
  <si>
    <t xml:space="preserve"> 17.0204</t>
  </si>
  <si>
    <t xml:space="preserve"> 17.0278</t>
  </si>
  <si>
    <t xml:space="preserve"> 17.0281</t>
  </si>
  <si>
    <t xml:space="preserve"> 17.0283</t>
  </si>
  <si>
    <t xml:space="preserve"> 17.0286</t>
  </si>
  <si>
    <t xml:space="preserve"> 17.0289</t>
  </si>
  <si>
    <t xml:space="preserve"> 17.0292</t>
  </si>
  <si>
    <t xml:space="preserve"> 17.0295</t>
  </si>
  <si>
    <t xml:space="preserve"> 17.0298</t>
  </si>
  <si>
    <t xml:space="preserve"> 17.0347</t>
  </si>
  <si>
    <t>17.0350</t>
  </si>
  <si>
    <t xml:space="preserve"> 17.0353</t>
  </si>
  <si>
    <t xml:space="preserve"> 17.0355</t>
  </si>
  <si>
    <t>17.0358</t>
  </si>
  <si>
    <t xml:space="preserve"> 17.0361</t>
  </si>
  <si>
    <t xml:space="preserve"> 17.0364</t>
  </si>
  <si>
    <t xml:space="preserve"> 17.0367</t>
  </si>
  <si>
    <t xml:space="preserve"> 17.0370</t>
  </si>
  <si>
    <t xml:space="preserve"> 17.0373</t>
  </si>
  <si>
    <t xml:space="preserve"> 17.0458</t>
  </si>
  <si>
    <t xml:space="preserve"> 17.0461</t>
  </si>
  <si>
    <t xml:space="preserve"> 17.0466</t>
  </si>
  <si>
    <t xml:space="preserve"> 17.0469</t>
  </si>
  <si>
    <t xml:space="preserve"> 17.0473</t>
  </si>
  <si>
    <t xml:space="preserve"> 17.0477</t>
  </si>
  <si>
    <t xml:space="preserve"> 17.0623</t>
  </si>
  <si>
    <t xml:space="preserve"> 17.0628</t>
  </si>
  <si>
    <t xml:space="preserve"> 17.0632</t>
  </si>
  <si>
    <t xml:space="preserve"> 17.0636</t>
  </si>
  <si>
    <t>17.0639</t>
  </si>
  <si>
    <t xml:space="preserve"> 17.0686</t>
  </si>
  <si>
    <t xml:space="preserve"> 17.0690</t>
  </si>
  <si>
    <t>17.0693</t>
  </si>
  <si>
    <t xml:space="preserve"> 17.0696</t>
  </si>
  <si>
    <t xml:space="preserve"> 17.0699</t>
  </si>
  <si>
    <t xml:space="preserve"> 17.0702</t>
  </si>
  <si>
    <t xml:space="preserve"> 17.0706</t>
  </si>
  <si>
    <t xml:space="preserve"> 17.0709</t>
  </si>
  <si>
    <t>17.07126</t>
  </si>
  <si>
    <t xml:space="preserve"> 17.0715</t>
  </si>
  <si>
    <t xml:space="preserve"> 17.0718</t>
  </si>
  <si>
    <t xml:space="preserve"> 17.0722</t>
  </si>
  <si>
    <t xml:space="preserve"> 17.0775</t>
  </si>
  <si>
    <t xml:space="preserve"> 17.0779</t>
  </si>
  <si>
    <t xml:space="preserve"> 17.0781</t>
  </si>
  <si>
    <t xml:space="preserve"> 17.0783</t>
  </si>
  <si>
    <t xml:space="preserve"> 17.0785</t>
  </si>
  <si>
    <t xml:space="preserve"> 17.0787</t>
  </si>
  <si>
    <t xml:space="preserve"> 17.0832</t>
  </si>
  <si>
    <t xml:space="preserve"> 17.0834</t>
  </si>
  <si>
    <t xml:space="preserve"> 17.0836</t>
  </si>
  <si>
    <t>17.0841</t>
  </si>
  <si>
    <t xml:space="preserve"> 17.0843</t>
  </si>
  <si>
    <t xml:space="preserve"> 17.0846</t>
  </si>
  <si>
    <t>17.1018</t>
  </si>
  <si>
    <t xml:space="preserve"> 17.1022</t>
  </si>
  <si>
    <t xml:space="preserve"> 17.1025</t>
  </si>
  <si>
    <t xml:space="preserve"> 17.1029</t>
  </si>
  <si>
    <t xml:space="preserve"> 17.1033</t>
  </si>
  <si>
    <t xml:space="preserve"> 17.1038</t>
  </si>
  <si>
    <t xml:space="preserve"> 17.1043</t>
  </si>
  <si>
    <t>17.1047</t>
  </si>
  <si>
    <t>17.1050</t>
  </si>
  <si>
    <t xml:space="preserve"> 17.1055</t>
  </si>
  <si>
    <t xml:space="preserve"> 17.1058</t>
  </si>
  <si>
    <t xml:space="preserve"> 17.1061</t>
  </si>
  <si>
    <t xml:space="preserve"> 17.1065</t>
  </si>
  <si>
    <t xml:space="preserve"> 17.1068</t>
  </si>
  <si>
    <t xml:space="preserve"> 17.1071</t>
  </si>
  <si>
    <t xml:space="preserve"> 17.1074</t>
  </si>
  <si>
    <t xml:space="preserve"> 17.1076</t>
  </si>
  <si>
    <t xml:space="preserve"> 17.1079</t>
  </si>
  <si>
    <t>17.1084</t>
  </si>
  <si>
    <t xml:space="preserve"> 17.1087</t>
  </si>
  <si>
    <t>17.1089</t>
  </si>
  <si>
    <t xml:space="preserve"> 17.1094</t>
  </si>
  <si>
    <t xml:space="preserve"> 17.1097</t>
  </si>
  <si>
    <t xml:space="preserve"> 17.1099</t>
  </si>
  <si>
    <t xml:space="preserve"> 17.1102</t>
  </si>
  <si>
    <t xml:space="preserve"> 17.1106</t>
  </si>
  <si>
    <t xml:space="preserve"> 17.1110</t>
  </si>
  <si>
    <t xml:space="preserve"> 17.1112</t>
  </si>
  <si>
    <t xml:space="preserve"> 17.1115</t>
  </si>
  <si>
    <t xml:space="preserve"> 17.1118</t>
  </si>
  <si>
    <t xml:space="preserve"> 17.1121</t>
  </si>
  <si>
    <t xml:space="preserve"> 17.1125</t>
  </si>
  <si>
    <t xml:space="preserve"> 17.1128</t>
  </si>
  <si>
    <t xml:space="preserve"> 17.1131</t>
  </si>
  <si>
    <t xml:space="preserve"> 17.1135</t>
  </si>
  <si>
    <t xml:space="preserve"> 17.1137</t>
  </si>
  <si>
    <t xml:space="preserve"> 17.1140</t>
  </si>
  <si>
    <t xml:space="preserve"> 17.1144</t>
  </si>
  <si>
    <t xml:space="preserve"> 17.1147</t>
  </si>
  <si>
    <t xml:space="preserve"> 17.1150</t>
  </si>
  <si>
    <t xml:space="preserve"> 17.1153</t>
  </si>
  <si>
    <t xml:space="preserve"> 17.1156</t>
  </si>
  <si>
    <t xml:space="preserve"> 17.1160</t>
  </si>
  <si>
    <t xml:space="preserve"> 17.1162</t>
  </si>
  <si>
    <t>17.1166</t>
  </si>
  <si>
    <t xml:space="preserve"> 17.1169</t>
  </si>
  <si>
    <t xml:space="preserve"> 17.1172</t>
  </si>
  <si>
    <t xml:space="preserve"> 17.1177</t>
  </si>
  <si>
    <t xml:space="preserve"> 17.1035</t>
  </si>
  <si>
    <t xml:space="preserve"> 17.1040</t>
  </si>
  <si>
    <t>17.1044</t>
  </si>
  <si>
    <t xml:space="preserve"> 17.1048</t>
  </si>
  <si>
    <t xml:space="preserve"> 17.1052</t>
  </si>
  <si>
    <t xml:space="preserve"> 17.1059</t>
  </si>
  <si>
    <t xml:space="preserve"> 17.1062</t>
  </si>
  <si>
    <t xml:space="preserve"> 17.1066</t>
  </si>
  <si>
    <t xml:space="preserve"> 17.1069</t>
  </si>
  <si>
    <t xml:space="preserve"> 17.1077</t>
  </si>
  <si>
    <t xml:space="preserve"> 17.1081</t>
  </si>
  <si>
    <t xml:space="preserve"> 17.1090</t>
  </si>
  <si>
    <t xml:space="preserve"> 17.1093</t>
  </si>
  <si>
    <t xml:space="preserve"> 17.1103</t>
  </si>
  <si>
    <t>17.1109</t>
  </si>
  <si>
    <t xml:space="preserve"> 17.1122</t>
  </si>
  <si>
    <t xml:space="preserve"> 17.1134</t>
  </si>
  <si>
    <t xml:space="preserve"> 17.1138</t>
  </si>
  <si>
    <t xml:space="preserve"> 17.1141</t>
  </si>
  <si>
    <t>17.1147</t>
  </si>
  <si>
    <t xml:space="preserve"> 17.1151</t>
  </si>
  <si>
    <t xml:space="preserve"> 17.1159</t>
  </si>
  <si>
    <t xml:space="preserve"> 17.1163</t>
  </si>
  <si>
    <t xml:space="preserve"> 17.1166</t>
  </si>
  <si>
    <t xml:space="preserve"> 17.1173</t>
  </si>
  <si>
    <t xml:space="preserve"> 17.1341</t>
  </si>
  <si>
    <t xml:space="preserve"> 17.1344</t>
  </si>
  <si>
    <t xml:space="preserve"> 17.1347</t>
  </si>
  <si>
    <t xml:space="preserve"> 17.1350</t>
  </si>
  <si>
    <t xml:space="preserve"> 17.1505</t>
  </si>
  <si>
    <t xml:space="preserve"> 17.1509</t>
  </si>
  <si>
    <t xml:space="preserve"> 17.1512</t>
  </si>
  <si>
    <t xml:space="preserve"> 17.1515</t>
  </si>
  <si>
    <t xml:space="preserve"> 17.1519</t>
  </si>
  <si>
    <t xml:space="preserve"> 17.1523</t>
  </si>
  <si>
    <t>17.1527</t>
  </si>
  <si>
    <t>17.1530</t>
  </si>
  <si>
    <t xml:space="preserve"> 17.1534</t>
  </si>
  <si>
    <t xml:space="preserve"> 17.1537</t>
  </si>
  <si>
    <t xml:space="preserve"> 17.1541</t>
  </si>
  <si>
    <t xml:space="preserve"> 17.1544</t>
  </si>
  <si>
    <t xml:space="preserve"> 17.1547</t>
  </si>
  <si>
    <t xml:space="preserve"> 17.1550</t>
  </si>
  <si>
    <t xml:space="preserve"> 17.1553</t>
  </si>
  <si>
    <t xml:space="preserve"> 17.1557</t>
  </si>
  <si>
    <t xml:space="preserve"> 17.1561</t>
  </si>
  <si>
    <t xml:space="preserve"> 17.1564</t>
  </si>
  <si>
    <t xml:space="preserve"> 17.1568</t>
  </si>
  <si>
    <t xml:space="preserve"> 17.1720</t>
  </si>
  <si>
    <t xml:space="preserve"> 17.1727</t>
  </si>
  <si>
    <t xml:space="preserve"> 17.1730</t>
  </si>
  <si>
    <t xml:space="preserve"> 17.1734</t>
  </si>
  <si>
    <t xml:space="preserve"> 17.1738</t>
  </si>
  <si>
    <t xml:space="preserve"> 17.1745</t>
  </si>
  <si>
    <t xml:space="preserve"> 17.1748</t>
  </si>
  <si>
    <t xml:space="preserve"> 17.1751</t>
  </si>
  <si>
    <t xml:space="preserve"> 17.1754</t>
  </si>
  <si>
    <t xml:space="preserve"> 17.1758</t>
  </si>
  <si>
    <t xml:space="preserve"> 17.2097</t>
  </si>
  <si>
    <t xml:space="preserve"> 17.2101</t>
  </si>
  <si>
    <t xml:space="preserve"> 17.2104</t>
  </si>
  <si>
    <t xml:space="preserve"> 17.2108</t>
  </si>
  <si>
    <t xml:space="preserve"> 17.2112</t>
  </si>
  <si>
    <t xml:space="preserve"> 17.2120</t>
  </si>
  <si>
    <t xml:space="preserve"> 17.2124</t>
  </si>
  <si>
    <t>17.2128</t>
  </si>
  <si>
    <t xml:space="preserve"> 17.2132</t>
  </si>
  <si>
    <t xml:space="preserve"> 17.2136</t>
  </si>
  <si>
    <t xml:space="preserve"> 17.2140</t>
  </si>
  <si>
    <t xml:space="preserve"> 17.2144</t>
  </si>
  <si>
    <t xml:space="preserve"> 17.2260</t>
  </si>
  <si>
    <t>17.2265</t>
  </si>
  <si>
    <t xml:space="preserve"> 17.2273</t>
  </si>
  <si>
    <t xml:space="preserve"> 17.2277</t>
  </si>
  <si>
    <t>17.2281</t>
  </si>
  <si>
    <t xml:space="preserve"> 17.2285</t>
  </si>
  <si>
    <t xml:space="preserve"> 17.2289</t>
  </si>
  <si>
    <t xml:space="preserve"> 17.2297</t>
  </si>
  <si>
    <t xml:space="preserve"> 17.2301</t>
  </si>
  <si>
    <t xml:space="preserve"> 17.2305</t>
  </si>
  <si>
    <t xml:space="preserve"> 17.2309</t>
  </si>
  <si>
    <t xml:space="preserve"> 17.2313</t>
  </si>
  <si>
    <t xml:space="preserve"> 17.2317</t>
  </si>
  <si>
    <t xml:space="preserve"> 17.2321</t>
  </si>
  <si>
    <t xml:space="preserve"> 17.2576</t>
  </si>
  <si>
    <t xml:space="preserve"> 17.2580</t>
  </si>
  <si>
    <t xml:space="preserve"> 17.2583</t>
  </si>
  <si>
    <t xml:space="preserve"> 17.2586</t>
  </si>
  <si>
    <t xml:space="preserve"> 17.2589</t>
  </si>
  <si>
    <t xml:space="preserve"> 17.2592</t>
  </si>
  <si>
    <t xml:space="preserve"> 17.2595</t>
  </si>
  <si>
    <t xml:space="preserve"> 17.2598</t>
  </si>
  <si>
    <t xml:space="preserve"> 17.2610</t>
  </si>
  <si>
    <t xml:space="preserve"> 17.2616</t>
  </si>
  <si>
    <t xml:space="preserve"> 17.2627</t>
  </si>
  <si>
    <t xml:space="preserve"> 17.2631</t>
  </si>
  <si>
    <t>17.2635</t>
  </si>
  <si>
    <t>17.2639</t>
  </si>
  <si>
    <t xml:space="preserve"> 17.2643</t>
  </si>
  <si>
    <t xml:space="preserve"> 17.2845</t>
  </si>
  <si>
    <t xml:space="preserve"> 17.2850</t>
  </si>
  <si>
    <t xml:space="preserve"> 17.2853</t>
  </si>
  <si>
    <t xml:space="preserve"> 17.2857</t>
  </si>
  <si>
    <t xml:space="preserve"> 17.2860</t>
  </si>
  <si>
    <t xml:space="preserve"> 17.2864</t>
  </si>
  <si>
    <t xml:space="preserve"> 17.2867</t>
  </si>
  <si>
    <t xml:space="preserve"> 17.2872</t>
  </si>
  <si>
    <t xml:space="preserve"> 17.2876</t>
  </si>
  <si>
    <t xml:space="preserve"> 17.2880</t>
  </si>
  <si>
    <t>17.2884</t>
  </si>
  <si>
    <t xml:space="preserve"> 17.2888</t>
  </si>
  <si>
    <t xml:space="preserve"> 17.2892</t>
  </si>
  <si>
    <t xml:space="preserve"> 17.2896</t>
  </si>
  <si>
    <t xml:space="preserve"> 17.2900</t>
  </si>
  <si>
    <t xml:space="preserve"> 17.2903</t>
  </si>
  <si>
    <t>104.5399</t>
  </si>
  <si>
    <t>104.5397</t>
  </si>
  <si>
    <t>104.5401</t>
  </si>
  <si>
    <t>104.5404</t>
  </si>
  <si>
    <t>104.5405</t>
  </si>
  <si>
    <t>104.5407</t>
  </si>
  <si>
    <t>104.5408</t>
  </si>
  <si>
    <t>104.5471</t>
  </si>
  <si>
    <t>104.5473</t>
  </si>
  <si>
    <t>104.5474</t>
  </si>
  <si>
    <t>104.5476</t>
  </si>
  <si>
    <t>104.5477</t>
  </si>
  <si>
    <t>104.5479</t>
  </si>
  <si>
    <t>104.5480</t>
  </si>
  <si>
    <t>104.5481</t>
  </si>
  <si>
    <t>104.5511</t>
  </si>
  <si>
    <t>104.5514</t>
  </si>
  <si>
    <t>104.5515</t>
  </si>
  <si>
    <t>104.5517</t>
  </si>
  <si>
    <t>104.5519</t>
  </si>
  <si>
    <t>104.5521</t>
  </si>
  <si>
    <t>104.5522</t>
  </si>
  <si>
    <t>104.5524</t>
  </si>
  <si>
    <t>104.5525</t>
  </si>
  <si>
    <t>104.5526</t>
  </si>
  <si>
    <t>104.5562</t>
  </si>
  <si>
    <t>104.5564</t>
  </si>
  <si>
    <t>104.5566</t>
  </si>
  <si>
    <t>104.5567</t>
  </si>
  <si>
    <t>104.5568</t>
  </si>
  <si>
    <t>104.5570</t>
  </si>
  <si>
    <t>104.5631</t>
  </si>
  <si>
    <t>104.5634</t>
  </si>
  <si>
    <t>104.5636</t>
  </si>
  <si>
    <t>104.5639</t>
  </si>
  <si>
    <t>104.5641</t>
  </si>
  <si>
    <t>104.5678</t>
  </si>
  <si>
    <t>104.5681</t>
  </si>
  <si>
    <t>104.5683</t>
  </si>
  <si>
    <t>104.5686</t>
  </si>
  <si>
    <t>104.5689</t>
  </si>
  <si>
    <t>104.5691</t>
  </si>
  <si>
    <t>104.5694</t>
  </si>
  <si>
    <t>104.5697</t>
  </si>
  <si>
    <t>104.5699</t>
  </si>
  <si>
    <t>104.5702</t>
  </si>
  <si>
    <t>104.5705</t>
  </si>
  <si>
    <t>104.5708</t>
  </si>
  <si>
    <t>104.5791</t>
  </si>
  <si>
    <t>104.5797</t>
  </si>
  <si>
    <t>104.5801</t>
  </si>
  <si>
    <t>104.5805</t>
  </si>
  <si>
    <t>104.5808</t>
  </si>
  <si>
    <t>104.5811</t>
  </si>
  <si>
    <t>104.5886</t>
  </si>
  <si>
    <t>104.5890</t>
  </si>
  <si>
    <t>104.5893</t>
  </si>
  <si>
    <t>104.5900</t>
  </si>
  <si>
    <t>104.5904</t>
  </si>
  <si>
    <t>104.5907</t>
  </si>
  <si>
    <t>104.6011</t>
  </si>
  <si>
    <t>104.6013</t>
  </si>
  <si>
    <t>104.6015</t>
  </si>
  <si>
    <t>104.6017</t>
  </si>
  <si>
    <t>104.6019</t>
  </si>
  <si>
    <t>104.6022</t>
  </si>
  <si>
    <t>104.6024</t>
  </si>
  <si>
    <t>104.6026</t>
  </si>
  <si>
    <t>104.6028</t>
  </si>
  <si>
    <t>104.6030</t>
  </si>
  <si>
    <t>104.6033</t>
  </si>
  <si>
    <t>104.6036</t>
  </si>
  <si>
    <t>104.6039</t>
  </si>
  <si>
    <t>104.6043</t>
  </si>
  <si>
    <t>104.6045</t>
  </si>
  <si>
    <t>104.6048</t>
  </si>
  <si>
    <t>104.6050</t>
  </si>
  <si>
    <t>104.6053</t>
  </si>
  <si>
    <t>104.6058</t>
  </si>
  <si>
    <t>104.6061</t>
  </si>
  <si>
    <t>104.6063</t>
  </si>
  <si>
    <t>104.6067</t>
  </si>
  <si>
    <t>104.6070</t>
  </si>
  <si>
    <t>104.6072</t>
  </si>
  <si>
    <t>104.6075</t>
  </si>
  <si>
    <t>104.6079</t>
  </si>
  <si>
    <t>104.6082</t>
  </si>
  <si>
    <t>104.6085</t>
  </si>
  <si>
    <t>104.6088</t>
  </si>
  <si>
    <t>104.6091</t>
  </si>
  <si>
    <t>104.6094</t>
  </si>
  <si>
    <t>104.6098</t>
  </si>
  <si>
    <t>104.6101</t>
  </si>
  <si>
    <t>104.6104</t>
  </si>
  <si>
    <t>104.6107</t>
  </si>
  <si>
    <t>104.6109</t>
  </si>
  <si>
    <t>104.6113</t>
  </si>
  <si>
    <t>104.6116</t>
  </si>
  <si>
    <t>104.6120</t>
  </si>
  <si>
    <t>104.6123</t>
  </si>
  <si>
    <t>104.6126</t>
  </si>
  <si>
    <t>104.6128</t>
  </si>
  <si>
    <t>104.6132</t>
  </si>
  <si>
    <t>104.6135</t>
  </si>
  <si>
    <t>104.6138</t>
  </si>
  <si>
    <t>104.6141</t>
  </si>
  <si>
    <t>104.6144</t>
  </si>
  <si>
    <t>104.6149</t>
  </si>
  <si>
    <t>104.6021</t>
  </si>
  <si>
    <t>104.6027</t>
  </si>
  <si>
    <t>104.6029</t>
  </si>
  <si>
    <t>104.6031</t>
  </si>
  <si>
    <t>104.6034</t>
  </si>
  <si>
    <t>104.6037</t>
  </si>
  <si>
    <t>104.6046</t>
  </si>
  <si>
    <t>104.6051</t>
  </si>
  <si>
    <t>104.6054</t>
  </si>
  <si>
    <t>104.6057</t>
  </si>
  <si>
    <t>104.6073</t>
  </si>
  <si>
    <t>104.6097</t>
  </si>
  <si>
    <t>104.6100</t>
  </si>
  <si>
    <t>104.6110</t>
  </si>
  <si>
    <t>104.6119</t>
  </si>
  <si>
    <t>104.6122</t>
  </si>
  <si>
    <t>104.6134</t>
  </si>
  <si>
    <t>104.6148</t>
  </si>
  <si>
    <t>104.6267</t>
  </si>
  <si>
    <t>104.6270</t>
  </si>
  <si>
    <t>104.6272</t>
  </si>
  <si>
    <t>104.6276</t>
  </si>
  <si>
    <t>104.6424</t>
  </si>
  <si>
    <t>104.6427</t>
  </si>
  <si>
    <t>104.6429</t>
  </si>
  <si>
    <t>104.6431</t>
  </si>
  <si>
    <t>104.6433</t>
  </si>
  <si>
    <t>104.6437</t>
  </si>
  <si>
    <t>104.6439</t>
  </si>
  <si>
    <t>104.6441</t>
  </si>
  <si>
    <t>104.6444</t>
  </si>
  <si>
    <t>104.6446</t>
  </si>
  <si>
    <t>104.6448</t>
  </si>
  <si>
    <t>104.6451</t>
  </si>
  <si>
    <t>104.6453</t>
  </si>
  <si>
    <t>104.6455</t>
  </si>
  <si>
    <t>104.6457</t>
  </si>
  <si>
    <t>104.6460</t>
  </si>
  <si>
    <t>104.6462</t>
  </si>
  <si>
    <t>104.6464</t>
  </si>
  <si>
    <t>104.6467</t>
  </si>
  <si>
    <t>104.6575</t>
  </si>
  <si>
    <t>104.6579</t>
  </si>
  <si>
    <t>104.6581</t>
  </si>
  <si>
    <t>104.6582</t>
  </si>
  <si>
    <t>104.6584</t>
  </si>
  <si>
    <t>104.6589</t>
  </si>
  <si>
    <t>104.6592</t>
  </si>
  <si>
    <t>104.6594</t>
  </si>
  <si>
    <t>104.6596</t>
  </si>
  <si>
    <t>104.6599</t>
  </si>
  <si>
    <t>104.6826</t>
  </si>
  <si>
    <t>104.6828</t>
  </si>
  <si>
    <t>104.6830</t>
  </si>
  <si>
    <t>104.6831</t>
  </si>
  <si>
    <t>104.6832</t>
  </si>
  <si>
    <t>104.6834</t>
  </si>
  <si>
    <t>104.6835</t>
  </si>
  <si>
    <t>104.6836</t>
  </si>
  <si>
    <t>104.6837</t>
  </si>
  <si>
    <t>104.6838</t>
  </si>
  <si>
    <t>104.6839</t>
  </si>
  <si>
    <t>104.6859</t>
  </si>
  <si>
    <t>104.6860</t>
  </si>
  <si>
    <t>104.6861</t>
  </si>
  <si>
    <t>104.6862</t>
  </si>
  <si>
    <t>104.6863</t>
  </si>
  <si>
    <t>104.6864</t>
  </si>
  <si>
    <t>104.6865</t>
  </si>
  <si>
    <t>104.6969</t>
  </si>
  <si>
    <t>104.6972</t>
  </si>
  <si>
    <t>104.6975</t>
  </si>
  <si>
    <t>104.6977</t>
  </si>
  <si>
    <t>104.6980</t>
  </si>
  <si>
    <t>104.6983</t>
  </si>
  <si>
    <t>104.6985</t>
  </si>
  <si>
    <t>104.6988</t>
  </si>
  <si>
    <t>104.7000</t>
  </si>
  <si>
    <t>104.7005</t>
  </si>
  <si>
    <t>104.7012</t>
  </si>
  <si>
    <t>104.7013</t>
  </si>
  <si>
    <t>104.7015</t>
  </si>
  <si>
    <t>104.7017</t>
  </si>
  <si>
    <t>104.7018</t>
  </si>
  <si>
    <t>104.7106</t>
  </si>
  <si>
    <t>104.7108</t>
  </si>
  <si>
    <t>104.7109</t>
  </si>
  <si>
    <t>104.7110</t>
  </si>
  <si>
    <t>104.7111</t>
  </si>
  <si>
    <t>104.7112</t>
  </si>
  <si>
    <t>104.7113</t>
  </si>
  <si>
    <t>104.7114</t>
  </si>
  <si>
    <t>104.7115</t>
  </si>
  <si>
    <t>104.7116</t>
  </si>
  <si>
    <t>104.7117</t>
  </si>
  <si>
    <t>104.7118</t>
  </si>
  <si>
    <t>104.7119</t>
  </si>
  <si>
    <t xml:space="preserve"> 9+510</t>
  </si>
  <si>
    <t xml:space="preserve"> 9+475</t>
  </si>
  <si>
    <t>9+535</t>
  </si>
  <si>
    <t xml:space="preserve"> 9+545</t>
  </si>
  <si>
    <t xml:space="preserve"> 9+580</t>
  </si>
  <si>
    <t xml:space="preserve"> 9+595</t>
  </si>
  <si>
    <t xml:space="preserve"> 9+630</t>
  </si>
  <si>
    <t xml:space="preserve"> 9+650</t>
  </si>
  <si>
    <t xml:space="preserve"> 10+700</t>
  </si>
  <si>
    <t xml:space="preserve"> 10+735</t>
  </si>
  <si>
    <t xml:space="preserve"> 10+770</t>
  </si>
  <si>
    <t xml:space="preserve"> 10+805</t>
  </si>
  <si>
    <t xml:space="preserve"> 10+840</t>
  </si>
  <si>
    <t xml:space="preserve"> 10+875</t>
  </si>
  <si>
    <t xml:space="preserve"> 10+910</t>
  </si>
  <si>
    <t xml:space="preserve"> 10+945</t>
  </si>
  <si>
    <t xml:space="preserve"> 11+585</t>
  </si>
  <si>
    <t xml:space="preserve"> 11+625</t>
  </si>
  <si>
    <t xml:space="preserve"> 11+660</t>
  </si>
  <si>
    <t xml:space="preserve"> 11+700</t>
  </si>
  <si>
    <t xml:space="preserve"> 11+740</t>
  </si>
  <si>
    <t xml:space="preserve"> 11+780</t>
  </si>
  <si>
    <t xml:space="preserve"> 11+820</t>
  </si>
  <si>
    <t xml:space="preserve"> 11+860</t>
  </si>
  <si>
    <t xml:space="preserve"> 11+900</t>
  </si>
  <si>
    <t xml:space="preserve"> 11+940</t>
  </si>
  <si>
    <t xml:space="preserve"> 12+910</t>
  </si>
  <si>
    <t xml:space="preserve"> 12+950</t>
  </si>
  <si>
    <t xml:space="preserve"> 12+990</t>
  </si>
  <si>
    <t xml:space="preserve"> 13+030</t>
  </si>
  <si>
    <t xml:space="preserve"> 13+070</t>
  </si>
  <si>
    <t xml:space="preserve"> 13+110</t>
  </si>
  <si>
    <t xml:space="preserve"> 14+840</t>
  </si>
  <si>
    <t xml:space="preserve"> 14+880</t>
  </si>
  <si>
    <t xml:space="preserve"> 14+920</t>
  </si>
  <si>
    <t xml:space="preserve"> 14+960</t>
  </si>
  <si>
    <t xml:space="preserve"> 15+000</t>
  </si>
  <si>
    <t xml:space="preserve"> 14+655</t>
  </si>
  <si>
    <t xml:space="preserve"> 14+700</t>
  </si>
  <si>
    <t xml:space="preserve"> 14+745</t>
  </si>
  <si>
    <t xml:space="preserve"> 14+790</t>
  </si>
  <si>
    <t xml:space="preserve"> 14+835</t>
  </si>
  <si>
    <t xml:space="preserve"> 14+925</t>
  </si>
  <si>
    <t xml:space="preserve"> 14+970</t>
  </si>
  <si>
    <t xml:space="preserve"> 15+015</t>
  </si>
  <si>
    <t xml:space="preserve"> 15+060</t>
  </si>
  <si>
    <t xml:space="preserve"> 15+100</t>
  </si>
  <si>
    <t xml:space="preserve"> 15+145</t>
  </si>
  <si>
    <t xml:space="preserve"> 17+300</t>
  </si>
  <si>
    <t xml:space="preserve"> 17+345</t>
  </si>
  <si>
    <t xml:space="preserve"> 17+390</t>
  </si>
  <si>
    <t xml:space="preserve"> 17+435</t>
  </si>
  <si>
    <t xml:space="preserve"> 17+480</t>
  </si>
  <si>
    <t xml:space="preserve"> 17+525</t>
  </si>
  <si>
    <t xml:space="preserve"> 18+490</t>
  </si>
  <si>
    <t xml:space="preserve"> 18+535</t>
  </si>
  <si>
    <t xml:space="preserve"> 18+580</t>
  </si>
  <si>
    <t xml:space="preserve"> 18+670</t>
  </si>
  <si>
    <t xml:space="preserve"> 18+715</t>
  </si>
  <si>
    <t xml:space="preserve"> 18+750</t>
  </si>
  <si>
    <t xml:space="preserve"> 20+990</t>
  </si>
  <si>
    <t xml:space="preserve"> 21+035</t>
  </si>
  <si>
    <t xml:space="preserve"> 21+080</t>
  </si>
  <si>
    <t xml:space="preserve"> 21+125</t>
  </si>
  <si>
    <t xml:space="preserve"> 21+170</t>
  </si>
  <si>
    <t xml:space="preserve"> 21+215</t>
  </si>
  <si>
    <t xml:space="preserve"> 21+260</t>
  </si>
  <si>
    <t xml:space="preserve"> 21+305</t>
  </si>
  <si>
    <t xml:space="preserve"> 21+350</t>
  </si>
  <si>
    <t xml:space="preserve"> 21+395</t>
  </si>
  <si>
    <t xml:space="preserve"> 21+440</t>
  </si>
  <si>
    <t xml:space="preserve"> 21+485</t>
  </si>
  <si>
    <t xml:space="preserve"> 21+530</t>
  </si>
  <si>
    <t xml:space="preserve"> 21+575</t>
  </si>
  <si>
    <t xml:space="preserve"> 21+620</t>
  </si>
  <si>
    <t xml:space="preserve"> 21+665</t>
  </si>
  <si>
    <t xml:space="preserve"> 21+710</t>
  </si>
  <si>
    <t xml:space="preserve"> 21+755</t>
  </si>
  <si>
    <t xml:space="preserve"> 21+855</t>
  </si>
  <si>
    <t xml:space="preserve"> 21+890</t>
  </si>
  <si>
    <t xml:space="preserve"> 21+925</t>
  </si>
  <si>
    <t xml:space="preserve"> 21+970</t>
  </si>
  <si>
    <t xml:space="preserve"> 22+015</t>
  </si>
  <si>
    <t xml:space="preserve"> 22+060</t>
  </si>
  <si>
    <t xml:space="preserve"> 22+105</t>
  </si>
  <si>
    <t xml:space="preserve"> 22+150</t>
  </si>
  <si>
    <t xml:space="preserve"> 22+200</t>
  </si>
  <si>
    <t xml:space="preserve"> 22+250</t>
  </si>
  <si>
    <t xml:space="preserve"> 22+300</t>
  </si>
  <si>
    <t xml:space="preserve"> 22+350</t>
  </si>
  <si>
    <t xml:space="preserve"> 22+400</t>
  </si>
  <si>
    <t xml:space="preserve"> 22+450</t>
  </si>
  <si>
    <t xml:space="preserve"> 22+500</t>
  </si>
  <si>
    <t xml:space="preserve"> 22+550</t>
  </si>
  <si>
    <t xml:space="preserve"> 22+600</t>
  </si>
  <si>
    <t xml:space="preserve"> 22+650</t>
  </si>
  <si>
    <t xml:space="preserve"> 22+700</t>
  </si>
  <si>
    <t xml:space="preserve"> 22+750</t>
  </si>
  <si>
    <t xml:space="preserve"> 22+800</t>
  </si>
  <si>
    <t xml:space="preserve"> 22+850</t>
  </si>
  <si>
    <t xml:space="preserve"> 22+900</t>
  </si>
  <si>
    <t xml:space="preserve"> 22+950</t>
  </si>
  <si>
    <t xml:space="preserve"> 23+000</t>
  </si>
  <si>
    <t xml:space="preserve"> 23+050</t>
  </si>
  <si>
    <t xml:space="preserve"> 23+100</t>
  </si>
  <si>
    <t xml:space="preserve"> 23+150</t>
  </si>
  <si>
    <t xml:space="preserve"> 23+200</t>
  </si>
  <si>
    <t xml:space="preserve"> 23+270</t>
  </si>
  <si>
    <t xml:space="preserve"> 21+200</t>
  </si>
  <si>
    <t xml:space="preserve"> 21+265</t>
  </si>
  <si>
    <t xml:space="preserve"> 21+315</t>
  </si>
  <si>
    <t xml:space="preserve"> 21+365</t>
  </si>
  <si>
    <t xml:space="preserve"> 21+415</t>
  </si>
  <si>
    <t xml:space="preserve"> 21+465</t>
  </si>
  <si>
    <t xml:space="preserve"> 21+515</t>
  </si>
  <si>
    <t xml:space="preserve"> 21+565</t>
  </si>
  <si>
    <t xml:space="preserve"> 21+695</t>
  </si>
  <si>
    <t xml:space="preserve"> 21+745</t>
  </si>
  <si>
    <t xml:space="preserve"> 21+790</t>
  </si>
  <si>
    <t xml:space="preserve"> 21+840</t>
  </si>
  <si>
    <t xml:space="preserve"> 21+915</t>
  </si>
  <si>
    <t xml:space="preserve"> 21+965</t>
  </si>
  <si>
    <t xml:space="preserve"> 22+025</t>
  </si>
  <si>
    <t xml:space="preserve"> 22+075</t>
  </si>
  <si>
    <t xml:space="preserve"> 22+110</t>
  </si>
  <si>
    <t xml:space="preserve"> 22+170</t>
  </si>
  <si>
    <t xml:space="preserve"> 22+205</t>
  </si>
  <si>
    <t xml:space="preserve"> 22+230</t>
  </si>
  <si>
    <t xml:space="preserve"> 22+265</t>
  </si>
  <si>
    <t xml:space="preserve"> 22+325</t>
  </si>
  <si>
    <t xml:space="preserve"> 22+375</t>
  </si>
  <si>
    <t xml:space="preserve"> 22+425</t>
  </si>
  <si>
    <t xml:space="preserve"> 22+475</t>
  </si>
  <si>
    <t xml:space="preserve"> 22+525</t>
  </si>
  <si>
    <t xml:space="preserve"> 22+575</t>
  </si>
  <si>
    <t xml:space="preserve"> 22+625</t>
  </si>
  <si>
    <t xml:space="preserve"> 22+675</t>
  </si>
  <si>
    <t xml:space="preserve"> 22+725</t>
  </si>
  <si>
    <t xml:space="preserve"> 22+775</t>
  </si>
  <si>
    <t xml:space="preserve"> 22+825</t>
  </si>
  <si>
    <t xml:space="preserve"> 22+875</t>
  </si>
  <si>
    <t xml:space="preserve"> 22+925</t>
  </si>
  <si>
    <t xml:space="preserve"> 22+975</t>
  </si>
  <si>
    <t xml:space="preserve"> 23+025</t>
  </si>
  <si>
    <t xml:space="preserve"> 23+075</t>
  </si>
  <si>
    <t xml:space="preserve"> 23+125</t>
  </si>
  <si>
    <t xml:space="preserve"> 23+175</t>
  </si>
  <si>
    <t xml:space="preserve"> 23+225</t>
  </si>
  <si>
    <t xml:space="preserve"> 25+560</t>
  </si>
  <si>
    <t xml:space="preserve"> 25+600</t>
  </si>
  <si>
    <t xml:space="preserve"> 25+650</t>
  </si>
  <si>
    <t xml:space="preserve"> 25+700</t>
  </si>
  <si>
    <t>28+040</t>
  </si>
  <si>
    <t xml:space="preserve"> 28+085</t>
  </si>
  <si>
    <t xml:space="preserve"> 28+130</t>
  </si>
  <si>
    <t xml:space="preserve"> 28+175</t>
  </si>
  <si>
    <t xml:space="preserve"> 28+220</t>
  </si>
  <si>
    <t xml:space="preserve"> 28+265</t>
  </si>
  <si>
    <t xml:space="preserve"> 28+310</t>
  </si>
  <si>
    <t xml:space="preserve"> 28+355</t>
  </si>
  <si>
    <t xml:space="preserve"> 28+400</t>
  </si>
  <si>
    <t xml:space="preserve"> 28+445</t>
  </si>
  <si>
    <t xml:space="preserve"> 28+490</t>
  </si>
  <si>
    <t xml:space="preserve"> 28+535</t>
  </si>
  <si>
    <t xml:space="preserve"> 28+580</t>
  </si>
  <si>
    <t xml:space="preserve"> 28+625</t>
  </si>
  <si>
    <t xml:space="preserve"> 28+670</t>
  </si>
  <si>
    <t xml:space="preserve"> 28+715</t>
  </si>
  <si>
    <t xml:space="preserve"> 28+760</t>
  </si>
  <si>
    <t xml:space="preserve"> 28+805</t>
  </si>
  <si>
    <t xml:space="preserve"> 28+850</t>
  </si>
  <si>
    <t xml:space="preserve"> 30+920</t>
  </si>
  <si>
    <t xml:space="preserve"> 31+010</t>
  </si>
  <si>
    <t xml:space="preserve"> 31+055</t>
  </si>
  <si>
    <t xml:space="preserve"> 31+100</t>
  </si>
  <si>
    <t xml:space="preserve"> 31+145</t>
  </si>
  <si>
    <t xml:space="preserve"> 31+230</t>
  </si>
  <si>
    <t xml:space="preserve"> 31+275</t>
  </si>
  <si>
    <t xml:space="preserve"> 31+320</t>
  </si>
  <si>
    <t xml:space="preserve"> 31+365</t>
  </si>
  <si>
    <t xml:space="preserve"> 31+410</t>
  </si>
  <si>
    <t xml:space="preserve"> 35+880</t>
  </si>
  <si>
    <t xml:space="preserve"> 35+925</t>
  </si>
  <si>
    <t xml:space="preserve"> 35+970</t>
  </si>
  <si>
    <t xml:space="preserve"> 36+015</t>
  </si>
  <si>
    <t xml:space="preserve"> 36+060</t>
  </si>
  <si>
    <t xml:space="preserve"> 36+150</t>
  </si>
  <si>
    <t xml:space="preserve"> 36+205</t>
  </si>
  <si>
    <t xml:space="preserve"> 36+250</t>
  </si>
  <si>
    <t xml:space="preserve"> 36+295</t>
  </si>
  <si>
    <t xml:space="preserve"> 36+340</t>
  </si>
  <si>
    <t xml:space="preserve"> 36+385</t>
  </si>
  <si>
    <t xml:space="preserve"> 36+430</t>
  </si>
  <si>
    <t xml:space="preserve"> 37+730</t>
  </si>
  <si>
    <t xml:space="preserve"> 37+775</t>
  </si>
  <si>
    <t xml:space="preserve"> 37+870</t>
  </si>
  <si>
    <t xml:space="preserve"> 37+915</t>
  </si>
  <si>
    <t xml:space="preserve"> 37+960</t>
  </si>
  <si>
    <t xml:space="preserve"> 38+005</t>
  </si>
  <si>
    <t xml:space="preserve"> 38+050</t>
  </si>
  <si>
    <t xml:space="preserve"> 38+145</t>
  </si>
  <si>
    <t xml:space="preserve"> 38+190</t>
  </si>
  <si>
    <t xml:space="preserve"> 38+235</t>
  </si>
  <si>
    <t xml:space="preserve"> 38+280</t>
  </si>
  <si>
    <t xml:space="preserve"> 38+325</t>
  </si>
  <si>
    <t xml:space="preserve"> 38+370</t>
  </si>
  <si>
    <t xml:space="preserve"> 38+315</t>
  </si>
  <si>
    <t>41+500</t>
  </si>
  <si>
    <t>41+545</t>
  </si>
  <si>
    <t>41+590</t>
  </si>
  <si>
    <t>41+635</t>
  </si>
  <si>
    <t>41+680</t>
  </si>
  <si>
    <t>41+725</t>
  </si>
  <si>
    <t>41+770</t>
  </si>
  <si>
    <t>41+815</t>
  </si>
  <si>
    <t xml:space="preserve"> 41+995</t>
  </si>
  <si>
    <t xml:space="preserve"> 42+085</t>
  </si>
  <si>
    <t xml:space="preserve"> 42+215</t>
  </si>
  <si>
    <t xml:space="preserve"> 42+270</t>
  </si>
  <si>
    <t xml:space="preserve"> 42+315</t>
  </si>
  <si>
    <t xml:space="preserve"> 42+360</t>
  </si>
  <si>
    <t xml:space="preserve"> 42+405</t>
  </si>
  <si>
    <t xml:space="preserve"> 44+850</t>
  </si>
  <si>
    <t xml:space="preserve"> 44+900</t>
  </si>
  <si>
    <t xml:space="preserve"> 44+945</t>
  </si>
  <si>
    <t xml:space="preserve"> 44+990</t>
  </si>
  <si>
    <t xml:space="preserve"> 45+025</t>
  </si>
  <si>
    <t xml:space="preserve"> 45+070</t>
  </si>
  <si>
    <t xml:space="preserve"> 45+115</t>
  </si>
  <si>
    <t xml:space="preserve"> 45+160</t>
  </si>
  <si>
    <t xml:space="preserve"> 45+205</t>
  </si>
  <si>
    <t xml:space="preserve"> 45+250</t>
  </si>
  <si>
    <t xml:space="preserve"> 45+295</t>
  </si>
  <si>
    <t xml:space="preserve"> 45+340</t>
  </si>
  <si>
    <t xml:space="preserve"> 45+385</t>
  </si>
  <si>
    <t xml:space="preserve"> 45+430</t>
  </si>
  <si>
    <t xml:space="preserve"> 45+475</t>
  </si>
  <si>
    <t xml:space="preserve"> 45+520</t>
  </si>
  <si>
    <t>LT2</t>
  </si>
  <si>
    <t>LT1</t>
  </si>
  <si>
    <t>RT1</t>
  </si>
  <si>
    <t>LT3</t>
  </si>
  <si>
    <t>RT2</t>
  </si>
  <si>
    <t>LT4</t>
  </si>
  <si>
    <t>RT3</t>
  </si>
  <si>
    <t>LT5</t>
  </si>
  <si>
    <t>RT4</t>
  </si>
  <si>
    <t>RT5</t>
  </si>
  <si>
    <t>RT6</t>
  </si>
  <si>
    <t>RT7</t>
  </si>
  <si>
    <t>RT8</t>
  </si>
  <si>
    <t>RT9</t>
  </si>
  <si>
    <t>RT10</t>
  </si>
  <si>
    <t>RT11</t>
  </si>
  <si>
    <t>RT12</t>
  </si>
  <si>
    <t>RT13</t>
  </si>
  <si>
    <t>RT14</t>
  </si>
  <si>
    <t>RT15</t>
  </si>
  <si>
    <t>RT16</t>
  </si>
  <si>
    <t>RT17</t>
  </si>
  <si>
    <t>RT18</t>
  </si>
  <si>
    <t>RT19</t>
  </si>
  <si>
    <t>RT20</t>
  </si>
  <si>
    <t>RT21</t>
  </si>
  <si>
    <t>RT22</t>
  </si>
  <si>
    <t>RT23</t>
  </si>
  <si>
    <t>RT24</t>
  </si>
  <si>
    <t>RT25</t>
  </si>
  <si>
    <t>RT26</t>
  </si>
  <si>
    <t>RT27</t>
  </si>
  <si>
    <t>LT6</t>
  </si>
  <si>
    <t>LT7</t>
  </si>
  <si>
    <t>LT8</t>
  </si>
  <si>
    <t>LT9</t>
  </si>
  <si>
    <t>LT10</t>
  </si>
  <si>
    <t>LT11</t>
  </si>
  <si>
    <t>LT12</t>
  </si>
  <si>
    <t>LT13</t>
  </si>
  <si>
    <t>LT14</t>
  </si>
  <si>
    <t>LT15</t>
  </si>
  <si>
    <t>LT16</t>
  </si>
  <si>
    <t>LT17</t>
  </si>
  <si>
    <t>LT18</t>
  </si>
  <si>
    <t>LT19</t>
  </si>
  <si>
    <t>LT20</t>
  </si>
  <si>
    <t>LT21</t>
  </si>
  <si>
    <t>LT22</t>
  </si>
  <si>
    <t>LT23</t>
  </si>
  <si>
    <t>LT24</t>
  </si>
  <si>
    <t>LT25</t>
  </si>
  <si>
    <t>LT26</t>
  </si>
  <si>
    <t>LT27</t>
  </si>
  <si>
    <t>LT28</t>
  </si>
  <si>
    <t>RT28</t>
  </si>
  <si>
    <t>RT29</t>
  </si>
  <si>
    <t>RT30</t>
  </si>
  <si>
    <t>RT31</t>
  </si>
  <si>
    <t>RT32</t>
  </si>
  <si>
    <t>RT33</t>
  </si>
  <si>
    <t>LT29</t>
  </si>
  <si>
    <t>LT30</t>
  </si>
  <si>
    <t>LT31</t>
  </si>
  <si>
    <t>LT32</t>
  </si>
  <si>
    <t>LT33</t>
  </si>
  <si>
    <t>LT34</t>
  </si>
  <si>
    <t>LT35</t>
  </si>
  <si>
    <t>LT36</t>
  </si>
  <si>
    <t>LT37</t>
  </si>
  <si>
    <t>LT38</t>
  </si>
  <si>
    <t>LT39</t>
  </si>
  <si>
    <t>LT40</t>
  </si>
  <si>
    <t>LT41</t>
  </si>
  <si>
    <t>LT42</t>
  </si>
  <si>
    <t>LT43</t>
  </si>
  <si>
    <t>LT44</t>
  </si>
  <si>
    <t>LT45</t>
  </si>
  <si>
    <t>LT46</t>
  </si>
  <si>
    <t>LT47</t>
  </si>
  <si>
    <t>LT48</t>
  </si>
  <si>
    <t>LT49</t>
  </si>
  <si>
    <t>LT50</t>
  </si>
  <si>
    <t>LT51</t>
  </si>
  <si>
    <t>LT52</t>
  </si>
  <si>
    <t>LT53</t>
  </si>
  <si>
    <t>LT54</t>
  </si>
  <si>
    <t>LT55</t>
  </si>
  <si>
    <t>LT56</t>
  </si>
  <si>
    <t>LT57</t>
  </si>
  <si>
    <t>LT58</t>
  </si>
  <si>
    <t>LT59</t>
  </si>
  <si>
    <t>LT60</t>
  </si>
  <si>
    <t>LT61</t>
  </si>
  <si>
    <t>LT62</t>
  </si>
  <si>
    <t>LT63</t>
  </si>
  <si>
    <t>LT64</t>
  </si>
  <si>
    <t>LT65</t>
  </si>
  <si>
    <t>LT66</t>
  </si>
  <si>
    <t>LT67</t>
  </si>
  <si>
    <t>LT68</t>
  </si>
  <si>
    <t>LT69</t>
  </si>
  <si>
    <t>LT70</t>
  </si>
  <si>
    <t>LT71</t>
  </si>
  <si>
    <t>LT72</t>
  </si>
  <si>
    <t>LT73</t>
  </si>
  <si>
    <t>LT74</t>
  </si>
  <si>
    <t>LT75</t>
  </si>
  <si>
    <t>LT76</t>
  </si>
  <si>
    <t>RT34</t>
  </si>
  <si>
    <t>RT35</t>
  </si>
  <si>
    <t>RT36</t>
  </si>
  <si>
    <t>RT37</t>
  </si>
  <si>
    <t>RT38</t>
  </si>
  <si>
    <t>RT39</t>
  </si>
  <si>
    <t>RT40</t>
  </si>
  <si>
    <t>RT41</t>
  </si>
  <si>
    <t>RT42</t>
  </si>
  <si>
    <t>RT43</t>
  </si>
  <si>
    <t>RT44</t>
  </si>
  <si>
    <t>RT45</t>
  </si>
  <si>
    <t>RT46</t>
  </si>
  <si>
    <t>RT47</t>
  </si>
  <si>
    <t>RT48</t>
  </si>
  <si>
    <t>RT49</t>
  </si>
  <si>
    <t>RT50</t>
  </si>
  <si>
    <t>RT51</t>
  </si>
  <si>
    <t>RT52</t>
  </si>
  <si>
    <t>RT53</t>
  </si>
  <si>
    <t>RT54</t>
  </si>
  <si>
    <t>RT55</t>
  </si>
  <si>
    <t>RT56</t>
  </si>
  <si>
    <t>RT57</t>
  </si>
  <si>
    <t>RT58</t>
  </si>
  <si>
    <t>RT59</t>
  </si>
  <si>
    <t>RT60</t>
  </si>
  <si>
    <t>RT61</t>
  </si>
  <si>
    <t>RT62</t>
  </si>
  <si>
    <t>RT63</t>
  </si>
  <si>
    <t>RT64</t>
  </si>
  <si>
    <t>RT65</t>
  </si>
  <si>
    <t>RT66</t>
  </si>
  <si>
    <t>RT67</t>
  </si>
  <si>
    <t>RT68</t>
  </si>
  <si>
    <t>RT69</t>
  </si>
  <si>
    <t>RT70</t>
  </si>
  <si>
    <t>RT71</t>
  </si>
  <si>
    <t>RT72</t>
  </si>
  <si>
    <t>RT73</t>
  </si>
  <si>
    <t>RT74</t>
  </si>
  <si>
    <t>RT75</t>
  </si>
  <si>
    <t>RT76</t>
  </si>
  <si>
    <t>RT77</t>
  </si>
  <si>
    <t>RT78</t>
  </si>
  <si>
    <t>RT79</t>
  </si>
  <si>
    <t>RT80</t>
  </si>
  <si>
    <t>RT81</t>
  </si>
  <si>
    <t>RT82</t>
  </si>
  <si>
    <t>RT83</t>
  </si>
  <si>
    <t>RT84</t>
  </si>
  <si>
    <t>RT85</t>
  </si>
  <si>
    <t>RT86</t>
  </si>
  <si>
    <t>RT87</t>
  </si>
  <si>
    <t>RT88</t>
  </si>
  <si>
    <t>RT89</t>
  </si>
  <si>
    <t>RT90</t>
  </si>
  <si>
    <t>RT91</t>
  </si>
  <si>
    <t>RT92</t>
  </si>
  <si>
    <t>RT93</t>
  </si>
  <si>
    <t>RT94</t>
  </si>
  <si>
    <t>RT95</t>
  </si>
  <si>
    <t>RT96</t>
  </si>
  <si>
    <t>RT97</t>
  </si>
  <si>
    <t>RT98</t>
  </si>
  <si>
    <t>RT99</t>
  </si>
  <si>
    <t>LT77</t>
  </si>
  <si>
    <t>LT78</t>
  </si>
  <si>
    <t>LT79</t>
  </si>
  <si>
    <t>LT80</t>
  </si>
  <si>
    <t>LT81</t>
  </si>
  <si>
    <t>LT82</t>
  </si>
  <si>
    <t>LT83</t>
  </si>
  <si>
    <t>RT101</t>
  </si>
  <si>
    <t>RT102</t>
  </si>
  <si>
    <t>RT103</t>
  </si>
  <si>
    <t>RT104</t>
  </si>
  <si>
    <t>RT105</t>
  </si>
  <si>
    <t>RT106</t>
  </si>
  <si>
    <t>RT107</t>
  </si>
  <si>
    <t>RT108</t>
  </si>
  <si>
    <t>RT109</t>
  </si>
  <si>
    <t>RT110</t>
  </si>
  <si>
    <t>RT111</t>
  </si>
  <si>
    <t>RT112</t>
  </si>
  <si>
    <t>RT113</t>
  </si>
  <si>
    <t>RT114</t>
  </si>
  <si>
    <t>RT115</t>
  </si>
  <si>
    <t>RT116</t>
  </si>
  <si>
    <t>RT117</t>
  </si>
  <si>
    <t>RT118</t>
  </si>
  <si>
    <t>RT119</t>
  </si>
  <si>
    <t>RT120</t>
  </si>
  <si>
    <t>RT121</t>
  </si>
  <si>
    <t>RT122</t>
  </si>
  <si>
    <t>RT123</t>
  </si>
  <si>
    <t>RT124</t>
  </si>
  <si>
    <t>RT125</t>
  </si>
  <si>
    <t>RT126</t>
  </si>
  <si>
    <t>LT84</t>
  </si>
  <si>
    <t>LT85</t>
  </si>
  <si>
    <t>LT86</t>
  </si>
  <si>
    <t>LT87</t>
  </si>
  <si>
    <t>LT88</t>
  </si>
  <si>
    <t>LT89</t>
  </si>
  <si>
    <t>LT90</t>
  </si>
  <si>
    <t>LT91</t>
  </si>
  <si>
    <t>RT127</t>
  </si>
  <si>
    <t>RT128</t>
  </si>
  <si>
    <t>RT129</t>
  </si>
  <si>
    <t>RT130</t>
  </si>
  <si>
    <t>RT131</t>
  </si>
  <si>
    <t>RT132</t>
  </si>
  <si>
    <t>RT133</t>
  </si>
  <si>
    <t>RT134</t>
  </si>
  <si>
    <t>RT135</t>
  </si>
  <si>
    <t>RT136</t>
  </si>
  <si>
    <t>RT137</t>
  </si>
  <si>
    <t>RT138</t>
  </si>
  <si>
    <t>RT139</t>
  </si>
  <si>
    <t>RT140</t>
  </si>
  <si>
    <t>RT141</t>
  </si>
  <si>
    <t>RT142</t>
  </si>
  <si>
    <t>RT143</t>
  </si>
  <si>
    <t>RT144</t>
  </si>
  <si>
    <t>RT145</t>
  </si>
  <si>
    <t>RT146</t>
  </si>
  <si>
    <t>RT147</t>
  </si>
  <si>
    <t>RT148</t>
  </si>
  <si>
    <t>RT149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</si>
</sst>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Tahoma"/>
      <family val="2"/>
      <scheme val="minor"/>
    </font>
    <font>
      <sz val="11"/>
      <color theme="1"/>
      <name val="Tahoma"/>
      <family val="2"/>
      <scheme val="minor"/>
    </font>
    <font>
      <sz val="18"/>
      <color theme="3"/>
      <name val="Tahoma"/>
      <family val="2"/>
      <scheme val="major"/>
    </font>
    <font>
      <b/>
      <sz val="15"/>
      <color theme="3"/>
      <name val="Tahoma"/>
      <family val="2"/>
      <scheme val="minor"/>
    </font>
    <font>
      <b/>
      <sz val="13"/>
      <color theme="3"/>
      <name val="Tahoma"/>
      <family val="2"/>
      <scheme val="minor"/>
    </font>
    <font>
      <b/>
      <sz val="11"/>
      <color theme="3"/>
      <name val="Tahoma"/>
      <family val="2"/>
      <scheme val="minor"/>
    </font>
    <font>
      <sz val="11"/>
      <color rgb="FF006100"/>
      <name val="Tahoma"/>
      <family val="2"/>
      <scheme val="minor"/>
    </font>
    <font>
      <sz val="11"/>
      <color rgb="FF9C0006"/>
      <name val="Tahoma"/>
      <family val="2"/>
      <scheme val="minor"/>
    </font>
    <font>
      <sz val="11"/>
      <color rgb="FF9C5700"/>
      <name val="Tahoma"/>
      <family val="2"/>
      <scheme val="minor"/>
    </font>
    <font>
      <sz val="11"/>
      <color rgb="FF3F3F76"/>
      <name val="Tahoma"/>
      <family val="2"/>
      <scheme val="minor"/>
    </font>
    <font>
      <b/>
      <sz val="11"/>
      <color rgb="FF3F3F3F"/>
      <name val="Tahoma"/>
      <family val="2"/>
      <scheme val="minor"/>
    </font>
    <font>
      <b/>
      <sz val="11"/>
      <color rgb="FFFA7D00"/>
      <name val="Tahoma"/>
      <family val="2"/>
      <scheme val="minor"/>
    </font>
    <font>
      <sz val="11"/>
      <color rgb="FFFA7D00"/>
      <name val="Tahoma"/>
      <family val="2"/>
      <scheme val="minor"/>
    </font>
    <font>
      <b/>
      <sz val="11"/>
      <color theme="0"/>
      <name val="Tahoma"/>
      <family val="2"/>
      <scheme val="minor"/>
    </font>
    <font>
      <sz val="11"/>
      <color rgb="FFFF0000"/>
      <name val="Tahoma"/>
      <family val="2"/>
      <scheme val="minor"/>
    </font>
    <font>
      <i/>
      <sz val="11"/>
      <color rgb="FF7F7F7F"/>
      <name val="Tahoma"/>
      <family val="2"/>
      <scheme val="minor"/>
    </font>
    <font>
      <b/>
      <sz val="11"/>
      <color theme="1"/>
      <name val="Tahoma"/>
      <family val="2"/>
      <scheme val="minor"/>
    </font>
    <font>
      <sz val="11"/>
      <color theme="0"/>
      <name val="Tahoma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</cellXfs>
  <cellStyles count="42">
    <cellStyle name="20% - ส่วนที่ถูกเน้น1" xfId="19" builtinId="30" customBuiltin="1"/>
    <cellStyle name="20% - ส่วนที่ถูกเน้น2" xfId="23" builtinId="34" customBuiltin="1"/>
    <cellStyle name="20% - ส่วนที่ถูกเน้น3" xfId="27" builtinId="38" customBuiltin="1"/>
    <cellStyle name="20% - ส่วนที่ถูกเน้น4" xfId="31" builtinId="42" customBuiltin="1"/>
    <cellStyle name="20% - ส่วนที่ถูกเน้น5" xfId="35" builtinId="46" customBuiltin="1"/>
    <cellStyle name="20% - ส่วนที่ถูกเน้น6" xfId="39" builtinId="50" customBuiltin="1"/>
    <cellStyle name="40% - ส่วนที่ถูกเน้น1" xfId="20" builtinId="31" customBuiltin="1"/>
    <cellStyle name="40% - ส่วนที่ถูกเน้น2" xfId="24" builtinId="35" customBuiltin="1"/>
    <cellStyle name="40% - ส่วนที่ถูกเน้น3" xfId="28" builtinId="39" customBuiltin="1"/>
    <cellStyle name="40% - ส่วนที่ถูกเน้น4" xfId="32" builtinId="43" customBuiltin="1"/>
    <cellStyle name="40% - ส่วนที่ถูกเน้น5" xfId="36" builtinId="47" customBuiltin="1"/>
    <cellStyle name="40% - ส่วนที่ถูกเน้น6" xfId="40" builtinId="51" customBuiltin="1"/>
    <cellStyle name="60% - ส่วนที่ถูกเน้น1" xfId="21" builtinId="32" customBuiltin="1"/>
    <cellStyle name="60% - ส่วนที่ถูกเน้น2" xfId="25" builtinId="36" customBuiltin="1"/>
    <cellStyle name="60% - ส่วนที่ถูกเน้น3" xfId="29" builtinId="40" customBuiltin="1"/>
    <cellStyle name="60% - ส่วนที่ถูกเน้น4" xfId="33" builtinId="44" customBuiltin="1"/>
    <cellStyle name="60% - ส่วนที่ถูกเน้น5" xfId="37" builtinId="48" customBuiltin="1"/>
    <cellStyle name="60% - ส่วนที่ถูกเน้น6" xfId="41" builtinId="52" customBuiltin="1"/>
    <cellStyle name="เซลล์ตรวจสอบ" xfId="13" builtinId="23" customBuiltin="1"/>
    <cellStyle name="เซลล์ที่มีลิงก์" xfId="12" builtinId="24" customBuiltin="1"/>
    <cellStyle name="แย่" xfId="7" builtinId="27" customBuiltin="1"/>
    <cellStyle name="แสดงผล" xfId="10" builtinId="21" customBuiltin="1"/>
    <cellStyle name="การคำนวณ" xfId="11" builtinId="22" customBuiltin="1"/>
    <cellStyle name="ข้อความเตือน" xfId="14" builtinId="11" customBuiltin="1"/>
    <cellStyle name="ข้อความอธิบาย" xfId="16" builtinId="53" customBuiltin="1"/>
    <cellStyle name="ชื่อเรื่อง" xfId="1" builtinId="15" customBuiltin="1"/>
    <cellStyle name="ดี" xfId="6" builtinId="26" customBuiltin="1"/>
    <cellStyle name="ปกติ" xfId="0" builtinId="0"/>
    <cellStyle name="ป้อนค่า" xfId="9" builtinId="20" customBuiltin="1"/>
    <cellStyle name="ปานกลาง" xfId="8" builtinId="28" customBuiltin="1"/>
    <cellStyle name="ผลรวม" xfId="17" builtinId="25" customBuiltin="1"/>
    <cellStyle name="ส่วนที่ถูกเน้น1" xfId="18" builtinId="29" customBuiltin="1"/>
    <cellStyle name="ส่วนที่ถูกเน้น2" xfId="22" builtinId="33" customBuiltin="1"/>
    <cellStyle name="ส่วนที่ถูกเน้น3" xfId="26" builtinId="37" customBuiltin="1"/>
    <cellStyle name="ส่วนที่ถูกเน้น4" xfId="30" builtinId="41" customBuiltin="1"/>
    <cellStyle name="ส่วนที่ถูกเน้น5" xfId="34" builtinId="45" customBuiltin="1"/>
    <cellStyle name="ส่วนที่ถูกเน้น6" xfId="38" builtinId="49" customBuiltin="1"/>
    <cellStyle name="หมายเหตุ" xfId="15" builtinId="10" customBuiltin="1"/>
    <cellStyle name="หัวเรื่อง 1" xfId="2" builtinId="16" customBuiltin="1"/>
    <cellStyle name="หัวเรื่อง 2" xfId="3" builtinId="17" customBuiltin="1"/>
    <cellStyle name="หัวเรื่อง 3" xfId="4" builtinId="18" customBuiltin="1"/>
    <cellStyle name="หัวเรื่อง 4" xfId="5" builtinId="1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4D5C2-0608-49F1-8911-2BF3861221D7}">
  <dimension ref="A1:T243"/>
  <sheetViews>
    <sheetView tabSelected="1" workbookViewId="0">
      <selection activeCell="S15" sqref="S15"/>
    </sheetView>
  </sheetViews>
  <sheetFormatPr defaultRowHeight="14.25" x14ac:dyDescent="0.2"/>
  <cols>
    <col min="1" max="16" width="9" style="2"/>
    <col min="19" max="19" width="10.125" style="1" customWidth="1"/>
    <col min="20" max="20" width="9" style="1"/>
  </cols>
  <sheetData>
    <row r="1" spans="1:16" x14ac:dyDescent="0.2">
      <c r="A1" s="2" t="s">
        <v>487</v>
      </c>
      <c r="B1" s="2" t="s">
        <v>488</v>
      </c>
      <c r="C1" s="2" t="s">
        <v>489</v>
      </c>
      <c r="D1" s="2" t="s">
        <v>490</v>
      </c>
      <c r="E1" s="2" t="s">
        <v>491</v>
      </c>
      <c r="F1" s="2" t="s">
        <v>492</v>
      </c>
      <c r="G1" s="2" t="s">
        <v>493</v>
      </c>
      <c r="H1" s="2" t="s">
        <v>494</v>
      </c>
      <c r="I1" s="2" t="s">
        <v>495</v>
      </c>
      <c r="J1" s="2" t="s">
        <v>496</v>
      </c>
      <c r="K1" s="2" t="s">
        <v>497</v>
      </c>
      <c r="L1" s="2" t="s">
        <v>498</v>
      </c>
      <c r="M1" s="2" t="s">
        <v>499</v>
      </c>
      <c r="N1" s="2" t="s">
        <v>500</v>
      </c>
      <c r="O1" s="2" t="s">
        <v>501</v>
      </c>
      <c r="P1" s="2" t="s">
        <v>502</v>
      </c>
    </row>
    <row r="2" spans="1:16" x14ac:dyDescent="0.2">
      <c r="A2" s="2" t="s">
        <v>503</v>
      </c>
      <c r="B2" s="2" t="s">
        <v>1173</v>
      </c>
      <c r="H2" s="2">
        <v>2033</v>
      </c>
      <c r="I2" s="2">
        <v>102</v>
      </c>
      <c r="J2" s="2" t="s">
        <v>935</v>
      </c>
      <c r="O2" s="2" t="s">
        <v>506</v>
      </c>
      <c r="P2" s="2" t="s">
        <v>730</v>
      </c>
    </row>
    <row r="3" spans="1:16" x14ac:dyDescent="0.2">
      <c r="A3" s="2" t="s">
        <v>503</v>
      </c>
      <c r="B3" s="2" t="s">
        <v>1174</v>
      </c>
      <c r="H3" s="2">
        <v>2033</v>
      </c>
      <c r="I3" s="2">
        <v>102</v>
      </c>
      <c r="J3" s="2" t="s">
        <v>936</v>
      </c>
      <c r="O3" s="2" t="s">
        <v>507</v>
      </c>
      <c r="P3" s="2" t="s">
        <v>731</v>
      </c>
    </row>
    <row r="4" spans="1:16" x14ac:dyDescent="0.2">
      <c r="A4" s="2" t="s">
        <v>504</v>
      </c>
      <c r="B4" s="2" t="s">
        <v>1175</v>
      </c>
      <c r="H4" s="2">
        <v>2033</v>
      </c>
      <c r="I4" s="2">
        <v>102</v>
      </c>
      <c r="J4" s="2" t="s">
        <v>937</v>
      </c>
      <c r="O4" s="2" t="s">
        <v>508</v>
      </c>
      <c r="P4" s="2" t="s">
        <v>732</v>
      </c>
    </row>
    <row r="5" spans="1:16" x14ac:dyDescent="0.2">
      <c r="A5" s="2" t="s">
        <v>503</v>
      </c>
      <c r="B5" s="2" t="s">
        <v>1176</v>
      </c>
      <c r="H5" s="2">
        <v>2033</v>
      </c>
      <c r="I5" s="2">
        <v>102</v>
      </c>
      <c r="J5" s="2" t="s">
        <v>938</v>
      </c>
      <c r="O5" s="2" t="s">
        <v>509</v>
      </c>
      <c r="P5" s="2" t="s">
        <v>732</v>
      </c>
    </row>
    <row r="6" spans="1:16" x14ac:dyDescent="0.2">
      <c r="A6" s="2" t="s">
        <v>503</v>
      </c>
      <c r="B6" s="2" t="s">
        <v>1177</v>
      </c>
      <c r="H6" s="2">
        <v>2033</v>
      </c>
      <c r="I6" s="2">
        <v>102</v>
      </c>
      <c r="J6" s="2" t="s">
        <v>939</v>
      </c>
      <c r="O6" s="2" t="s">
        <v>510</v>
      </c>
      <c r="P6" s="2" t="s">
        <v>733</v>
      </c>
    </row>
    <row r="7" spans="1:16" x14ac:dyDescent="0.2">
      <c r="A7" s="2" t="s">
        <v>504</v>
      </c>
      <c r="B7" s="2" t="s">
        <v>1178</v>
      </c>
      <c r="H7" s="2">
        <v>2033</v>
      </c>
      <c r="I7" s="2">
        <v>102</v>
      </c>
      <c r="J7" s="2" t="s">
        <v>940</v>
      </c>
      <c r="O7" s="2" t="s">
        <v>511</v>
      </c>
      <c r="P7" s="2" t="s">
        <v>734</v>
      </c>
    </row>
    <row r="8" spans="1:16" x14ac:dyDescent="0.2">
      <c r="A8" s="2" t="s">
        <v>504</v>
      </c>
      <c r="B8" s="2" t="s">
        <v>1179</v>
      </c>
      <c r="H8" s="2">
        <v>2033</v>
      </c>
      <c r="I8" s="2">
        <v>102</v>
      </c>
      <c r="J8" s="2" t="s">
        <v>941</v>
      </c>
      <c r="O8" s="2" t="s">
        <v>512</v>
      </c>
      <c r="P8" s="2" t="s">
        <v>735</v>
      </c>
    </row>
    <row r="9" spans="1:16" x14ac:dyDescent="0.2">
      <c r="A9" s="2" t="s">
        <v>504</v>
      </c>
      <c r="B9" s="2" t="s">
        <v>1180</v>
      </c>
      <c r="H9" s="2">
        <v>2033</v>
      </c>
      <c r="I9" s="2">
        <v>102</v>
      </c>
      <c r="J9" s="2" t="s">
        <v>942</v>
      </c>
      <c r="O9" s="2" t="s">
        <v>513</v>
      </c>
      <c r="P9" s="2" t="s">
        <v>736</v>
      </c>
    </row>
    <row r="10" spans="1:16" x14ac:dyDescent="0.2">
      <c r="A10" s="2" t="s">
        <v>504</v>
      </c>
      <c r="B10" s="2" t="s">
        <v>1181</v>
      </c>
      <c r="H10" s="2">
        <v>2033</v>
      </c>
      <c r="I10" s="2">
        <v>102</v>
      </c>
      <c r="J10" s="2" t="s">
        <v>943</v>
      </c>
      <c r="O10" s="2" t="s">
        <v>514</v>
      </c>
      <c r="P10" s="2" t="s">
        <v>737</v>
      </c>
    </row>
    <row r="11" spans="1:16" x14ac:dyDescent="0.2">
      <c r="A11" s="2" t="s">
        <v>504</v>
      </c>
      <c r="B11" s="2" t="s">
        <v>1182</v>
      </c>
      <c r="H11" s="2">
        <v>2033</v>
      </c>
      <c r="I11" s="2">
        <v>102</v>
      </c>
      <c r="J11" s="2" t="s">
        <v>944</v>
      </c>
      <c r="O11" s="2" t="s">
        <v>515</v>
      </c>
      <c r="P11" s="2" t="s">
        <v>738</v>
      </c>
    </row>
    <row r="12" spans="1:16" x14ac:dyDescent="0.2">
      <c r="A12" s="2" t="s">
        <v>504</v>
      </c>
      <c r="B12" s="2" t="s">
        <v>1183</v>
      </c>
      <c r="H12" s="2">
        <v>2033</v>
      </c>
      <c r="I12" s="2">
        <v>102</v>
      </c>
      <c r="J12" s="2" t="s">
        <v>945</v>
      </c>
      <c r="O12" s="2" t="s">
        <v>516</v>
      </c>
      <c r="P12" s="2" t="s">
        <v>739</v>
      </c>
    </row>
    <row r="13" spans="1:16" x14ac:dyDescent="0.2">
      <c r="A13" s="2" t="s">
        <v>504</v>
      </c>
      <c r="B13" s="2" t="s">
        <v>1184</v>
      </c>
      <c r="H13" s="2">
        <v>2033</v>
      </c>
      <c r="I13" s="2">
        <v>102</v>
      </c>
      <c r="J13" s="2" t="s">
        <v>946</v>
      </c>
      <c r="O13" s="2" t="s">
        <v>517</v>
      </c>
      <c r="P13" s="2" t="s">
        <v>740</v>
      </c>
    </row>
    <row r="14" spans="1:16" x14ac:dyDescent="0.2">
      <c r="A14" s="2" t="s">
        <v>504</v>
      </c>
      <c r="B14" s="2" t="s">
        <v>1185</v>
      </c>
      <c r="H14" s="2">
        <v>2033</v>
      </c>
      <c r="I14" s="2">
        <v>102</v>
      </c>
      <c r="J14" s="2" t="s">
        <v>947</v>
      </c>
      <c r="O14" s="2" t="s">
        <v>518</v>
      </c>
      <c r="P14" s="2" t="s">
        <v>741</v>
      </c>
    </row>
    <row r="15" spans="1:16" x14ac:dyDescent="0.2">
      <c r="A15" s="2" t="s">
        <v>504</v>
      </c>
      <c r="B15" s="2" t="s">
        <v>1186</v>
      </c>
      <c r="H15" s="2">
        <v>2033</v>
      </c>
      <c r="I15" s="2">
        <v>102</v>
      </c>
      <c r="J15" s="2" t="s">
        <v>948</v>
      </c>
      <c r="O15" s="2" t="s">
        <v>519</v>
      </c>
      <c r="P15" s="2" t="s">
        <v>742</v>
      </c>
    </row>
    <row r="16" spans="1:16" x14ac:dyDescent="0.2">
      <c r="A16" s="2" t="s">
        <v>504</v>
      </c>
      <c r="B16" s="2" t="s">
        <v>1187</v>
      </c>
      <c r="H16" s="2">
        <v>2033</v>
      </c>
      <c r="I16" s="2">
        <v>102</v>
      </c>
      <c r="J16" s="2" t="s">
        <v>949</v>
      </c>
      <c r="O16" s="2" t="s">
        <v>520</v>
      </c>
      <c r="P16" s="2" t="s">
        <v>743</v>
      </c>
    </row>
    <row r="17" spans="1:16" x14ac:dyDescent="0.2">
      <c r="A17" s="2" t="s">
        <v>504</v>
      </c>
      <c r="B17" s="2" t="s">
        <v>1188</v>
      </c>
      <c r="H17" s="2">
        <v>2033</v>
      </c>
      <c r="I17" s="2">
        <v>102</v>
      </c>
      <c r="J17" s="2" t="s">
        <v>950</v>
      </c>
      <c r="O17" s="2" t="s">
        <v>521</v>
      </c>
      <c r="P17" s="2" t="s">
        <v>744</v>
      </c>
    </row>
    <row r="18" spans="1:16" x14ac:dyDescent="0.2">
      <c r="A18" s="2" t="s">
        <v>503</v>
      </c>
      <c r="B18" s="2" t="s">
        <v>1189</v>
      </c>
      <c r="H18" s="2">
        <v>2033</v>
      </c>
      <c r="I18" s="2">
        <v>102</v>
      </c>
      <c r="J18" s="2" t="s">
        <v>951</v>
      </c>
      <c r="O18" s="2" t="s">
        <v>522</v>
      </c>
      <c r="P18" s="2" t="s">
        <v>745</v>
      </c>
    </row>
    <row r="19" spans="1:16" x14ac:dyDescent="0.2">
      <c r="A19" s="2" t="s">
        <v>503</v>
      </c>
      <c r="B19" s="2" t="s">
        <v>1190</v>
      </c>
      <c r="H19" s="2">
        <v>2033</v>
      </c>
      <c r="I19" s="2">
        <v>102</v>
      </c>
      <c r="J19" s="2" t="s">
        <v>952</v>
      </c>
      <c r="O19" s="2" t="s">
        <v>523</v>
      </c>
      <c r="P19" s="2" t="s">
        <v>746</v>
      </c>
    </row>
    <row r="20" spans="1:16" x14ac:dyDescent="0.2">
      <c r="A20" s="2" t="s">
        <v>503</v>
      </c>
      <c r="B20" s="2" t="s">
        <v>1191</v>
      </c>
      <c r="H20" s="2">
        <v>2033</v>
      </c>
      <c r="I20" s="2">
        <v>102</v>
      </c>
      <c r="J20" s="2" t="s">
        <v>953</v>
      </c>
      <c r="O20" s="2" t="s">
        <v>524</v>
      </c>
      <c r="P20" s="2" t="s">
        <v>747</v>
      </c>
    </row>
    <row r="21" spans="1:16" x14ac:dyDescent="0.2">
      <c r="A21" s="2" t="s">
        <v>503</v>
      </c>
      <c r="B21" s="2" t="s">
        <v>1192</v>
      </c>
      <c r="H21" s="2">
        <v>2033</v>
      </c>
      <c r="I21" s="2">
        <v>102</v>
      </c>
      <c r="J21" s="2" t="s">
        <v>954</v>
      </c>
      <c r="O21" s="2" t="s">
        <v>525</v>
      </c>
      <c r="P21" s="2" t="s">
        <v>748</v>
      </c>
    </row>
    <row r="22" spans="1:16" x14ac:dyDescent="0.2">
      <c r="A22" s="2" t="s">
        <v>503</v>
      </c>
      <c r="B22" s="2" t="s">
        <v>1193</v>
      </c>
      <c r="H22" s="2">
        <v>2033</v>
      </c>
      <c r="I22" s="2">
        <v>102</v>
      </c>
      <c r="J22" s="2" t="s">
        <v>955</v>
      </c>
      <c r="O22" s="2" t="s">
        <v>526</v>
      </c>
      <c r="P22" s="2" t="s">
        <v>749</v>
      </c>
    </row>
    <row r="23" spans="1:16" x14ac:dyDescent="0.2">
      <c r="A23" s="2" t="s">
        <v>503</v>
      </c>
      <c r="B23" s="2" t="s">
        <v>1194</v>
      </c>
      <c r="H23" s="2">
        <v>2033</v>
      </c>
      <c r="I23" s="2">
        <v>102</v>
      </c>
      <c r="J23" s="2" t="s">
        <v>956</v>
      </c>
      <c r="O23" s="2" t="s">
        <v>527</v>
      </c>
      <c r="P23" s="2" t="s">
        <v>750</v>
      </c>
    </row>
    <row r="24" spans="1:16" x14ac:dyDescent="0.2">
      <c r="A24" s="2" t="s">
        <v>503</v>
      </c>
      <c r="B24" s="2" t="s">
        <v>1195</v>
      </c>
      <c r="H24" s="2">
        <v>2033</v>
      </c>
      <c r="I24" s="2">
        <v>102</v>
      </c>
      <c r="J24" s="2" t="s">
        <v>957</v>
      </c>
      <c r="O24" s="2" t="s">
        <v>528</v>
      </c>
      <c r="P24" s="2" t="s">
        <v>751</v>
      </c>
    </row>
    <row r="25" spans="1:16" x14ac:dyDescent="0.2">
      <c r="A25" s="2" t="s">
        <v>503</v>
      </c>
      <c r="B25" s="2" t="s">
        <v>1196</v>
      </c>
      <c r="H25" s="2">
        <v>2033</v>
      </c>
      <c r="I25" s="2">
        <v>102</v>
      </c>
      <c r="J25" s="2" t="s">
        <v>958</v>
      </c>
      <c r="O25" s="2" t="s">
        <v>529</v>
      </c>
      <c r="P25" s="2" t="s">
        <v>752</v>
      </c>
    </row>
    <row r="26" spans="1:16" x14ac:dyDescent="0.2">
      <c r="A26" s="2" t="s">
        <v>503</v>
      </c>
      <c r="B26" s="2" t="s">
        <v>1197</v>
      </c>
      <c r="H26" s="2">
        <v>2033</v>
      </c>
      <c r="I26" s="2">
        <v>102</v>
      </c>
      <c r="J26" s="2" t="s">
        <v>959</v>
      </c>
      <c r="O26" s="2" t="s">
        <v>530</v>
      </c>
      <c r="P26" s="2" t="s">
        <v>753</v>
      </c>
    </row>
    <row r="27" spans="1:16" x14ac:dyDescent="0.2">
      <c r="A27" s="2" t="s">
        <v>503</v>
      </c>
      <c r="B27" s="2" t="s">
        <v>1198</v>
      </c>
      <c r="H27" s="2">
        <v>2033</v>
      </c>
      <c r="I27" s="2">
        <v>102</v>
      </c>
      <c r="J27" s="2" t="s">
        <v>960</v>
      </c>
      <c r="O27" s="2" t="s">
        <v>531</v>
      </c>
      <c r="P27" s="2" t="s">
        <v>754</v>
      </c>
    </row>
    <row r="28" spans="1:16" x14ac:dyDescent="0.2">
      <c r="A28" s="2" t="s">
        <v>503</v>
      </c>
      <c r="B28" s="2" t="s">
        <v>1199</v>
      </c>
      <c r="H28" s="2">
        <v>2033</v>
      </c>
      <c r="I28" s="2">
        <v>102</v>
      </c>
      <c r="J28" s="2" t="s">
        <v>961</v>
      </c>
      <c r="O28" s="2" t="s">
        <v>532</v>
      </c>
      <c r="P28" s="2" t="s">
        <v>755</v>
      </c>
    </row>
    <row r="29" spans="1:16" x14ac:dyDescent="0.2">
      <c r="A29" s="2" t="s">
        <v>503</v>
      </c>
      <c r="B29" s="2" t="s">
        <v>1200</v>
      </c>
      <c r="H29" s="2">
        <v>2033</v>
      </c>
      <c r="I29" s="2">
        <v>102</v>
      </c>
      <c r="J29" s="2" t="s">
        <v>962</v>
      </c>
      <c r="O29" s="2" t="s">
        <v>533</v>
      </c>
      <c r="P29" s="2" t="s">
        <v>756</v>
      </c>
    </row>
    <row r="30" spans="1:16" x14ac:dyDescent="0.2">
      <c r="A30" s="2" t="s">
        <v>503</v>
      </c>
      <c r="B30" s="2" t="s">
        <v>1201</v>
      </c>
      <c r="H30" s="2">
        <v>2033</v>
      </c>
      <c r="I30" s="2">
        <v>102</v>
      </c>
      <c r="J30" s="2" t="s">
        <v>963</v>
      </c>
      <c r="O30" s="2" t="s">
        <v>534</v>
      </c>
      <c r="P30" s="2" t="s">
        <v>757</v>
      </c>
    </row>
    <row r="31" spans="1:16" x14ac:dyDescent="0.2">
      <c r="A31" s="2" t="s">
        <v>503</v>
      </c>
      <c r="B31" s="2" t="s">
        <v>1202</v>
      </c>
      <c r="H31" s="2">
        <v>2033</v>
      </c>
      <c r="I31" s="2">
        <v>102</v>
      </c>
      <c r="J31" s="2" t="s">
        <v>964</v>
      </c>
      <c r="O31" s="2" t="s">
        <v>535</v>
      </c>
      <c r="P31" s="2" t="s">
        <v>758</v>
      </c>
    </row>
    <row r="32" spans="1:16" x14ac:dyDescent="0.2">
      <c r="A32" s="2" t="s">
        <v>503</v>
      </c>
      <c r="B32" s="2" t="s">
        <v>1203</v>
      </c>
      <c r="H32" s="2">
        <v>2033</v>
      </c>
      <c r="I32" s="2">
        <v>102</v>
      </c>
      <c r="J32" s="2" t="s">
        <v>965</v>
      </c>
      <c r="O32" s="2" t="s">
        <v>536</v>
      </c>
      <c r="P32" s="2" t="s">
        <v>759</v>
      </c>
    </row>
    <row r="33" spans="1:16" x14ac:dyDescent="0.2">
      <c r="A33" s="2" t="s">
        <v>503</v>
      </c>
      <c r="B33" s="2" t="s">
        <v>1204</v>
      </c>
      <c r="H33" s="2">
        <v>2033</v>
      </c>
      <c r="I33" s="2">
        <v>102</v>
      </c>
      <c r="J33" s="2" t="s">
        <v>966</v>
      </c>
      <c r="O33" s="2" t="s">
        <v>537</v>
      </c>
      <c r="P33" s="2" t="s">
        <v>760</v>
      </c>
    </row>
    <row r="34" spans="1:16" x14ac:dyDescent="0.2">
      <c r="A34" s="2" t="s">
        <v>503</v>
      </c>
      <c r="B34" s="2" t="s">
        <v>1205</v>
      </c>
      <c r="H34" s="2">
        <v>2033</v>
      </c>
      <c r="I34" s="2">
        <v>102</v>
      </c>
      <c r="J34" s="2" t="s">
        <v>967</v>
      </c>
      <c r="O34" s="2" t="s">
        <v>538</v>
      </c>
      <c r="P34" s="2" t="s">
        <v>761</v>
      </c>
    </row>
    <row r="35" spans="1:16" x14ac:dyDescent="0.2">
      <c r="A35" s="2" t="s">
        <v>503</v>
      </c>
      <c r="B35" s="2" t="s">
        <v>1206</v>
      </c>
      <c r="H35" s="2">
        <v>2033</v>
      </c>
      <c r="I35" s="2">
        <v>102</v>
      </c>
      <c r="J35" s="2" t="s">
        <v>968</v>
      </c>
      <c r="O35" s="2" t="s">
        <v>539</v>
      </c>
      <c r="P35" s="2" t="s">
        <v>762</v>
      </c>
    </row>
    <row r="36" spans="1:16" x14ac:dyDescent="0.2">
      <c r="A36" s="2" t="s">
        <v>503</v>
      </c>
      <c r="B36" s="2" t="s">
        <v>1207</v>
      </c>
      <c r="H36" s="2">
        <v>2033</v>
      </c>
      <c r="I36" s="2">
        <v>102</v>
      </c>
      <c r="J36" s="2" t="s">
        <v>969</v>
      </c>
      <c r="O36" s="2" t="s">
        <v>540</v>
      </c>
      <c r="P36" s="2" t="s">
        <v>763</v>
      </c>
    </row>
    <row r="37" spans="1:16" x14ac:dyDescent="0.2">
      <c r="A37" s="2" t="s">
        <v>503</v>
      </c>
      <c r="B37" s="2" t="s">
        <v>1208</v>
      </c>
      <c r="H37" s="2">
        <v>2033</v>
      </c>
      <c r="I37" s="2">
        <v>102</v>
      </c>
      <c r="J37" s="2" t="s">
        <v>970</v>
      </c>
      <c r="O37" s="2" t="s">
        <v>541</v>
      </c>
      <c r="P37" s="2" t="s">
        <v>764</v>
      </c>
    </row>
    <row r="38" spans="1:16" x14ac:dyDescent="0.2">
      <c r="A38" s="2" t="s">
        <v>503</v>
      </c>
      <c r="B38" s="2" t="s">
        <v>1209</v>
      </c>
      <c r="H38" s="2">
        <v>2033</v>
      </c>
      <c r="I38" s="2">
        <v>102</v>
      </c>
      <c r="J38" s="2" t="s">
        <v>971</v>
      </c>
      <c r="O38" s="2" t="s">
        <v>542</v>
      </c>
      <c r="P38" s="2" t="s">
        <v>765</v>
      </c>
    </row>
    <row r="39" spans="1:16" x14ac:dyDescent="0.2">
      <c r="A39" s="2" t="s">
        <v>503</v>
      </c>
      <c r="B39" s="2" t="s">
        <v>1210</v>
      </c>
      <c r="H39" s="2">
        <v>2033</v>
      </c>
      <c r="I39" s="2">
        <v>102</v>
      </c>
      <c r="J39" s="2" t="s">
        <v>972</v>
      </c>
      <c r="O39" s="2" t="s">
        <v>543</v>
      </c>
      <c r="P39" s="2" t="s">
        <v>766</v>
      </c>
    </row>
    <row r="40" spans="1:16" x14ac:dyDescent="0.2">
      <c r="A40" s="2" t="s">
        <v>503</v>
      </c>
      <c r="B40" s="2" t="s">
        <v>1211</v>
      </c>
      <c r="H40" s="2">
        <v>2033</v>
      </c>
      <c r="I40" s="2">
        <v>102</v>
      </c>
      <c r="J40" s="2" t="s">
        <v>973</v>
      </c>
      <c r="O40" s="2" t="s">
        <v>544</v>
      </c>
      <c r="P40" s="2" t="s">
        <v>767</v>
      </c>
    </row>
    <row r="41" spans="1:16" x14ac:dyDescent="0.2">
      <c r="A41" s="2" t="s">
        <v>503</v>
      </c>
      <c r="B41" s="2" t="s">
        <v>1212</v>
      </c>
      <c r="H41" s="2">
        <v>2033</v>
      </c>
      <c r="I41" s="2">
        <v>102</v>
      </c>
      <c r="J41" s="2" t="s">
        <v>974</v>
      </c>
      <c r="O41" s="2" t="s">
        <v>545</v>
      </c>
      <c r="P41" s="2" t="s">
        <v>768</v>
      </c>
    </row>
    <row r="42" spans="1:16" x14ac:dyDescent="0.2">
      <c r="A42" s="2" t="s">
        <v>503</v>
      </c>
      <c r="B42" s="2" t="s">
        <v>1213</v>
      </c>
      <c r="H42" s="2">
        <v>2033</v>
      </c>
      <c r="I42" s="2">
        <v>102</v>
      </c>
      <c r="J42" s="2" t="s">
        <v>975</v>
      </c>
      <c r="O42" s="2" t="s">
        <v>546</v>
      </c>
      <c r="P42" s="2" t="s">
        <v>769</v>
      </c>
    </row>
    <row r="43" spans="1:16" x14ac:dyDescent="0.2">
      <c r="A43" s="2" t="s">
        <v>503</v>
      </c>
      <c r="B43" s="2" t="s">
        <v>1214</v>
      </c>
      <c r="H43" s="2">
        <v>2033</v>
      </c>
      <c r="I43" s="2">
        <v>102</v>
      </c>
      <c r="J43" s="2" t="s">
        <v>976</v>
      </c>
      <c r="O43" s="2" t="s">
        <v>547</v>
      </c>
      <c r="P43" s="2" t="s">
        <v>770</v>
      </c>
    </row>
    <row r="44" spans="1:16" x14ac:dyDescent="0.2">
      <c r="A44" s="2" t="s">
        <v>503</v>
      </c>
      <c r="B44" s="2" t="s">
        <v>1215</v>
      </c>
      <c r="H44" s="2">
        <v>2033</v>
      </c>
      <c r="I44" s="2">
        <v>102</v>
      </c>
      <c r="J44" s="2" t="s">
        <v>968</v>
      </c>
      <c r="O44" s="2" t="s">
        <v>548</v>
      </c>
      <c r="P44" s="2" t="s">
        <v>771</v>
      </c>
    </row>
    <row r="45" spans="1:16" x14ac:dyDescent="0.2">
      <c r="A45" s="2" t="s">
        <v>503</v>
      </c>
      <c r="B45" s="2" t="s">
        <v>1216</v>
      </c>
      <c r="H45" s="2">
        <v>2033</v>
      </c>
      <c r="I45" s="2">
        <v>102</v>
      </c>
      <c r="J45" s="2" t="s">
        <v>977</v>
      </c>
      <c r="O45" s="2" t="s">
        <v>549</v>
      </c>
      <c r="P45" s="2" t="s">
        <v>772</v>
      </c>
    </row>
    <row r="46" spans="1:16" x14ac:dyDescent="0.2">
      <c r="A46" s="2" t="s">
        <v>503</v>
      </c>
      <c r="B46" s="2" t="s">
        <v>1217</v>
      </c>
      <c r="H46" s="2">
        <v>2033</v>
      </c>
      <c r="I46" s="2">
        <v>102</v>
      </c>
      <c r="J46" s="2" t="s">
        <v>978</v>
      </c>
      <c r="O46" s="2" t="s">
        <v>550</v>
      </c>
      <c r="P46" s="2" t="s">
        <v>773</v>
      </c>
    </row>
    <row r="47" spans="1:16" x14ac:dyDescent="0.2">
      <c r="A47" s="2" t="s">
        <v>503</v>
      </c>
      <c r="B47" s="2" t="s">
        <v>1218</v>
      </c>
      <c r="H47" s="2">
        <v>2033</v>
      </c>
      <c r="I47" s="2">
        <v>102</v>
      </c>
      <c r="J47" s="2" t="s">
        <v>979</v>
      </c>
      <c r="O47" s="2" t="s">
        <v>551</v>
      </c>
      <c r="P47" s="2" t="s">
        <v>774</v>
      </c>
    </row>
    <row r="48" spans="1:16" x14ac:dyDescent="0.2">
      <c r="A48" s="2" t="s">
        <v>503</v>
      </c>
      <c r="B48" s="2" t="s">
        <v>1219</v>
      </c>
      <c r="H48" s="2">
        <v>2033</v>
      </c>
      <c r="I48" s="2">
        <v>102</v>
      </c>
      <c r="J48" s="2" t="s">
        <v>980</v>
      </c>
      <c r="O48" s="2" t="s">
        <v>552</v>
      </c>
      <c r="P48" s="2" t="s">
        <v>775</v>
      </c>
    </row>
    <row r="49" spans="1:16" x14ac:dyDescent="0.2">
      <c r="A49" s="2" t="s">
        <v>503</v>
      </c>
      <c r="B49" s="2" t="s">
        <v>1220</v>
      </c>
      <c r="H49" s="2">
        <v>2033</v>
      </c>
      <c r="I49" s="2">
        <v>102</v>
      </c>
      <c r="J49" s="2" t="s">
        <v>981</v>
      </c>
      <c r="O49" s="2" t="s">
        <v>553</v>
      </c>
      <c r="P49" s="2" t="s">
        <v>776</v>
      </c>
    </row>
    <row r="50" spans="1:16" x14ac:dyDescent="0.2">
      <c r="A50" s="2" t="s">
        <v>503</v>
      </c>
      <c r="B50" s="2" t="s">
        <v>1221</v>
      </c>
      <c r="H50" s="2">
        <v>2033</v>
      </c>
      <c r="I50" s="2">
        <v>102</v>
      </c>
      <c r="J50" s="2" t="s">
        <v>982</v>
      </c>
      <c r="O50" s="2" t="s">
        <v>554</v>
      </c>
      <c r="P50" s="2" t="s">
        <v>777</v>
      </c>
    </row>
    <row r="51" spans="1:16" x14ac:dyDescent="0.2">
      <c r="A51" s="2" t="s">
        <v>503</v>
      </c>
      <c r="B51" s="2" t="s">
        <v>1222</v>
      </c>
      <c r="H51" s="2">
        <v>2033</v>
      </c>
      <c r="I51" s="2">
        <v>102</v>
      </c>
      <c r="J51" s="2" t="s">
        <v>983</v>
      </c>
      <c r="O51" s="2" t="s">
        <v>555</v>
      </c>
      <c r="P51" s="2" t="s">
        <v>778</v>
      </c>
    </row>
    <row r="52" spans="1:16" x14ac:dyDescent="0.2">
      <c r="A52" s="2" t="s">
        <v>503</v>
      </c>
      <c r="B52" s="2" t="s">
        <v>1223</v>
      </c>
      <c r="H52" s="2">
        <v>2033</v>
      </c>
      <c r="I52" s="2">
        <v>102</v>
      </c>
      <c r="J52" s="2" t="s">
        <v>984</v>
      </c>
      <c r="O52" s="2" t="s">
        <v>556</v>
      </c>
      <c r="P52" s="2" t="s">
        <v>779</v>
      </c>
    </row>
    <row r="53" spans="1:16" x14ac:dyDescent="0.2">
      <c r="A53" s="2" t="s">
        <v>503</v>
      </c>
      <c r="B53" s="2" t="s">
        <v>1224</v>
      </c>
      <c r="H53" s="2">
        <v>2033</v>
      </c>
      <c r="I53" s="2">
        <v>102</v>
      </c>
      <c r="J53" s="2" t="s">
        <v>985</v>
      </c>
      <c r="O53" s="2" t="s">
        <v>557</v>
      </c>
      <c r="P53" s="2" t="s">
        <v>780</v>
      </c>
    </row>
    <row r="54" spans="1:16" x14ac:dyDescent="0.2">
      <c r="A54" s="2" t="s">
        <v>503</v>
      </c>
      <c r="B54" s="2" t="s">
        <v>1225</v>
      </c>
      <c r="H54" s="2">
        <v>2033</v>
      </c>
      <c r="I54" s="2">
        <v>102</v>
      </c>
      <c r="J54" s="2" t="s">
        <v>986</v>
      </c>
      <c r="O54" s="2" t="s">
        <v>558</v>
      </c>
      <c r="P54" s="2" t="s">
        <v>781</v>
      </c>
    </row>
    <row r="55" spans="1:16" x14ac:dyDescent="0.2">
      <c r="A55" s="2" t="s">
        <v>503</v>
      </c>
      <c r="B55" s="2" t="s">
        <v>1226</v>
      </c>
      <c r="H55" s="2">
        <v>2033</v>
      </c>
      <c r="I55" s="2">
        <v>102</v>
      </c>
      <c r="J55" s="2" t="s">
        <v>987</v>
      </c>
      <c r="O55" s="2" t="s">
        <v>559</v>
      </c>
      <c r="P55" s="2" t="s">
        <v>782</v>
      </c>
    </row>
    <row r="56" spans="1:16" x14ac:dyDescent="0.2">
      <c r="A56" s="2" t="s">
        <v>503</v>
      </c>
      <c r="B56" s="2" t="s">
        <v>1227</v>
      </c>
      <c r="H56" s="2">
        <v>2033</v>
      </c>
      <c r="I56" s="2">
        <v>102</v>
      </c>
      <c r="J56" s="2" t="s">
        <v>988</v>
      </c>
      <c r="O56" s="2" t="s">
        <v>560</v>
      </c>
      <c r="P56" s="2" t="s">
        <v>783</v>
      </c>
    </row>
    <row r="57" spans="1:16" x14ac:dyDescent="0.2">
      <c r="A57" s="2" t="s">
        <v>503</v>
      </c>
      <c r="B57" s="2" t="s">
        <v>1228</v>
      </c>
      <c r="H57" s="2">
        <v>2033</v>
      </c>
      <c r="I57" s="2">
        <v>102</v>
      </c>
      <c r="J57" s="2" t="s">
        <v>989</v>
      </c>
      <c r="O57" s="2" t="s">
        <v>561</v>
      </c>
      <c r="P57" s="2" t="s">
        <v>784</v>
      </c>
    </row>
    <row r="58" spans="1:16" x14ac:dyDescent="0.2">
      <c r="A58" s="2" t="s">
        <v>503</v>
      </c>
      <c r="B58" s="2" t="s">
        <v>1229</v>
      </c>
      <c r="H58" s="2">
        <v>2033</v>
      </c>
      <c r="I58" s="2">
        <v>102</v>
      </c>
      <c r="J58" s="2" t="s">
        <v>990</v>
      </c>
      <c r="O58" s="2" t="s">
        <v>562</v>
      </c>
      <c r="P58" s="2" t="s">
        <v>785</v>
      </c>
    </row>
    <row r="59" spans="1:16" x14ac:dyDescent="0.2">
      <c r="A59" s="2" t="s">
        <v>503</v>
      </c>
      <c r="B59" s="2" t="s">
        <v>1230</v>
      </c>
      <c r="H59" s="2">
        <v>2033</v>
      </c>
      <c r="I59" s="2">
        <v>102</v>
      </c>
      <c r="J59" s="2" t="s">
        <v>991</v>
      </c>
      <c r="O59" s="2" t="s">
        <v>563</v>
      </c>
      <c r="P59" s="2" t="s">
        <v>786</v>
      </c>
    </row>
    <row r="60" spans="1:16" x14ac:dyDescent="0.2">
      <c r="A60" s="2" t="s">
        <v>503</v>
      </c>
      <c r="B60" s="2" t="s">
        <v>1231</v>
      </c>
      <c r="H60" s="2">
        <v>2033</v>
      </c>
      <c r="I60" s="2">
        <v>102</v>
      </c>
      <c r="J60" s="2" t="s">
        <v>992</v>
      </c>
      <c r="O60" s="2" t="s">
        <v>564</v>
      </c>
      <c r="P60" s="2" t="s">
        <v>787</v>
      </c>
    </row>
    <row r="61" spans="1:16" x14ac:dyDescent="0.2">
      <c r="A61" s="2" t="s">
        <v>503</v>
      </c>
      <c r="B61" s="2" t="s">
        <v>1232</v>
      </c>
      <c r="H61" s="2">
        <v>2033</v>
      </c>
      <c r="I61" s="2">
        <v>102</v>
      </c>
      <c r="J61" s="2" t="s">
        <v>993</v>
      </c>
      <c r="O61" s="2" t="s">
        <v>565</v>
      </c>
      <c r="P61" s="2" t="s">
        <v>788</v>
      </c>
    </row>
    <row r="62" spans="1:16" x14ac:dyDescent="0.2">
      <c r="A62" s="2" t="s">
        <v>503</v>
      </c>
      <c r="B62" s="2" t="s">
        <v>1233</v>
      </c>
      <c r="H62" s="2">
        <v>2033</v>
      </c>
      <c r="I62" s="2">
        <v>102</v>
      </c>
      <c r="J62" s="2" t="s">
        <v>994</v>
      </c>
      <c r="O62" s="2" t="s">
        <v>566</v>
      </c>
      <c r="P62" s="2" t="s">
        <v>789</v>
      </c>
    </row>
    <row r="63" spans="1:16" x14ac:dyDescent="0.2">
      <c r="A63" s="2" t="s">
        <v>503</v>
      </c>
      <c r="B63" s="2" t="s">
        <v>1234</v>
      </c>
      <c r="H63" s="2">
        <v>2033</v>
      </c>
      <c r="I63" s="2">
        <v>102</v>
      </c>
      <c r="J63" s="2" t="s">
        <v>995</v>
      </c>
      <c r="O63" s="2" t="s">
        <v>567</v>
      </c>
      <c r="P63" s="2" t="s">
        <v>790</v>
      </c>
    </row>
    <row r="64" spans="1:16" x14ac:dyDescent="0.2">
      <c r="A64" s="2" t="s">
        <v>503</v>
      </c>
      <c r="B64" s="2" t="s">
        <v>1235</v>
      </c>
      <c r="H64" s="2">
        <v>2033</v>
      </c>
      <c r="I64" s="2">
        <v>102</v>
      </c>
      <c r="J64" s="2" t="s">
        <v>996</v>
      </c>
      <c r="O64" s="2" t="s">
        <v>568</v>
      </c>
      <c r="P64" s="2" t="s">
        <v>791</v>
      </c>
    </row>
    <row r="65" spans="1:16" x14ac:dyDescent="0.2">
      <c r="A65" s="2" t="s">
        <v>503</v>
      </c>
      <c r="B65" s="2" t="s">
        <v>1236</v>
      </c>
      <c r="H65" s="2">
        <v>2033</v>
      </c>
      <c r="I65" s="2">
        <v>102</v>
      </c>
      <c r="J65" s="2" t="s">
        <v>997</v>
      </c>
      <c r="O65" s="2" t="s">
        <v>569</v>
      </c>
      <c r="P65" s="2" t="s">
        <v>792</v>
      </c>
    </row>
    <row r="66" spans="1:16" x14ac:dyDescent="0.2">
      <c r="A66" s="2" t="s">
        <v>503</v>
      </c>
      <c r="B66" s="2" t="s">
        <v>1237</v>
      </c>
      <c r="H66" s="2">
        <v>2033</v>
      </c>
      <c r="I66" s="2">
        <v>102</v>
      </c>
      <c r="J66" s="2" t="s">
        <v>998</v>
      </c>
      <c r="O66" s="2" t="s">
        <v>570</v>
      </c>
      <c r="P66" s="2" t="s">
        <v>793</v>
      </c>
    </row>
    <row r="67" spans="1:16" x14ac:dyDescent="0.2">
      <c r="A67" s="2" t="s">
        <v>503</v>
      </c>
      <c r="B67" s="2" t="s">
        <v>1238</v>
      </c>
      <c r="H67" s="2">
        <v>2033</v>
      </c>
      <c r="I67" s="2">
        <v>102</v>
      </c>
      <c r="J67" s="2" t="s">
        <v>999</v>
      </c>
      <c r="O67" s="2" t="s">
        <v>571</v>
      </c>
      <c r="P67" s="2" t="s">
        <v>794</v>
      </c>
    </row>
    <row r="68" spans="1:16" x14ac:dyDescent="0.2">
      <c r="A68" s="2" t="s">
        <v>503</v>
      </c>
      <c r="B68" s="2" t="s">
        <v>1239</v>
      </c>
      <c r="H68" s="2">
        <v>2033</v>
      </c>
      <c r="I68" s="2">
        <v>102</v>
      </c>
      <c r="J68" s="2" t="s">
        <v>1000</v>
      </c>
      <c r="O68" s="2" t="s">
        <v>572</v>
      </c>
      <c r="P68" s="2" t="s">
        <v>795</v>
      </c>
    </row>
    <row r="69" spans="1:16" x14ac:dyDescent="0.2">
      <c r="A69" s="2" t="s">
        <v>503</v>
      </c>
      <c r="B69" s="2" t="s">
        <v>1240</v>
      </c>
      <c r="H69" s="2">
        <v>2033</v>
      </c>
      <c r="I69" s="2">
        <v>102</v>
      </c>
      <c r="J69" s="2" t="s">
        <v>1001</v>
      </c>
      <c r="O69" s="2" t="s">
        <v>573</v>
      </c>
      <c r="P69" s="2" t="s">
        <v>796</v>
      </c>
    </row>
    <row r="70" spans="1:16" x14ac:dyDescent="0.2">
      <c r="A70" s="2" t="s">
        <v>503</v>
      </c>
      <c r="B70" s="2" t="s">
        <v>1241</v>
      </c>
      <c r="H70" s="2">
        <v>2033</v>
      </c>
      <c r="I70" s="2">
        <v>102</v>
      </c>
      <c r="J70" s="2" t="s">
        <v>1002</v>
      </c>
      <c r="O70" s="2" t="s">
        <v>574</v>
      </c>
      <c r="P70" s="2" t="s">
        <v>797</v>
      </c>
    </row>
    <row r="71" spans="1:16" x14ac:dyDescent="0.2">
      <c r="A71" s="2" t="s">
        <v>503</v>
      </c>
      <c r="B71" s="2" t="s">
        <v>1242</v>
      </c>
      <c r="H71" s="2">
        <v>2033</v>
      </c>
      <c r="I71" s="2">
        <v>102</v>
      </c>
      <c r="J71" s="2" t="s">
        <v>1003</v>
      </c>
      <c r="O71" s="2" t="s">
        <v>575</v>
      </c>
      <c r="P71" s="2" t="s">
        <v>798</v>
      </c>
    </row>
    <row r="72" spans="1:16" x14ac:dyDescent="0.2">
      <c r="A72" s="2" t="s">
        <v>503</v>
      </c>
      <c r="B72" s="2" t="s">
        <v>1243</v>
      </c>
      <c r="H72" s="2">
        <v>2033</v>
      </c>
      <c r="I72" s="2">
        <v>102</v>
      </c>
      <c r="J72" s="2" t="s">
        <v>1004</v>
      </c>
      <c r="O72" s="2" t="s">
        <v>576</v>
      </c>
      <c r="P72" s="2" t="s">
        <v>799</v>
      </c>
    </row>
    <row r="73" spans="1:16" x14ac:dyDescent="0.2">
      <c r="A73" s="2" t="s">
        <v>503</v>
      </c>
      <c r="B73" s="2" t="s">
        <v>1244</v>
      </c>
      <c r="H73" s="2">
        <v>2033</v>
      </c>
      <c r="I73" s="2">
        <v>102</v>
      </c>
      <c r="J73" s="2" t="s">
        <v>1005</v>
      </c>
      <c r="O73" s="2" t="s">
        <v>577</v>
      </c>
      <c r="P73" s="2" t="s">
        <v>800</v>
      </c>
    </row>
    <row r="74" spans="1:16" x14ac:dyDescent="0.2">
      <c r="A74" s="2" t="s">
        <v>503</v>
      </c>
      <c r="B74" s="2" t="s">
        <v>1245</v>
      </c>
      <c r="H74" s="2">
        <v>2033</v>
      </c>
      <c r="I74" s="2">
        <v>102</v>
      </c>
      <c r="J74" s="2" t="s">
        <v>1006</v>
      </c>
      <c r="O74" s="2" t="s">
        <v>578</v>
      </c>
      <c r="P74" s="2" t="s">
        <v>801</v>
      </c>
    </row>
    <row r="75" spans="1:16" x14ac:dyDescent="0.2">
      <c r="A75" s="2" t="s">
        <v>503</v>
      </c>
      <c r="B75" s="2" t="s">
        <v>1246</v>
      </c>
      <c r="H75" s="2">
        <v>2033</v>
      </c>
      <c r="I75" s="2">
        <v>102</v>
      </c>
      <c r="J75" s="2" t="s">
        <v>1007</v>
      </c>
      <c r="O75" s="2" t="s">
        <v>579</v>
      </c>
      <c r="P75" s="2" t="s">
        <v>802</v>
      </c>
    </row>
    <row r="76" spans="1:16" x14ac:dyDescent="0.2">
      <c r="A76" s="2" t="s">
        <v>503</v>
      </c>
      <c r="B76" s="2" t="s">
        <v>1247</v>
      </c>
      <c r="H76" s="2">
        <v>2033</v>
      </c>
      <c r="I76" s="2">
        <v>102</v>
      </c>
      <c r="J76" s="2" t="s">
        <v>1008</v>
      </c>
      <c r="O76" s="2" t="s">
        <v>580</v>
      </c>
      <c r="P76" s="2" t="s">
        <v>803</v>
      </c>
    </row>
    <row r="77" spans="1:16" x14ac:dyDescent="0.2">
      <c r="A77" s="2" t="s">
        <v>503</v>
      </c>
      <c r="B77" s="2" t="s">
        <v>1248</v>
      </c>
      <c r="H77" s="2">
        <v>2033</v>
      </c>
      <c r="I77" s="2">
        <v>102</v>
      </c>
      <c r="J77" s="2" t="s">
        <v>1009</v>
      </c>
      <c r="O77" s="2" t="s">
        <v>581</v>
      </c>
      <c r="P77" s="2" t="s">
        <v>804</v>
      </c>
    </row>
    <row r="78" spans="1:16" x14ac:dyDescent="0.2">
      <c r="A78" s="2" t="s">
        <v>503</v>
      </c>
      <c r="B78" s="2" t="s">
        <v>1249</v>
      </c>
      <c r="H78" s="2">
        <v>2033</v>
      </c>
      <c r="I78" s="2">
        <v>102</v>
      </c>
      <c r="J78" s="2" t="s">
        <v>1010</v>
      </c>
      <c r="O78" s="2" t="s">
        <v>582</v>
      </c>
      <c r="P78" s="2" t="s">
        <v>805</v>
      </c>
    </row>
    <row r="79" spans="1:16" x14ac:dyDescent="0.2">
      <c r="A79" s="2" t="s">
        <v>503</v>
      </c>
      <c r="B79" s="2" t="s">
        <v>1250</v>
      </c>
      <c r="H79" s="2">
        <v>2033</v>
      </c>
      <c r="I79" s="2">
        <v>102</v>
      </c>
      <c r="J79" s="2" t="s">
        <v>1011</v>
      </c>
      <c r="O79" s="2" t="s">
        <v>583</v>
      </c>
      <c r="P79" s="2" t="s">
        <v>806</v>
      </c>
    </row>
    <row r="80" spans="1:16" x14ac:dyDescent="0.2">
      <c r="A80" s="2" t="s">
        <v>503</v>
      </c>
      <c r="B80" s="2" t="s">
        <v>1251</v>
      </c>
      <c r="H80" s="2">
        <v>2033</v>
      </c>
      <c r="I80" s="2">
        <v>102</v>
      </c>
      <c r="J80" s="2" t="s">
        <v>1012</v>
      </c>
      <c r="O80" s="2" t="s">
        <v>584</v>
      </c>
      <c r="P80" s="2" t="s">
        <v>807</v>
      </c>
    </row>
    <row r="81" spans="1:16" x14ac:dyDescent="0.2">
      <c r="A81" s="2" t="s">
        <v>503</v>
      </c>
      <c r="B81" s="2" t="s">
        <v>1252</v>
      </c>
      <c r="H81" s="2">
        <v>2033</v>
      </c>
      <c r="I81" s="2">
        <v>102</v>
      </c>
      <c r="J81" s="2" t="s">
        <v>1013</v>
      </c>
      <c r="O81" s="2" t="s">
        <v>585</v>
      </c>
      <c r="P81" s="2" t="s">
        <v>808</v>
      </c>
    </row>
    <row r="82" spans="1:16" x14ac:dyDescent="0.2">
      <c r="A82" s="2" t="s">
        <v>503</v>
      </c>
      <c r="B82" s="2" t="s">
        <v>1253</v>
      </c>
      <c r="H82" s="2">
        <v>2033</v>
      </c>
      <c r="I82" s="2">
        <v>102</v>
      </c>
      <c r="J82" s="2" t="s">
        <v>1014</v>
      </c>
      <c r="O82" s="2" t="s">
        <v>586</v>
      </c>
      <c r="P82" s="2" t="s">
        <v>809</v>
      </c>
    </row>
    <row r="83" spans="1:16" x14ac:dyDescent="0.2">
      <c r="A83" s="2" t="s">
        <v>503</v>
      </c>
      <c r="B83" s="2" t="s">
        <v>1254</v>
      </c>
      <c r="H83" s="2">
        <v>2033</v>
      </c>
      <c r="I83" s="2">
        <v>102</v>
      </c>
      <c r="J83" s="2" t="s">
        <v>1015</v>
      </c>
      <c r="O83" s="2" t="s">
        <v>587</v>
      </c>
      <c r="P83" s="2" t="s">
        <v>810</v>
      </c>
    </row>
    <row r="84" spans="1:16" x14ac:dyDescent="0.2">
      <c r="A84" s="2" t="s">
        <v>503</v>
      </c>
      <c r="B84" s="2" t="s">
        <v>1255</v>
      </c>
      <c r="H84" s="2">
        <v>2033</v>
      </c>
      <c r="I84" s="2">
        <v>102</v>
      </c>
      <c r="J84" s="2" t="s">
        <v>1016</v>
      </c>
      <c r="O84" s="2" t="s">
        <v>588</v>
      </c>
      <c r="P84" s="2" t="s">
        <v>811</v>
      </c>
    </row>
    <row r="85" spans="1:16" x14ac:dyDescent="0.2">
      <c r="A85" s="2" t="s">
        <v>503</v>
      </c>
      <c r="B85" s="2" t="s">
        <v>1256</v>
      </c>
      <c r="H85" s="2">
        <v>2033</v>
      </c>
      <c r="I85" s="2">
        <v>102</v>
      </c>
      <c r="J85" s="2" t="s">
        <v>1017</v>
      </c>
      <c r="O85" s="2" t="s">
        <v>589</v>
      </c>
      <c r="P85" s="2" t="s">
        <v>812</v>
      </c>
    </row>
    <row r="86" spans="1:16" x14ac:dyDescent="0.2">
      <c r="A86" s="2" t="s">
        <v>503</v>
      </c>
      <c r="B86" s="2" t="s">
        <v>1257</v>
      </c>
      <c r="H86" s="2">
        <v>2033</v>
      </c>
      <c r="I86" s="2">
        <v>102</v>
      </c>
      <c r="J86" s="2" t="s">
        <v>1018</v>
      </c>
      <c r="O86" s="2" t="s">
        <v>590</v>
      </c>
      <c r="P86" s="2" t="s">
        <v>813</v>
      </c>
    </row>
    <row r="87" spans="1:16" x14ac:dyDescent="0.2">
      <c r="A87" s="2" t="s">
        <v>503</v>
      </c>
      <c r="B87" s="2" t="s">
        <v>1258</v>
      </c>
      <c r="H87" s="2">
        <v>2033</v>
      </c>
      <c r="I87" s="2">
        <v>102</v>
      </c>
      <c r="J87" s="2" t="s">
        <v>1019</v>
      </c>
      <c r="O87" s="2" t="s">
        <v>591</v>
      </c>
      <c r="P87" s="2" t="s">
        <v>814</v>
      </c>
    </row>
    <row r="88" spans="1:16" x14ac:dyDescent="0.2">
      <c r="A88" s="2" t="s">
        <v>503</v>
      </c>
      <c r="B88" s="2" t="s">
        <v>1259</v>
      </c>
      <c r="H88" s="2">
        <v>2033</v>
      </c>
      <c r="I88" s="2">
        <v>102</v>
      </c>
      <c r="J88" s="2" t="s">
        <v>1020</v>
      </c>
      <c r="O88" s="2" t="s">
        <v>592</v>
      </c>
      <c r="P88" s="2" t="s">
        <v>815</v>
      </c>
    </row>
    <row r="89" spans="1:16" x14ac:dyDescent="0.2">
      <c r="A89" s="2" t="s">
        <v>503</v>
      </c>
      <c r="B89" s="2" t="s">
        <v>1260</v>
      </c>
      <c r="H89" s="2">
        <v>2033</v>
      </c>
      <c r="I89" s="2">
        <v>102</v>
      </c>
      <c r="J89" s="2" t="s">
        <v>1021</v>
      </c>
      <c r="O89" s="2" t="s">
        <v>593</v>
      </c>
      <c r="P89" s="2" t="s">
        <v>816</v>
      </c>
    </row>
    <row r="90" spans="1:16" x14ac:dyDescent="0.2">
      <c r="A90" s="2" t="s">
        <v>503</v>
      </c>
      <c r="B90" s="2" t="s">
        <v>1261</v>
      </c>
      <c r="H90" s="2">
        <v>2033</v>
      </c>
      <c r="I90" s="2">
        <v>102</v>
      </c>
      <c r="J90" s="2" t="s">
        <v>1022</v>
      </c>
      <c r="O90" s="2" t="s">
        <v>594</v>
      </c>
      <c r="P90" s="2" t="s">
        <v>817</v>
      </c>
    </row>
    <row r="91" spans="1:16" x14ac:dyDescent="0.2">
      <c r="A91" s="2" t="s">
        <v>503</v>
      </c>
      <c r="B91" s="2" t="s">
        <v>1262</v>
      </c>
      <c r="H91" s="2">
        <v>2033</v>
      </c>
      <c r="I91" s="2">
        <v>102</v>
      </c>
      <c r="J91" s="2" t="s">
        <v>1023</v>
      </c>
      <c r="O91" s="2" t="s">
        <v>595</v>
      </c>
      <c r="P91" s="2" t="s">
        <v>818</v>
      </c>
    </row>
    <row r="92" spans="1:16" x14ac:dyDescent="0.2">
      <c r="A92" s="2" t="s">
        <v>503</v>
      </c>
      <c r="B92" s="2" t="s">
        <v>1263</v>
      </c>
      <c r="H92" s="2">
        <v>2033</v>
      </c>
      <c r="I92" s="2">
        <v>102</v>
      </c>
      <c r="J92" s="2" t="s">
        <v>1024</v>
      </c>
      <c r="O92" s="2" t="s">
        <v>596</v>
      </c>
      <c r="P92" s="2" t="s">
        <v>819</v>
      </c>
    </row>
    <row r="93" spans="1:16" x14ac:dyDescent="0.2">
      <c r="A93" s="2" t="s">
        <v>503</v>
      </c>
      <c r="B93" s="2" t="s">
        <v>1264</v>
      </c>
      <c r="H93" s="2">
        <v>2033</v>
      </c>
      <c r="I93" s="2">
        <v>102</v>
      </c>
      <c r="J93" s="2" t="s">
        <v>1025</v>
      </c>
      <c r="O93" s="2" t="s">
        <v>597</v>
      </c>
      <c r="P93" s="2" t="s">
        <v>820</v>
      </c>
    </row>
    <row r="94" spans="1:16" x14ac:dyDescent="0.2">
      <c r="A94" s="2" t="s">
        <v>503</v>
      </c>
      <c r="B94" s="2" t="s">
        <v>1265</v>
      </c>
      <c r="H94" s="2">
        <v>2033</v>
      </c>
      <c r="I94" s="2">
        <v>102</v>
      </c>
      <c r="J94" s="2" t="s">
        <v>1026</v>
      </c>
      <c r="O94" s="2" t="s">
        <v>598</v>
      </c>
      <c r="P94" s="2" t="s">
        <v>821</v>
      </c>
    </row>
    <row r="95" spans="1:16" x14ac:dyDescent="0.2">
      <c r="A95" s="2" t="s">
        <v>503</v>
      </c>
      <c r="B95" s="2" t="s">
        <v>1266</v>
      </c>
      <c r="H95" s="2">
        <v>2033</v>
      </c>
      <c r="I95" s="2">
        <v>102</v>
      </c>
      <c r="J95" s="2" t="s">
        <v>1027</v>
      </c>
      <c r="O95" s="2" t="s">
        <v>599</v>
      </c>
      <c r="P95" s="2" t="s">
        <v>822</v>
      </c>
    </row>
    <row r="96" spans="1:16" x14ac:dyDescent="0.2">
      <c r="A96" s="2" t="s">
        <v>503</v>
      </c>
      <c r="B96" s="2" t="s">
        <v>1267</v>
      </c>
      <c r="H96" s="2">
        <v>2033</v>
      </c>
      <c r="I96" s="2">
        <v>102</v>
      </c>
      <c r="J96" s="2" t="s">
        <v>1028</v>
      </c>
      <c r="O96" s="2" t="s">
        <v>600</v>
      </c>
      <c r="P96" s="2" t="s">
        <v>823</v>
      </c>
    </row>
    <row r="97" spans="1:16" x14ac:dyDescent="0.2">
      <c r="A97" s="2" t="s">
        <v>503</v>
      </c>
      <c r="B97" s="2" t="s">
        <v>1268</v>
      </c>
      <c r="H97" s="2">
        <v>2033</v>
      </c>
      <c r="I97" s="2">
        <v>102</v>
      </c>
      <c r="J97" s="2" t="s">
        <v>1029</v>
      </c>
      <c r="O97" s="2" t="s">
        <v>601</v>
      </c>
      <c r="P97" s="2" t="s">
        <v>824</v>
      </c>
    </row>
    <row r="98" spans="1:16" x14ac:dyDescent="0.2">
      <c r="A98" s="2" t="s">
        <v>503</v>
      </c>
      <c r="B98" s="2" t="s">
        <v>1269</v>
      </c>
      <c r="H98" s="2">
        <v>2033</v>
      </c>
      <c r="I98" s="2">
        <v>102</v>
      </c>
      <c r="J98" s="2" t="s">
        <v>1030</v>
      </c>
      <c r="O98" s="2" t="s">
        <v>602</v>
      </c>
      <c r="P98" s="2" t="s">
        <v>825</v>
      </c>
    </row>
    <row r="99" spans="1:16" x14ac:dyDescent="0.2">
      <c r="A99" s="2" t="s">
        <v>503</v>
      </c>
      <c r="B99" s="2" t="s">
        <v>1270</v>
      </c>
      <c r="H99" s="2">
        <v>2033</v>
      </c>
      <c r="I99" s="2">
        <v>102</v>
      </c>
      <c r="J99" s="2" t="s">
        <v>1031</v>
      </c>
      <c r="O99" s="2" t="s">
        <v>603</v>
      </c>
      <c r="P99" s="2" t="s">
        <v>826</v>
      </c>
    </row>
    <row r="100" spans="1:16" x14ac:dyDescent="0.2">
      <c r="A100" s="2" t="s">
        <v>503</v>
      </c>
      <c r="B100" s="2" t="s">
        <v>1271</v>
      </c>
      <c r="H100" s="2">
        <v>2033</v>
      </c>
      <c r="I100" s="2">
        <v>102</v>
      </c>
      <c r="J100" s="2" t="s">
        <v>1032</v>
      </c>
      <c r="O100" s="2" t="s">
        <v>604</v>
      </c>
      <c r="P100" s="2" t="s">
        <v>827</v>
      </c>
    </row>
    <row r="101" spans="1:16" x14ac:dyDescent="0.2">
      <c r="A101" s="2" t="s">
        <v>503</v>
      </c>
      <c r="B101" s="2" t="s">
        <v>1272</v>
      </c>
      <c r="H101" s="2">
        <v>2033</v>
      </c>
      <c r="I101" s="2">
        <v>102</v>
      </c>
      <c r="J101" s="2" t="s">
        <v>1033</v>
      </c>
      <c r="O101" s="2" t="s">
        <v>605</v>
      </c>
      <c r="P101" s="2" t="s">
        <v>828</v>
      </c>
    </row>
    <row r="102" spans="1:16" x14ac:dyDescent="0.2">
      <c r="A102" s="2" t="s">
        <v>503</v>
      </c>
      <c r="B102" s="2" t="s">
        <v>1273</v>
      </c>
      <c r="H102" s="2">
        <v>2033</v>
      </c>
      <c r="I102" s="2">
        <v>102</v>
      </c>
      <c r="J102" s="2" t="s">
        <v>1034</v>
      </c>
      <c r="O102" s="2" t="s">
        <v>606</v>
      </c>
      <c r="P102" s="2" t="s">
        <v>829</v>
      </c>
    </row>
    <row r="103" spans="1:16" x14ac:dyDescent="0.2">
      <c r="A103" s="2" t="s">
        <v>503</v>
      </c>
      <c r="B103" s="2" t="s">
        <v>1274</v>
      </c>
      <c r="H103" s="2">
        <v>2033</v>
      </c>
      <c r="I103" s="2">
        <v>102</v>
      </c>
      <c r="J103" s="2" t="s">
        <v>1035</v>
      </c>
      <c r="O103" s="2" t="s">
        <v>607</v>
      </c>
      <c r="P103" s="2" t="s">
        <v>830</v>
      </c>
    </row>
    <row r="104" spans="1:16" x14ac:dyDescent="0.2">
      <c r="A104" s="2" t="s">
        <v>503</v>
      </c>
      <c r="B104" s="2" t="s">
        <v>1275</v>
      </c>
      <c r="H104" s="2">
        <v>2033</v>
      </c>
      <c r="I104" s="2">
        <v>102</v>
      </c>
      <c r="J104" s="2" t="s">
        <v>1036</v>
      </c>
      <c r="O104" s="2" t="s">
        <v>608</v>
      </c>
      <c r="P104" s="2" t="s">
        <v>831</v>
      </c>
    </row>
    <row r="105" spans="1:16" x14ac:dyDescent="0.2">
      <c r="A105" s="2" t="s">
        <v>503</v>
      </c>
      <c r="B105" s="2" t="s">
        <v>1276</v>
      </c>
      <c r="H105" s="2">
        <v>2033</v>
      </c>
      <c r="I105" s="2">
        <v>102</v>
      </c>
      <c r="J105" s="2" t="s">
        <v>1037</v>
      </c>
      <c r="O105" s="2" t="s">
        <v>609</v>
      </c>
      <c r="P105" s="2" t="s">
        <v>832</v>
      </c>
    </row>
    <row r="106" spans="1:16" x14ac:dyDescent="0.2">
      <c r="A106" s="2" t="s">
        <v>503</v>
      </c>
      <c r="B106" s="2" t="s">
        <v>1277</v>
      </c>
      <c r="H106" s="2">
        <v>2033</v>
      </c>
      <c r="I106" s="2">
        <v>102</v>
      </c>
      <c r="J106" s="2" t="s">
        <v>1038</v>
      </c>
      <c r="O106" s="2" t="s">
        <v>610</v>
      </c>
      <c r="P106" s="2" t="s">
        <v>833</v>
      </c>
    </row>
    <row r="107" spans="1:16" x14ac:dyDescent="0.2">
      <c r="A107" s="2" t="s">
        <v>503</v>
      </c>
      <c r="B107" s="2" t="s">
        <v>1278</v>
      </c>
      <c r="H107" s="2">
        <v>2033</v>
      </c>
      <c r="I107" s="2">
        <v>102</v>
      </c>
      <c r="J107" s="2" t="s">
        <v>1039</v>
      </c>
      <c r="O107" s="2" t="s">
        <v>611</v>
      </c>
      <c r="P107" s="2" t="s">
        <v>834</v>
      </c>
    </row>
    <row r="108" spans="1:16" x14ac:dyDescent="0.2">
      <c r="A108" s="2" t="s">
        <v>503</v>
      </c>
      <c r="B108" s="2" t="s">
        <v>1279</v>
      </c>
      <c r="H108" s="2">
        <v>2033</v>
      </c>
      <c r="I108" s="2">
        <v>102</v>
      </c>
      <c r="J108" s="2" t="s">
        <v>1040</v>
      </c>
      <c r="O108" s="2" t="s">
        <v>612</v>
      </c>
      <c r="P108" s="2" t="s">
        <v>835</v>
      </c>
    </row>
    <row r="109" spans="1:16" x14ac:dyDescent="0.2">
      <c r="A109" s="2" t="s">
        <v>503</v>
      </c>
      <c r="B109" s="2" t="s">
        <v>1280</v>
      </c>
      <c r="H109" s="2">
        <v>2033</v>
      </c>
      <c r="I109" s="2">
        <v>102</v>
      </c>
      <c r="J109" s="2" t="s">
        <v>1041</v>
      </c>
      <c r="O109" s="2" t="s">
        <v>613</v>
      </c>
      <c r="P109" s="2" t="s">
        <v>836</v>
      </c>
    </row>
    <row r="110" spans="1:16" x14ac:dyDescent="0.2">
      <c r="A110" s="2" t="s">
        <v>503</v>
      </c>
      <c r="B110" s="2" t="s">
        <v>1281</v>
      </c>
      <c r="H110" s="2">
        <v>2033</v>
      </c>
      <c r="I110" s="2">
        <v>102</v>
      </c>
      <c r="J110" s="2" t="s">
        <v>1042</v>
      </c>
      <c r="O110" s="2" t="s">
        <v>614</v>
      </c>
      <c r="P110" s="2" t="s">
        <v>837</v>
      </c>
    </row>
    <row r="111" spans="1:16" x14ac:dyDescent="0.2">
      <c r="A111" s="2" t="s">
        <v>503</v>
      </c>
      <c r="B111" s="2" t="s">
        <v>1282</v>
      </c>
      <c r="H111" s="2">
        <v>2033</v>
      </c>
      <c r="I111" s="2">
        <v>102</v>
      </c>
      <c r="J111" s="2" t="s">
        <v>1043</v>
      </c>
      <c r="O111" s="2" t="s">
        <v>615</v>
      </c>
      <c r="P111" s="2" t="s">
        <v>838</v>
      </c>
    </row>
    <row r="112" spans="1:16" x14ac:dyDescent="0.2">
      <c r="A112" s="2" t="s">
        <v>503</v>
      </c>
      <c r="B112" s="2" t="s">
        <v>1283</v>
      </c>
      <c r="H112" s="2">
        <v>2033</v>
      </c>
      <c r="I112" s="2">
        <v>102</v>
      </c>
      <c r="J112" s="2" t="s">
        <v>1044</v>
      </c>
      <c r="O112" s="2" t="s">
        <v>616</v>
      </c>
      <c r="P112" s="2" t="s">
        <v>796</v>
      </c>
    </row>
    <row r="113" spans="1:16" x14ac:dyDescent="0.2">
      <c r="A113" s="2" t="s">
        <v>503</v>
      </c>
      <c r="B113" s="2" t="s">
        <v>1282</v>
      </c>
      <c r="H113" s="2">
        <v>2033</v>
      </c>
      <c r="I113" s="2">
        <v>102</v>
      </c>
      <c r="J113" s="2" t="s">
        <v>1045</v>
      </c>
      <c r="O113" s="2" t="s">
        <v>617</v>
      </c>
      <c r="P113" s="2" t="s">
        <v>839</v>
      </c>
    </row>
    <row r="114" spans="1:16" x14ac:dyDescent="0.2">
      <c r="A114" s="2" t="s">
        <v>503</v>
      </c>
      <c r="B114" s="2" t="s">
        <v>1283</v>
      </c>
      <c r="H114" s="2">
        <v>2033</v>
      </c>
      <c r="I114" s="2">
        <v>102</v>
      </c>
      <c r="J114" s="2" t="s">
        <v>1046</v>
      </c>
      <c r="O114" s="2" t="s">
        <v>618</v>
      </c>
      <c r="P114" s="2" t="s">
        <v>840</v>
      </c>
    </row>
    <row r="115" spans="1:16" x14ac:dyDescent="0.2">
      <c r="A115" s="2" t="s">
        <v>503</v>
      </c>
      <c r="B115" s="2" t="s">
        <v>1284</v>
      </c>
      <c r="H115" s="2">
        <v>2033</v>
      </c>
      <c r="I115" s="2">
        <v>102</v>
      </c>
      <c r="J115" s="2" t="s">
        <v>1047</v>
      </c>
      <c r="O115" s="2" t="s">
        <v>619</v>
      </c>
      <c r="P115" s="2" t="s">
        <v>841</v>
      </c>
    </row>
    <row r="116" spans="1:16" x14ac:dyDescent="0.2">
      <c r="A116" s="2" t="s">
        <v>503</v>
      </c>
      <c r="B116" s="2" t="s">
        <v>1285</v>
      </c>
      <c r="H116" s="2">
        <v>2033</v>
      </c>
      <c r="I116" s="2">
        <v>102</v>
      </c>
      <c r="J116" s="2" t="s">
        <v>1048</v>
      </c>
      <c r="O116" s="2" t="s">
        <v>576</v>
      </c>
      <c r="P116" s="2" t="s">
        <v>842</v>
      </c>
    </row>
    <row r="117" spans="1:16" x14ac:dyDescent="0.2">
      <c r="A117" s="2" t="s">
        <v>503</v>
      </c>
      <c r="B117" s="2" t="s">
        <v>1286</v>
      </c>
      <c r="H117" s="2">
        <v>2033</v>
      </c>
      <c r="I117" s="2">
        <v>102</v>
      </c>
      <c r="J117" s="2" t="s">
        <v>1049</v>
      </c>
      <c r="O117" s="2" t="s">
        <v>620</v>
      </c>
      <c r="P117" s="2" t="s">
        <v>843</v>
      </c>
    </row>
    <row r="118" spans="1:16" x14ac:dyDescent="0.2">
      <c r="A118" s="2" t="s">
        <v>503</v>
      </c>
      <c r="B118" s="2" t="s">
        <v>1287</v>
      </c>
      <c r="H118" s="2">
        <v>2033</v>
      </c>
      <c r="I118" s="2">
        <v>102</v>
      </c>
      <c r="J118" s="2" t="s">
        <v>1050</v>
      </c>
      <c r="O118" s="2" t="s">
        <v>621</v>
      </c>
      <c r="P118" s="2" t="s">
        <v>802</v>
      </c>
    </row>
    <row r="119" spans="1:16" x14ac:dyDescent="0.2">
      <c r="A119" s="2" t="s">
        <v>503</v>
      </c>
      <c r="B119" s="2" t="s">
        <v>1288</v>
      </c>
      <c r="H119" s="2">
        <v>2033</v>
      </c>
      <c r="I119" s="2">
        <v>102</v>
      </c>
      <c r="J119" s="2" t="s">
        <v>1009</v>
      </c>
      <c r="O119" s="2" t="s">
        <v>622</v>
      </c>
      <c r="P119" s="2" t="s">
        <v>803</v>
      </c>
    </row>
    <row r="120" spans="1:16" x14ac:dyDescent="0.2">
      <c r="A120" s="2" t="s">
        <v>503</v>
      </c>
      <c r="B120" s="2" t="s">
        <v>1289</v>
      </c>
      <c r="H120" s="2">
        <v>2033</v>
      </c>
      <c r="I120" s="2">
        <v>102</v>
      </c>
      <c r="J120" s="2" t="s">
        <v>1010</v>
      </c>
      <c r="O120" s="2" t="s">
        <v>623</v>
      </c>
      <c r="P120" s="2" t="s">
        <v>844</v>
      </c>
    </row>
    <row r="121" spans="1:16" x14ac:dyDescent="0.2">
      <c r="A121" s="2" t="s">
        <v>503</v>
      </c>
      <c r="B121" s="2" t="s">
        <v>1290</v>
      </c>
      <c r="H121" s="2">
        <v>2033</v>
      </c>
      <c r="I121" s="2">
        <v>102</v>
      </c>
      <c r="J121" s="2" t="s">
        <v>1051</v>
      </c>
      <c r="O121" s="2" t="s">
        <v>581</v>
      </c>
      <c r="P121" s="2" t="s">
        <v>805</v>
      </c>
    </row>
    <row r="122" spans="1:16" x14ac:dyDescent="0.2">
      <c r="A122" s="2" t="s">
        <v>503</v>
      </c>
      <c r="B122" s="2" t="s">
        <v>1291</v>
      </c>
      <c r="H122" s="2">
        <v>2033</v>
      </c>
      <c r="I122" s="2">
        <v>102</v>
      </c>
      <c r="J122" s="2" t="s">
        <v>1052</v>
      </c>
      <c r="O122" s="2" t="s">
        <v>582</v>
      </c>
      <c r="P122" s="2" t="s">
        <v>845</v>
      </c>
    </row>
    <row r="123" spans="1:16" x14ac:dyDescent="0.2">
      <c r="A123" s="2" t="s">
        <v>503</v>
      </c>
      <c r="B123" s="2" t="s">
        <v>1292</v>
      </c>
      <c r="H123" s="2">
        <v>2033</v>
      </c>
      <c r="I123" s="2">
        <v>102</v>
      </c>
      <c r="J123" s="2" t="s">
        <v>1053</v>
      </c>
      <c r="O123" s="2" t="s">
        <v>624</v>
      </c>
      <c r="P123" s="2" t="s">
        <v>846</v>
      </c>
    </row>
    <row r="124" spans="1:16" x14ac:dyDescent="0.2">
      <c r="A124" s="2" t="s">
        <v>503</v>
      </c>
      <c r="B124" s="2" t="s">
        <v>1293</v>
      </c>
      <c r="H124" s="2">
        <v>2033</v>
      </c>
      <c r="I124" s="2">
        <v>102</v>
      </c>
      <c r="J124" s="2" t="s">
        <v>1054</v>
      </c>
      <c r="O124" s="2" t="s">
        <v>625</v>
      </c>
      <c r="P124" s="2" t="s">
        <v>847</v>
      </c>
    </row>
    <row r="125" spans="1:16" x14ac:dyDescent="0.2">
      <c r="A125" s="2" t="s">
        <v>503</v>
      </c>
      <c r="B125" s="2" t="s">
        <v>1294</v>
      </c>
      <c r="H125" s="2">
        <v>2033</v>
      </c>
      <c r="I125" s="2">
        <v>102</v>
      </c>
      <c r="J125" s="2" t="s">
        <v>1014</v>
      </c>
      <c r="O125" s="2" t="s">
        <v>585</v>
      </c>
      <c r="P125" s="2" t="s">
        <v>809</v>
      </c>
    </row>
    <row r="126" spans="1:16" x14ac:dyDescent="0.2">
      <c r="A126" s="2" t="s">
        <v>503</v>
      </c>
      <c r="B126" s="2" t="s">
        <v>1295</v>
      </c>
      <c r="H126" s="2">
        <v>2033</v>
      </c>
      <c r="I126" s="2">
        <v>102</v>
      </c>
      <c r="J126" s="2" t="s">
        <v>1055</v>
      </c>
      <c r="O126" s="2" t="s">
        <v>586</v>
      </c>
      <c r="P126" s="2" t="s">
        <v>810</v>
      </c>
    </row>
    <row r="127" spans="1:16" x14ac:dyDescent="0.2">
      <c r="A127" s="2" t="s">
        <v>503</v>
      </c>
      <c r="B127" s="2" t="s">
        <v>1296</v>
      </c>
      <c r="H127" s="2">
        <v>2033</v>
      </c>
      <c r="I127" s="2">
        <v>102</v>
      </c>
      <c r="J127" s="2" t="s">
        <v>1056</v>
      </c>
      <c r="O127" s="2" t="s">
        <v>626</v>
      </c>
      <c r="P127" s="2" t="s">
        <v>811</v>
      </c>
    </row>
    <row r="128" spans="1:16" x14ac:dyDescent="0.2">
      <c r="A128" s="2" t="s">
        <v>503</v>
      </c>
      <c r="B128" s="2" t="s">
        <v>1297</v>
      </c>
      <c r="H128" s="2">
        <v>2033</v>
      </c>
      <c r="I128" s="2">
        <v>102</v>
      </c>
      <c r="J128" s="2" t="s">
        <v>1057</v>
      </c>
      <c r="O128" s="2" t="s">
        <v>627</v>
      </c>
      <c r="P128" s="2" t="s">
        <v>812</v>
      </c>
    </row>
    <row r="129" spans="1:16" x14ac:dyDescent="0.2">
      <c r="A129" s="2" t="s">
        <v>503</v>
      </c>
      <c r="B129" s="2" t="s">
        <v>1298</v>
      </c>
      <c r="H129" s="2">
        <v>2033</v>
      </c>
      <c r="I129" s="2">
        <v>102</v>
      </c>
      <c r="J129" s="2" t="s">
        <v>1058</v>
      </c>
      <c r="O129" s="2" t="s">
        <v>589</v>
      </c>
      <c r="P129" s="2" t="s">
        <v>848</v>
      </c>
    </row>
    <row r="130" spans="1:16" x14ac:dyDescent="0.2">
      <c r="A130" s="2" t="s">
        <v>503</v>
      </c>
      <c r="B130" s="2" t="s">
        <v>1299</v>
      </c>
      <c r="H130" s="2">
        <v>2033</v>
      </c>
      <c r="I130" s="2">
        <v>102</v>
      </c>
      <c r="J130" s="2" t="s">
        <v>1059</v>
      </c>
      <c r="O130" s="2" t="s">
        <v>590</v>
      </c>
      <c r="P130" s="2" t="s">
        <v>814</v>
      </c>
    </row>
    <row r="131" spans="1:16" x14ac:dyDescent="0.2">
      <c r="A131" s="2" t="s">
        <v>503</v>
      </c>
      <c r="B131" s="2" t="s">
        <v>1300</v>
      </c>
      <c r="H131" s="2">
        <v>2033</v>
      </c>
      <c r="I131" s="2">
        <v>102</v>
      </c>
      <c r="J131" s="2" t="s">
        <v>1060</v>
      </c>
      <c r="O131" s="2" t="s">
        <v>628</v>
      </c>
      <c r="P131" s="2" t="s">
        <v>815</v>
      </c>
    </row>
    <row r="132" spans="1:16" x14ac:dyDescent="0.2">
      <c r="A132" s="2" t="s">
        <v>503</v>
      </c>
      <c r="B132" s="2" t="s">
        <v>1301</v>
      </c>
      <c r="H132" s="2">
        <v>2033</v>
      </c>
      <c r="I132" s="2">
        <v>102</v>
      </c>
      <c r="J132" s="2" t="s">
        <v>1061</v>
      </c>
      <c r="O132" s="2" t="s">
        <v>592</v>
      </c>
      <c r="P132" s="2" t="s">
        <v>816</v>
      </c>
    </row>
    <row r="133" spans="1:16" x14ac:dyDescent="0.2">
      <c r="A133" s="2" t="s">
        <v>503</v>
      </c>
      <c r="B133" s="2" t="s">
        <v>1302</v>
      </c>
      <c r="H133" s="2">
        <v>2033</v>
      </c>
      <c r="I133" s="2">
        <v>102</v>
      </c>
      <c r="J133" s="2" t="s">
        <v>1062</v>
      </c>
      <c r="O133" s="2" t="s">
        <v>629</v>
      </c>
      <c r="P133" s="2" t="s">
        <v>817</v>
      </c>
    </row>
    <row r="134" spans="1:16" x14ac:dyDescent="0.2">
      <c r="A134" s="2" t="s">
        <v>503</v>
      </c>
      <c r="B134" s="2" t="s">
        <v>1303</v>
      </c>
      <c r="H134" s="2">
        <v>2033</v>
      </c>
      <c r="I134" s="2">
        <v>102</v>
      </c>
      <c r="J134" s="2" t="s">
        <v>1063</v>
      </c>
      <c r="O134" s="2" t="s">
        <v>594</v>
      </c>
      <c r="P134" s="2" t="s">
        <v>818</v>
      </c>
    </row>
    <row r="135" spans="1:16" x14ac:dyDescent="0.2">
      <c r="A135" s="2" t="s">
        <v>503</v>
      </c>
      <c r="B135" s="2" t="s">
        <v>1304</v>
      </c>
      <c r="H135" s="2">
        <v>2033</v>
      </c>
      <c r="I135" s="2">
        <v>102</v>
      </c>
      <c r="J135" s="2" t="s">
        <v>1064</v>
      </c>
      <c r="O135" s="2" t="s">
        <v>595</v>
      </c>
      <c r="P135" s="2" t="s">
        <v>819</v>
      </c>
    </row>
    <row r="136" spans="1:16" x14ac:dyDescent="0.2">
      <c r="A136" s="2" t="s">
        <v>503</v>
      </c>
      <c r="B136" s="2" t="s">
        <v>1305</v>
      </c>
      <c r="H136" s="2">
        <v>2033</v>
      </c>
      <c r="I136" s="2">
        <v>102</v>
      </c>
      <c r="J136" s="2" t="s">
        <v>1065</v>
      </c>
      <c r="O136" s="2" t="s">
        <v>596</v>
      </c>
      <c r="P136" s="2" t="s">
        <v>820</v>
      </c>
    </row>
    <row r="137" spans="1:16" x14ac:dyDescent="0.2">
      <c r="A137" s="2" t="s">
        <v>503</v>
      </c>
      <c r="B137" s="2" t="s">
        <v>1306</v>
      </c>
      <c r="H137" s="2">
        <v>2033</v>
      </c>
      <c r="I137" s="2">
        <v>102</v>
      </c>
      <c r="J137" s="2" t="s">
        <v>1066</v>
      </c>
      <c r="O137" s="2" t="s">
        <v>630</v>
      </c>
      <c r="P137" s="2" t="s">
        <v>849</v>
      </c>
    </row>
    <row r="138" spans="1:16" x14ac:dyDescent="0.2">
      <c r="A138" s="2" t="s">
        <v>503</v>
      </c>
      <c r="B138" s="2" t="s">
        <v>1307</v>
      </c>
      <c r="H138" s="2">
        <v>2033</v>
      </c>
      <c r="I138" s="2">
        <v>102</v>
      </c>
      <c r="J138" s="2" t="s">
        <v>1067</v>
      </c>
      <c r="O138" s="2" t="s">
        <v>598</v>
      </c>
      <c r="P138" s="2" t="s">
        <v>850</v>
      </c>
    </row>
    <row r="139" spans="1:16" x14ac:dyDescent="0.2">
      <c r="A139" s="2" t="s">
        <v>503</v>
      </c>
      <c r="B139" s="2" t="s">
        <v>1308</v>
      </c>
      <c r="H139" s="2">
        <v>2033</v>
      </c>
      <c r="I139" s="2">
        <v>102</v>
      </c>
      <c r="J139" s="2" t="s">
        <v>1068</v>
      </c>
      <c r="O139" s="2" t="s">
        <v>599</v>
      </c>
      <c r="P139" s="2" t="s">
        <v>823</v>
      </c>
    </row>
    <row r="140" spans="1:16" x14ac:dyDescent="0.2">
      <c r="A140" s="2" t="s">
        <v>503</v>
      </c>
      <c r="B140" s="2" t="s">
        <v>1309</v>
      </c>
      <c r="H140" s="2">
        <v>2033</v>
      </c>
      <c r="I140" s="2">
        <v>102</v>
      </c>
      <c r="J140" s="2" t="s">
        <v>1069</v>
      </c>
      <c r="O140" s="2" t="s">
        <v>600</v>
      </c>
      <c r="P140" s="2" t="s">
        <v>824</v>
      </c>
    </row>
    <row r="141" spans="1:16" x14ac:dyDescent="0.2">
      <c r="A141" s="2" t="s">
        <v>503</v>
      </c>
      <c r="B141" s="2" t="s">
        <v>1310</v>
      </c>
      <c r="H141" s="2">
        <v>2033</v>
      </c>
      <c r="I141" s="2">
        <v>102</v>
      </c>
      <c r="J141" s="2" t="s">
        <v>1070</v>
      </c>
      <c r="O141" s="2" t="s">
        <v>631</v>
      </c>
      <c r="P141" s="2" t="s">
        <v>851</v>
      </c>
    </row>
    <row r="142" spans="1:16" x14ac:dyDescent="0.2">
      <c r="A142" s="2" t="s">
        <v>503</v>
      </c>
      <c r="B142" s="2" t="s">
        <v>1311</v>
      </c>
      <c r="H142" s="2">
        <v>2033</v>
      </c>
      <c r="I142" s="2">
        <v>102</v>
      </c>
      <c r="J142" s="2" t="s">
        <v>1071</v>
      </c>
      <c r="O142" s="2" t="s">
        <v>632</v>
      </c>
      <c r="P142" s="2" t="s">
        <v>826</v>
      </c>
    </row>
    <row r="143" spans="1:16" x14ac:dyDescent="0.2">
      <c r="A143" s="2" t="s">
        <v>503</v>
      </c>
      <c r="B143" s="2" t="s">
        <v>1312</v>
      </c>
      <c r="H143" s="2">
        <v>2033</v>
      </c>
      <c r="I143" s="2">
        <v>102</v>
      </c>
      <c r="J143" s="2" t="s">
        <v>1072</v>
      </c>
      <c r="O143" s="2" t="s">
        <v>633</v>
      </c>
      <c r="P143" s="2" t="s">
        <v>827</v>
      </c>
    </row>
    <row r="144" spans="1:16" x14ac:dyDescent="0.2">
      <c r="A144" s="2" t="s">
        <v>503</v>
      </c>
      <c r="B144" s="2" t="s">
        <v>1313</v>
      </c>
      <c r="H144" s="2">
        <v>2033</v>
      </c>
      <c r="I144" s="2">
        <v>102</v>
      </c>
      <c r="J144" s="2" t="s">
        <v>1073</v>
      </c>
      <c r="O144" s="2" t="s">
        <v>604</v>
      </c>
      <c r="P144" s="2" t="s">
        <v>852</v>
      </c>
    </row>
    <row r="145" spans="1:16" x14ac:dyDescent="0.2">
      <c r="A145" s="2" t="s">
        <v>503</v>
      </c>
      <c r="B145" s="2" t="s">
        <v>1314</v>
      </c>
      <c r="H145" s="2">
        <v>2033</v>
      </c>
      <c r="I145" s="2">
        <v>102</v>
      </c>
      <c r="J145" s="2" t="s">
        <v>1074</v>
      </c>
      <c r="O145" s="2" t="s">
        <v>634</v>
      </c>
      <c r="P145" s="2" t="s">
        <v>853</v>
      </c>
    </row>
    <row r="146" spans="1:16" x14ac:dyDescent="0.2">
      <c r="A146" s="2" t="s">
        <v>503</v>
      </c>
      <c r="B146" s="2" t="s">
        <v>1315</v>
      </c>
      <c r="H146" s="2">
        <v>2033</v>
      </c>
      <c r="I146" s="2">
        <v>102</v>
      </c>
      <c r="J146" s="2" t="s">
        <v>1075</v>
      </c>
      <c r="O146" s="2" t="s">
        <v>635</v>
      </c>
      <c r="P146" s="2" t="s">
        <v>830</v>
      </c>
    </row>
    <row r="147" spans="1:16" x14ac:dyDescent="0.2">
      <c r="A147" s="2" t="s">
        <v>503</v>
      </c>
      <c r="B147" s="2" t="s">
        <v>1316</v>
      </c>
      <c r="H147" s="2">
        <v>2033</v>
      </c>
      <c r="I147" s="2">
        <v>102</v>
      </c>
      <c r="J147" s="2" t="s">
        <v>1076</v>
      </c>
      <c r="O147" s="2" t="s">
        <v>607</v>
      </c>
      <c r="P147" s="2" t="s">
        <v>831</v>
      </c>
    </row>
    <row r="148" spans="1:16" x14ac:dyDescent="0.2">
      <c r="A148" s="2" t="s">
        <v>503</v>
      </c>
      <c r="B148" s="2" t="s">
        <v>1317</v>
      </c>
      <c r="H148" s="2">
        <v>2033</v>
      </c>
      <c r="I148" s="2">
        <v>102</v>
      </c>
      <c r="J148" s="2" t="s">
        <v>1077</v>
      </c>
      <c r="O148" s="2" t="s">
        <v>608</v>
      </c>
      <c r="P148" s="2" t="s">
        <v>832</v>
      </c>
    </row>
    <row r="149" spans="1:16" x14ac:dyDescent="0.2">
      <c r="A149" s="2" t="s">
        <v>503</v>
      </c>
      <c r="B149" s="2" t="s">
        <v>1318</v>
      </c>
      <c r="H149" s="2">
        <v>2033</v>
      </c>
      <c r="I149" s="2">
        <v>102</v>
      </c>
      <c r="J149" s="2" t="s">
        <v>1078</v>
      </c>
      <c r="O149" s="2" t="s">
        <v>636</v>
      </c>
      <c r="P149" s="2" t="s">
        <v>854</v>
      </c>
    </row>
    <row r="150" spans="1:16" x14ac:dyDescent="0.2">
      <c r="A150" s="2" t="s">
        <v>503</v>
      </c>
      <c r="B150" s="2" t="s">
        <v>1319</v>
      </c>
      <c r="H150" s="2">
        <v>2033</v>
      </c>
      <c r="I150" s="2">
        <v>102</v>
      </c>
      <c r="J150" s="2" t="s">
        <v>1079</v>
      </c>
      <c r="O150" s="2" t="s">
        <v>637</v>
      </c>
      <c r="P150" s="2" t="s">
        <v>834</v>
      </c>
    </row>
    <row r="151" spans="1:16" x14ac:dyDescent="0.2">
      <c r="A151" s="2" t="s">
        <v>503</v>
      </c>
      <c r="B151" s="2" t="s">
        <v>1320</v>
      </c>
      <c r="H151" s="2">
        <v>2033</v>
      </c>
      <c r="I151" s="2">
        <v>102</v>
      </c>
      <c r="J151" s="2" t="s">
        <v>1080</v>
      </c>
      <c r="O151" s="2" t="s">
        <v>638</v>
      </c>
      <c r="P151" s="2" t="s">
        <v>835</v>
      </c>
    </row>
    <row r="152" spans="1:16" x14ac:dyDescent="0.2">
      <c r="A152" s="2" t="s">
        <v>503</v>
      </c>
      <c r="B152" s="2" t="s">
        <v>1321</v>
      </c>
      <c r="H152" s="2">
        <v>2033</v>
      </c>
      <c r="I152" s="2">
        <v>102</v>
      </c>
      <c r="J152" s="2" t="s">
        <v>1081</v>
      </c>
      <c r="O152" s="2" t="s">
        <v>612</v>
      </c>
      <c r="P152" s="2" t="s">
        <v>836</v>
      </c>
    </row>
    <row r="153" spans="1:16" x14ac:dyDescent="0.2">
      <c r="A153" s="2" t="s">
        <v>503</v>
      </c>
      <c r="B153" s="2" t="s">
        <v>1322</v>
      </c>
      <c r="H153" s="2">
        <v>2033</v>
      </c>
      <c r="I153" s="2">
        <v>102</v>
      </c>
      <c r="J153" s="2" t="s">
        <v>1082</v>
      </c>
      <c r="O153" s="2" t="s">
        <v>639</v>
      </c>
      <c r="P153" s="2" t="s">
        <v>855</v>
      </c>
    </row>
    <row r="154" spans="1:16" x14ac:dyDescent="0.2">
      <c r="A154" s="2" t="s">
        <v>503</v>
      </c>
      <c r="B154" s="2" t="s">
        <v>1323</v>
      </c>
      <c r="H154" s="2">
        <v>2033</v>
      </c>
      <c r="I154" s="2">
        <v>102</v>
      </c>
      <c r="J154" s="2" t="s">
        <v>1083</v>
      </c>
      <c r="O154" s="2" t="s">
        <v>640</v>
      </c>
      <c r="P154" s="2" t="s">
        <v>856</v>
      </c>
    </row>
    <row r="155" spans="1:16" x14ac:dyDescent="0.2">
      <c r="A155" s="2" t="s">
        <v>503</v>
      </c>
      <c r="B155" s="2" t="s">
        <v>1324</v>
      </c>
      <c r="H155" s="2">
        <v>2033</v>
      </c>
      <c r="I155" s="2">
        <v>102</v>
      </c>
      <c r="J155" s="2" t="s">
        <v>1084</v>
      </c>
      <c r="O155" s="2" t="s">
        <v>641</v>
      </c>
      <c r="P155" s="2" t="s">
        <v>857</v>
      </c>
    </row>
    <row r="156" spans="1:16" x14ac:dyDescent="0.2">
      <c r="A156" s="2" t="s">
        <v>503</v>
      </c>
      <c r="B156" s="2" t="s">
        <v>1325</v>
      </c>
      <c r="H156" s="2">
        <v>2033</v>
      </c>
      <c r="I156" s="2">
        <v>102</v>
      </c>
      <c r="J156" s="2" t="s">
        <v>1085</v>
      </c>
      <c r="O156" s="2" t="s">
        <v>642</v>
      </c>
      <c r="P156" s="2" t="s">
        <v>858</v>
      </c>
    </row>
    <row r="157" spans="1:16" x14ac:dyDescent="0.2">
      <c r="A157" s="2" t="s">
        <v>503</v>
      </c>
      <c r="B157" s="2" t="s">
        <v>1326</v>
      </c>
      <c r="H157" s="2">
        <v>2033</v>
      </c>
      <c r="I157" s="2">
        <v>102</v>
      </c>
      <c r="J157" s="2" t="s">
        <v>1086</v>
      </c>
      <c r="O157" s="2" t="s">
        <v>643</v>
      </c>
      <c r="P157" s="2" t="s">
        <v>859</v>
      </c>
    </row>
    <row r="158" spans="1:16" x14ac:dyDescent="0.2">
      <c r="A158" s="2" t="s">
        <v>503</v>
      </c>
      <c r="B158" s="2" t="s">
        <v>1327</v>
      </c>
      <c r="H158" s="2">
        <v>2033</v>
      </c>
      <c r="I158" s="2">
        <v>102</v>
      </c>
      <c r="J158" s="2" t="s">
        <v>1087</v>
      </c>
      <c r="O158" s="2" t="s">
        <v>644</v>
      </c>
      <c r="P158" s="2" t="s">
        <v>860</v>
      </c>
    </row>
    <row r="159" spans="1:16" x14ac:dyDescent="0.2">
      <c r="A159" s="2" t="s">
        <v>503</v>
      </c>
      <c r="B159" s="2" t="s">
        <v>1328</v>
      </c>
      <c r="H159" s="2">
        <v>2033</v>
      </c>
      <c r="I159" s="2">
        <v>102</v>
      </c>
      <c r="J159" s="2" t="s">
        <v>1088</v>
      </c>
      <c r="O159" s="2" t="s">
        <v>645</v>
      </c>
      <c r="P159" s="2" t="s">
        <v>861</v>
      </c>
    </row>
    <row r="160" spans="1:16" x14ac:dyDescent="0.2">
      <c r="A160" s="2" t="s">
        <v>503</v>
      </c>
      <c r="B160" s="2" t="s">
        <v>1329</v>
      </c>
      <c r="H160" s="2">
        <v>2033</v>
      </c>
      <c r="I160" s="2">
        <v>102</v>
      </c>
      <c r="J160" s="2" t="s">
        <v>1089</v>
      </c>
      <c r="O160" s="2" t="s">
        <v>646</v>
      </c>
      <c r="P160" s="2" t="s">
        <v>862</v>
      </c>
    </row>
    <row r="161" spans="1:16" x14ac:dyDescent="0.2">
      <c r="A161" s="2" t="s">
        <v>503</v>
      </c>
      <c r="B161" s="2" t="s">
        <v>1330</v>
      </c>
      <c r="H161" s="2">
        <v>2033</v>
      </c>
      <c r="I161" s="2">
        <v>102</v>
      </c>
      <c r="J161" s="2" t="s">
        <v>1090</v>
      </c>
      <c r="O161" s="2" t="s">
        <v>647</v>
      </c>
      <c r="P161" s="2" t="s">
        <v>863</v>
      </c>
    </row>
    <row r="162" spans="1:16" x14ac:dyDescent="0.2">
      <c r="A162" s="2" t="s">
        <v>503</v>
      </c>
      <c r="B162" s="2" t="s">
        <v>1331</v>
      </c>
      <c r="H162" s="2">
        <v>2033</v>
      </c>
      <c r="I162" s="2">
        <v>102</v>
      </c>
      <c r="J162" s="2" t="s">
        <v>1091</v>
      </c>
      <c r="O162" s="2" t="s">
        <v>648</v>
      </c>
      <c r="P162" s="2" t="s">
        <v>864</v>
      </c>
    </row>
    <row r="163" spans="1:16" x14ac:dyDescent="0.2">
      <c r="A163" s="2" t="s">
        <v>503</v>
      </c>
      <c r="B163" s="2" t="s">
        <v>1332</v>
      </c>
      <c r="H163" s="2">
        <v>2033</v>
      </c>
      <c r="I163" s="2">
        <v>102</v>
      </c>
      <c r="J163" s="2" t="s">
        <v>1092</v>
      </c>
      <c r="O163" s="2" t="s">
        <v>649</v>
      </c>
      <c r="P163" s="2" t="s">
        <v>865</v>
      </c>
    </row>
    <row r="164" spans="1:16" x14ac:dyDescent="0.2">
      <c r="A164" s="2" t="s">
        <v>503</v>
      </c>
      <c r="B164" s="2" t="s">
        <v>1333</v>
      </c>
      <c r="H164" s="2">
        <v>2033</v>
      </c>
      <c r="I164" s="2">
        <v>102</v>
      </c>
      <c r="J164" s="2" t="s">
        <v>1093</v>
      </c>
      <c r="O164" s="2" t="s">
        <v>650</v>
      </c>
      <c r="P164" s="2" t="s">
        <v>866</v>
      </c>
    </row>
    <row r="165" spans="1:16" x14ac:dyDescent="0.2">
      <c r="A165" s="2" t="s">
        <v>503</v>
      </c>
      <c r="B165" s="2" t="s">
        <v>1334</v>
      </c>
      <c r="H165" s="2">
        <v>2033</v>
      </c>
      <c r="I165" s="2">
        <v>102</v>
      </c>
      <c r="J165" s="2" t="s">
        <v>1094</v>
      </c>
      <c r="O165" s="2" t="s">
        <v>651</v>
      </c>
      <c r="P165" s="2" t="s">
        <v>867</v>
      </c>
    </row>
    <row r="166" spans="1:16" x14ac:dyDescent="0.2">
      <c r="A166" s="2" t="s">
        <v>503</v>
      </c>
      <c r="B166" s="2" t="s">
        <v>1335</v>
      </c>
      <c r="H166" s="2">
        <v>2033</v>
      </c>
      <c r="I166" s="2">
        <v>102</v>
      </c>
      <c r="J166" s="2" t="s">
        <v>1095</v>
      </c>
      <c r="O166" s="2" t="s">
        <v>652</v>
      </c>
      <c r="P166" s="2" t="s">
        <v>868</v>
      </c>
    </row>
    <row r="167" spans="1:16" x14ac:dyDescent="0.2">
      <c r="A167" s="2" t="s">
        <v>503</v>
      </c>
      <c r="B167" s="2" t="s">
        <v>1336</v>
      </c>
      <c r="H167" s="2">
        <v>2033</v>
      </c>
      <c r="I167" s="2">
        <v>102</v>
      </c>
      <c r="J167" s="2" t="s">
        <v>1096</v>
      </c>
      <c r="O167" s="2" t="s">
        <v>653</v>
      </c>
      <c r="P167" s="2" t="s">
        <v>869</v>
      </c>
    </row>
    <row r="168" spans="1:16" x14ac:dyDescent="0.2">
      <c r="A168" s="2" t="s">
        <v>503</v>
      </c>
      <c r="B168" s="2" t="s">
        <v>1337</v>
      </c>
      <c r="H168" s="2">
        <v>2033</v>
      </c>
      <c r="I168" s="2">
        <v>102</v>
      </c>
      <c r="J168" s="2" t="s">
        <v>1097</v>
      </c>
      <c r="O168" s="2" t="s">
        <v>654</v>
      </c>
      <c r="P168" s="2" t="s">
        <v>870</v>
      </c>
    </row>
    <row r="169" spans="1:16" x14ac:dyDescent="0.2">
      <c r="A169" s="2" t="s">
        <v>505</v>
      </c>
      <c r="B169" s="2" t="s">
        <v>1338</v>
      </c>
      <c r="H169" s="2">
        <v>2033</v>
      </c>
      <c r="I169" s="2">
        <v>102</v>
      </c>
      <c r="J169" s="2" t="s">
        <v>1098</v>
      </c>
      <c r="O169" s="2" t="s">
        <v>655</v>
      </c>
      <c r="P169" s="2" t="s">
        <v>871</v>
      </c>
    </row>
    <row r="170" spans="1:16" x14ac:dyDescent="0.2">
      <c r="A170" s="2" t="s">
        <v>503</v>
      </c>
      <c r="B170" s="2" t="s">
        <v>1339</v>
      </c>
      <c r="H170" s="2">
        <v>2033</v>
      </c>
      <c r="I170" s="2">
        <v>102</v>
      </c>
      <c r="J170" s="2" t="s">
        <v>1099</v>
      </c>
      <c r="O170" s="2" t="s">
        <v>656</v>
      </c>
      <c r="P170" s="2" t="s">
        <v>872</v>
      </c>
    </row>
    <row r="171" spans="1:16" x14ac:dyDescent="0.2">
      <c r="A171" s="2" t="s">
        <v>503</v>
      </c>
      <c r="B171" s="2" t="s">
        <v>1340</v>
      </c>
      <c r="H171" s="2">
        <v>2033</v>
      </c>
      <c r="I171" s="2">
        <v>102</v>
      </c>
      <c r="J171" s="2" t="s">
        <v>1100</v>
      </c>
      <c r="O171" s="2" t="s">
        <v>657</v>
      </c>
      <c r="P171" s="2" t="s">
        <v>873</v>
      </c>
    </row>
    <row r="172" spans="1:16" x14ac:dyDescent="0.2">
      <c r="A172" s="2" t="s">
        <v>503</v>
      </c>
      <c r="B172" s="2" t="s">
        <v>1341</v>
      </c>
      <c r="H172" s="2">
        <v>2033</v>
      </c>
      <c r="I172" s="2">
        <v>102</v>
      </c>
      <c r="J172" s="2" t="s">
        <v>1101</v>
      </c>
      <c r="O172" s="2" t="s">
        <v>658</v>
      </c>
      <c r="P172" s="2" t="s">
        <v>874</v>
      </c>
    </row>
    <row r="173" spans="1:16" x14ac:dyDescent="0.2">
      <c r="A173" s="2" t="s">
        <v>503</v>
      </c>
      <c r="B173" s="2" t="s">
        <v>1342</v>
      </c>
      <c r="H173" s="2">
        <v>2033</v>
      </c>
      <c r="I173" s="2">
        <v>102</v>
      </c>
      <c r="J173" s="2" t="s">
        <v>1102</v>
      </c>
      <c r="O173" s="2" t="s">
        <v>659</v>
      </c>
      <c r="P173" s="2" t="s">
        <v>875</v>
      </c>
    </row>
    <row r="174" spans="1:16" x14ac:dyDescent="0.2">
      <c r="A174" s="2" t="s">
        <v>503</v>
      </c>
      <c r="B174" s="2" t="s">
        <v>1343</v>
      </c>
      <c r="H174" s="2">
        <v>2033</v>
      </c>
      <c r="I174" s="2">
        <v>102</v>
      </c>
      <c r="J174" s="2" t="s">
        <v>1103</v>
      </c>
      <c r="O174" s="2" t="s">
        <v>660</v>
      </c>
      <c r="P174" s="2" t="s">
        <v>876</v>
      </c>
    </row>
    <row r="175" spans="1:16" x14ac:dyDescent="0.2">
      <c r="A175" s="2" t="s">
        <v>503</v>
      </c>
      <c r="B175" s="2" t="s">
        <v>1344</v>
      </c>
      <c r="H175" s="2">
        <v>2033</v>
      </c>
      <c r="I175" s="2">
        <v>102</v>
      </c>
      <c r="J175" s="2" t="s">
        <v>1104</v>
      </c>
      <c r="O175" s="2" t="s">
        <v>661</v>
      </c>
      <c r="P175" s="2" t="s">
        <v>877</v>
      </c>
    </row>
    <row r="176" spans="1:16" x14ac:dyDescent="0.2">
      <c r="A176" s="2" t="s">
        <v>503</v>
      </c>
      <c r="B176" s="2" t="s">
        <v>1345</v>
      </c>
      <c r="H176" s="2">
        <v>2033</v>
      </c>
      <c r="I176" s="2">
        <v>102</v>
      </c>
      <c r="J176" s="2" t="s">
        <v>1105</v>
      </c>
      <c r="O176" s="2" t="s">
        <v>662</v>
      </c>
      <c r="P176" s="2" t="s">
        <v>878</v>
      </c>
    </row>
    <row r="177" spans="1:16" x14ac:dyDescent="0.2">
      <c r="A177" s="2" t="s">
        <v>503</v>
      </c>
      <c r="B177" s="2" t="s">
        <v>1346</v>
      </c>
      <c r="H177" s="2">
        <v>2033</v>
      </c>
      <c r="I177" s="2">
        <v>102</v>
      </c>
      <c r="J177" s="2" t="s">
        <v>1106</v>
      </c>
      <c r="O177" s="2" t="s">
        <v>663</v>
      </c>
      <c r="P177" s="2" t="s">
        <v>879</v>
      </c>
    </row>
    <row r="178" spans="1:16" x14ac:dyDescent="0.2">
      <c r="A178" s="2" t="s">
        <v>503</v>
      </c>
      <c r="B178" s="2" t="s">
        <v>1347</v>
      </c>
      <c r="H178" s="2">
        <v>2033</v>
      </c>
      <c r="I178" s="2">
        <v>102</v>
      </c>
      <c r="J178" s="2" t="s">
        <v>1107</v>
      </c>
      <c r="O178" s="2" t="s">
        <v>664</v>
      </c>
      <c r="P178" s="2" t="s">
        <v>880</v>
      </c>
    </row>
    <row r="179" spans="1:16" x14ac:dyDescent="0.2">
      <c r="A179" s="2" t="s">
        <v>503</v>
      </c>
      <c r="B179" s="2" t="s">
        <v>1187</v>
      </c>
      <c r="H179" s="2">
        <v>2033</v>
      </c>
      <c r="I179" s="2">
        <v>102</v>
      </c>
      <c r="J179" s="2" t="s">
        <v>1108</v>
      </c>
      <c r="O179" s="2" t="s">
        <v>665</v>
      </c>
      <c r="P179" s="2" t="s">
        <v>881</v>
      </c>
    </row>
    <row r="180" spans="1:16" x14ac:dyDescent="0.2">
      <c r="A180" s="2" t="s">
        <v>503</v>
      </c>
      <c r="B180" s="2" t="s">
        <v>1348</v>
      </c>
      <c r="H180" s="2">
        <v>2033</v>
      </c>
      <c r="I180" s="2">
        <v>102</v>
      </c>
      <c r="J180" s="2" t="s">
        <v>1109</v>
      </c>
      <c r="O180" s="2" t="s">
        <v>666</v>
      </c>
      <c r="P180" s="2" t="s">
        <v>882</v>
      </c>
    </row>
    <row r="181" spans="1:16" x14ac:dyDescent="0.2">
      <c r="A181" s="2" t="s">
        <v>503</v>
      </c>
      <c r="B181" s="2" t="s">
        <v>1349</v>
      </c>
      <c r="H181" s="2">
        <v>2033</v>
      </c>
      <c r="I181" s="2">
        <v>102</v>
      </c>
      <c r="J181" s="2" t="s">
        <v>1110</v>
      </c>
      <c r="O181" s="2" t="s">
        <v>667</v>
      </c>
      <c r="P181" s="2" t="s">
        <v>883</v>
      </c>
    </row>
    <row r="182" spans="1:16" x14ac:dyDescent="0.2">
      <c r="A182" s="2" t="s">
        <v>503</v>
      </c>
      <c r="B182" s="2" t="s">
        <v>1350</v>
      </c>
      <c r="H182" s="2">
        <v>2033</v>
      </c>
      <c r="I182" s="2">
        <v>102</v>
      </c>
      <c r="J182" s="2" t="s">
        <v>1111</v>
      </c>
      <c r="O182" s="2" t="s">
        <v>668</v>
      </c>
      <c r="P182" s="2" t="s">
        <v>884</v>
      </c>
    </row>
    <row r="183" spans="1:16" x14ac:dyDescent="0.2">
      <c r="A183" s="2" t="s">
        <v>503</v>
      </c>
      <c r="B183" s="2" t="s">
        <v>1351</v>
      </c>
      <c r="H183" s="2">
        <v>2033</v>
      </c>
      <c r="I183" s="2">
        <v>102</v>
      </c>
      <c r="J183" s="2" t="s">
        <v>1112</v>
      </c>
      <c r="O183" s="2" t="s">
        <v>669</v>
      </c>
      <c r="P183" s="2" t="s">
        <v>885</v>
      </c>
    </row>
    <row r="184" spans="1:16" x14ac:dyDescent="0.2">
      <c r="A184" s="2" t="s">
        <v>503</v>
      </c>
      <c r="B184" s="2" t="s">
        <v>1352</v>
      </c>
      <c r="H184" s="2">
        <v>2033</v>
      </c>
      <c r="I184" s="2">
        <v>102</v>
      </c>
      <c r="J184" s="2" t="s">
        <v>1113</v>
      </c>
      <c r="O184" s="2" t="s">
        <v>670</v>
      </c>
      <c r="P184" s="2" t="s">
        <v>886</v>
      </c>
    </row>
    <row r="185" spans="1:16" x14ac:dyDescent="0.2">
      <c r="A185" s="2" t="s">
        <v>503</v>
      </c>
      <c r="B185" s="2" t="s">
        <v>1353</v>
      </c>
      <c r="H185" s="2">
        <v>2033</v>
      </c>
      <c r="I185" s="2">
        <v>102</v>
      </c>
      <c r="J185" s="2" t="s">
        <v>1114</v>
      </c>
      <c r="O185" s="2" t="s">
        <v>671</v>
      </c>
      <c r="P185" s="2" t="s">
        <v>887</v>
      </c>
    </row>
    <row r="186" spans="1:16" x14ac:dyDescent="0.2">
      <c r="A186" s="2" t="s">
        <v>503</v>
      </c>
      <c r="B186" s="2" t="s">
        <v>1354</v>
      </c>
      <c r="H186" s="2">
        <v>2033</v>
      </c>
      <c r="I186" s="2">
        <v>102</v>
      </c>
      <c r="J186" s="2" t="s">
        <v>1115</v>
      </c>
      <c r="O186" s="2" t="s">
        <v>672</v>
      </c>
      <c r="P186" s="2" t="s">
        <v>888</v>
      </c>
    </row>
    <row r="187" spans="1:16" x14ac:dyDescent="0.2">
      <c r="A187" s="2" t="s">
        <v>503</v>
      </c>
      <c r="B187" s="2" t="s">
        <v>1355</v>
      </c>
      <c r="H187" s="2">
        <v>2033</v>
      </c>
      <c r="I187" s="2">
        <v>102</v>
      </c>
      <c r="J187" s="2" t="s">
        <v>1116</v>
      </c>
      <c r="O187" s="2" t="s">
        <v>673</v>
      </c>
      <c r="P187" s="2" t="s">
        <v>889</v>
      </c>
    </row>
    <row r="188" spans="1:16" x14ac:dyDescent="0.2">
      <c r="A188" s="2" t="s">
        <v>503</v>
      </c>
      <c r="B188" s="2" t="s">
        <v>1356</v>
      </c>
      <c r="H188" s="2">
        <v>2033</v>
      </c>
      <c r="I188" s="2">
        <v>102</v>
      </c>
      <c r="J188" s="2" t="s">
        <v>1117</v>
      </c>
      <c r="O188" s="2" t="s">
        <v>674</v>
      </c>
      <c r="P188" s="2" t="s">
        <v>890</v>
      </c>
    </row>
    <row r="189" spans="1:16" x14ac:dyDescent="0.2">
      <c r="A189" s="2" t="s">
        <v>503</v>
      </c>
      <c r="B189" s="2" t="s">
        <v>1357</v>
      </c>
      <c r="H189" s="2">
        <v>2033</v>
      </c>
      <c r="I189" s="2">
        <v>102</v>
      </c>
      <c r="J189" s="2" t="s">
        <v>1118</v>
      </c>
      <c r="O189" s="2" t="s">
        <v>675</v>
      </c>
      <c r="P189" s="2" t="s">
        <v>891</v>
      </c>
    </row>
    <row r="190" spans="1:16" x14ac:dyDescent="0.2">
      <c r="A190" s="2" t="s">
        <v>503</v>
      </c>
      <c r="B190" s="2" t="s">
        <v>1358</v>
      </c>
      <c r="H190" s="2">
        <v>2033</v>
      </c>
      <c r="I190" s="2">
        <v>102</v>
      </c>
      <c r="J190" s="2" t="s">
        <v>1119</v>
      </c>
      <c r="O190" s="2" t="s">
        <v>676</v>
      </c>
      <c r="P190" s="2" t="s">
        <v>892</v>
      </c>
    </row>
    <row r="191" spans="1:16" x14ac:dyDescent="0.2">
      <c r="A191" s="2" t="s">
        <v>504</v>
      </c>
      <c r="B191" s="2" t="s">
        <v>1359</v>
      </c>
      <c r="H191" s="2">
        <v>2033</v>
      </c>
      <c r="I191" s="2">
        <v>102</v>
      </c>
      <c r="J191" s="2" t="s">
        <v>1120</v>
      </c>
      <c r="O191" s="2" t="s">
        <v>677</v>
      </c>
      <c r="P191" s="2" t="s">
        <v>893</v>
      </c>
    </row>
    <row r="192" spans="1:16" x14ac:dyDescent="0.2">
      <c r="A192" s="2" t="s">
        <v>504</v>
      </c>
      <c r="B192" s="2" t="s">
        <v>1360</v>
      </c>
      <c r="H192" s="2">
        <v>2033</v>
      </c>
      <c r="I192" s="2">
        <v>102</v>
      </c>
      <c r="J192" s="2" t="s">
        <v>1121</v>
      </c>
      <c r="O192" s="2" t="s">
        <v>678</v>
      </c>
      <c r="P192" s="2" t="s">
        <v>894</v>
      </c>
    </row>
    <row r="193" spans="1:16" x14ac:dyDescent="0.2">
      <c r="A193" s="2" t="s">
        <v>504</v>
      </c>
      <c r="B193" s="2" t="s">
        <v>1361</v>
      </c>
      <c r="H193" s="2">
        <v>2033</v>
      </c>
      <c r="I193" s="2">
        <v>102</v>
      </c>
      <c r="J193" s="2" t="s">
        <v>1122</v>
      </c>
      <c r="O193" s="2" t="s">
        <v>679</v>
      </c>
      <c r="P193" s="2" t="s">
        <v>894</v>
      </c>
    </row>
    <row r="194" spans="1:16" x14ac:dyDescent="0.2">
      <c r="A194" s="2" t="s">
        <v>504</v>
      </c>
      <c r="B194" s="2" t="s">
        <v>1362</v>
      </c>
      <c r="H194" s="2">
        <v>2033</v>
      </c>
      <c r="I194" s="2">
        <v>102</v>
      </c>
      <c r="J194" s="2" t="s">
        <v>1123</v>
      </c>
      <c r="O194" s="2" t="s">
        <v>680</v>
      </c>
      <c r="P194" s="2" t="s">
        <v>895</v>
      </c>
    </row>
    <row r="195" spans="1:16" x14ac:dyDescent="0.2">
      <c r="A195" s="2" t="s">
        <v>504</v>
      </c>
      <c r="B195" s="2" t="s">
        <v>1363</v>
      </c>
      <c r="H195" s="2">
        <v>2033</v>
      </c>
      <c r="I195" s="2">
        <v>102</v>
      </c>
      <c r="J195" s="2" t="s">
        <v>1124</v>
      </c>
      <c r="O195" s="2" t="s">
        <v>681</v>
      </c>
      <c r="P195" s="2" t="s">
        <v>896</v>
      </c>
    </row>
    <row r="196" spans="1:16" x14ac:dyDescent="0.2">
      <c r="A196" s="2" t="s">
        <v>503</v>
      </c>
      <c r="B196" s="2" t="s">
        <v>1364</v>
      </c>
      <c r="H196" s="2">
        <v>2033</v>
      </c>
      <c r="I196" s="2">
        <v>102</v>
      </c>
      <c r="J196" s="2" t="s">
        <v>1125</v>
      </c>
      <c r="O196" s="2" t="s">
        <v>682</v>
      </c>
      <c r="P196" s="2" t="s">
        <v>897</v>
      </c>
    </row>
    <row r="197" spans="1:16" x14ac:dyDescent="0.2">
      <c r="A197" s="2" t="s">
        <v>503</v>
      </c>
      <c r="B197" s="2" t="s">
        <v>1365</v>
      </c>
      <c r="H197" s="2">
        <v>2033</v>
      </c>
      <c r="I197" s="2">
        <v>102</v>
      </c>
      <c r="J197" s="2" t="s">
        <v>1126</v>
      </c>
      <c r="O197" s="2" t="s">
        <v>683</v>
      </c>
      <c r="P197" s="2" t="s">
        <v>898</v>
      </c>
    </row>
    <row r="198" spans="1:16" x14ac:dyDescent="0.2">
      <c r="A198" s="2" t="s">
        <v>504</v>
      </c>
      <c r="B198" s="2" t="s">
        <v>1366</v>
      </c>
      <c r="H198" s="2">
        <v>2033</v>
      </c>
      <c r="I198" s="2">
        <v>102</v>
      </c>
      <c r="J198" s="2" t="s">
        <v>1127</v>
      </c>
      <c r="O198" s="2" t="s">
        <v>684</v>
      </c>
      <c r="P198" s="2" t="s">
        <v>899</v>
      </c>
    </row>
    <row r="199" spans="1:16" x14ac:dyDescent="0.2">
      <c r="A199" s="2" t="s">
        <v>504</v>
      </c>
      <c r="B199" s="2" t="s">
        <v>1367</v>
      </c>
      <c r="H199" s="2">
        <v>2033</v>
      </c>
      <c r="I199" s="2">
        <v>102</v>
      </c>
      <c r="J199" s="2" t="s">
        <v>1128</v>
      </c>
      <c r="O199" s="2" t="s">
        <v>685</v>
      </c>
      <c r="P199" s="2" t="s">
        <v>900</v>
      </c>
    </row>
    <row r="200" spans="1:16" x14ac:dyDescent="0.2">
      <c r="A200" s="2" t="s">
        <v>504</v>
      </c>
      <c r="B200" s="2" t="s">
        <v>1368</v>
      </c>
      <c r="H200" s="2">
        <v>2033</v>
      </c>
      <c r="I200" s="2">
        <v>102</v>
      </c>
      <c r="J200" s="2" t="s">
        <v>1129</v>
      </c>
      <c r="O200" s="2" t="s">
        <v>686</v>
      </c>
      <c r="P200" s="2" t="s">
        <v>901</v>
      </c>
    </row>
    <row r="201" spans="1:16" x14ac:dyDescent="0.2">
      <c r="A201" s="2" t="s">
        <v>504</v>
      </c>
      <c r="B201" s="2" t="s">
        <v>1369</v>
      </c>
      <c r="H201" s="2">
        <v>2033</v>
      </c>
      <c r="I201" s="2">
        <v>102</v>
      </c>
      <c r="J201" s="2" t="s">
        <v>1130</v>
      </c>
      <c r="O201" s="2" t="s">
        <v>687</v>
      </c>
      <c r="P201" s="2" t="s">
        <v>902</v>
      </c>
    </row>
    <row r="202" spans="1:16" x14ac:dyDescent="0.2">
      <c r="A202" s="2" t="s">
        <v>504</v>
      </c>
      <c r="B202" s="2" t="s">
        <v>1370</v>
      </c>
      <c r="H202" s="2">
        <v>2033</v>
      </c>
      <c r="I202" s="2">
        <v>102</v>
      </c>
      <c r="J202" s="2" t="s">
        <v>1131</v>
      </c>
      <c r="O202" s="2" t="s">
        <v>688</v>
      </c>
      <c r="P202" s="2" t="s">
        <v>902</v>
      </c>
    </row>
    <row r="203" spans="1:16" x14ac:dyDescent="0.2">
      <c r="A203" s="2" t="s">
        <v>504</v>
      </c>
      <c r="B203" s="2" t="s">
        <v>1371</v>
      </c>
      <c r="H203" s="2">
        <v>2033</v>
      </c>
      <c r="I203" s="2">
        <v>102</v>
      </c>
      <c r="J203" s="2" t="s">
        <v>1132</v>
      </c>
      <c r="O203" s="2" t="s">
        <v>689</v>
      </c>
      <c r="P203" s="2" t="s">
        <v>902</v>
      </c>
    </row>
    <row r="204" spans="1:16" x14ac:dyDescent="0.2">
      <c r="A204" s="2" t="s">
        <v>503</v>
      </c>
      <c r="B204" s="2" t="s">
        <v>1372</v>
      </c>
      <c r="H204" s="2">
        <v>2033</v>
      </c>
      <c r="I204" s="2">
        <v>102</v>
      </c>
      <c r="J204" s="2" t="s">
        <v>1133</v>
      </c>
      <c r="O204" s="2" t="s">
        <v>690</v>
      </c>
      <c r="P204" s="2" t="s">
        <v>903</v>
      </c>
    </row>
    <row r="205" spans="1:16" x14ac:dyDescent="0.2">
      <c r="A205" s="2" t="s">
        <v>503</v>
      </c>
      <c r="B205" s="2" t="s">
        <v>1373</v>
      </c>
      <c r="H205" s="2">
        <v>2033</v>
      </c>
      <c r="I205" s="2">
        <v>102</v>
      </c>
      <c r="J205" s="2" t="s">
        <v>1134</v>
      </c>
      <c r="O205" s="2" t="s">
        <v>691</v>
      </c>
      <c r="P205" s="2" t="s">
        <v>903</v>
      </c>
    </row>
    <row r="206" spans="1:16" x14ac:dyDescent="0.2">
      <c r="A206" s="2" t="s">
        <v>503</v>
      </c>
      <c r="B206" s="2" t="s">
        <v>1374</v>
      </c>
      <c r="H206" s="2">
        <v>2033</v>
      </c>
      <c r="I206" s="2">
        <v>102</v>
      </c>
      <c r="J206" s="2" t="s">
        <v>1135</v>
      </c>
      <c r="O206" s="2" t="s">
        <v>692</v>
      </c>
      <c r="P206" s="2" t="s">
        <v>904</v>
      </c>
    </row>
    <row r="207" spans="1:16" x14ac:dyDescent="0.2">
      <c r="A207" s="2" t="s">
        <v>503</v>
      </c>
      <c r="B207" s="2" t="s">
        <v>1375</v>
      </c>
      <c r="H207" s="2">
        <v>2033</v>
      </c>
      <c r="I207" s="2">
        <v>102</v>
      </c>
      <c r="J207" s="2" t="s">
        <v>1136</v>
      </c>
      <c r="O207" s="2" t="s">
        <v>693</v>
      </c>
      <c r="P207" s="2" t="s">
        <v>904</v>
      </c>
    </row>
    <row r="208" spans="1:16" x14ac:dyDescent="0.2">
      <c r="A208" s="2" t="s">
        <v>503</v>
      </c>
      <c r="B208" s="2" t="s">
        <v>1376</v>
      </c>
      <c r="H208" s="2">
        <v>2033</v>
      </c>
      <c r="I208" s="2">
        <v>102</v>
      </c>
      <c r="J208" s="2" t="s">
        <v>1137</v>
      </c>
      <c r="O208" s="2" t="s">
        <v>694</v>
      </c>
      <c r="P208" s="2" t="s">
        <v>904</v>
      </c>
    </row>
    <row r="209" spans="1:16" x14ac:dyDescent="0.2">
      <c r="A209" s="2" t="s">
        <v>503</v>
      </c>
      <c r="B209" s="2" t="s">
        <v>1377</v>
      </c>
      <c r="H209" s="2">
        <v>2033</v>
      </c>
      <c r="I209" s="2">
        <v>102</v>
      </c>
      <c r="J209" s="2" t="s">
        <v>1138</v>
      </c>
      <c r="O209" s="2" t="s">
        <v>695</v>
      </c>
      <c r="P209" s="2" t="s">
        <v>905</v>
      </c>
    </row>
    <row r="210" spans="1:16" x14ac:dyDescent="0.2">
      <c r="A210" s="2" t="s">
        <v>503</v>
      </c>
      <c r="B210" s="2" t="s">
        <v>1378</v>
      </c>
      <c r="H210" s="2">
        <v>2033</v>
      </c>
      <c r="I210" s="2">
        <v>102</v>
      </c>
      <c r="J210" s="2" t="s">
        <v>1139</v>
      </c>
      <c r="O210" s="2" t="s">
        <v>696</v>
      </c>
      <c r="P210" s="2" t="s">
        <v>905</v>
      </c>
    </row>
    <row r="211" spans="1:16" x14ac:dyDescent="0.2">
      <c r="A211" s="2" t="s">
        <v>503</v>
      </c>
      <c r="B211" s="2" t="s">
        <v>1379</v>
      </c>
      <c r="H211" s="2">
        <v>2033</v>
      </c>
      <c r="I211" s="2">
        <v>102</v>
      </c>
      <c r="J211" s="2" t="s">
        <v>1140</v>
      </c>
      <c r="O211" s="2" t="s">
        <v>697</v>
      </c>
      <c r="P211" s="2" t="s">
        <v>905</v>
      </c>
    </row>
    <row r="212" spans="1:16" x14ac:dyDescent="0.2">
      <c r="A212" s="2" t="s">
        <v>503</v>
      </c>
      <c r="B212" s="2" t="s">
        <v>1380</v>
      </c>
      <c r="H212" s="2">
        <v>2033</v>
      </c>
      <c r="I212" s="2">
        <v>102</v>
      </c>
      <c r="J212" s="2" t="s">
        <v>1141</v>
      </c>
      <c r="O212" s="2" t="s">
        <v>698</v>
      </c>
      <c r="P212" s="2" t="s">
        <v>906</v>
      </c>
    </row>
    <row r="213" spans="1:16" x14ac:dyDescent="0.2">
      <c r="A213" s="2" t="e">
        <v>#NAME?</v>
      </c>
      <c r="B213" s="2" t="s">
        <v>1381</v>
      </c>
      <c r="H213" s="2">
        <v>2033</v>
      </c>
      <c r="I213" s="2">
        <v>102</v>
      </c>
      <c r="J213" s="2" t="s">
        <v>1142</v>
      </c>
      <c r="O213" s="2" t="s">
        <v>699</v>
      </c>
      <c r="P213" s="2" t="s">
        <v>907</v>
      </c>
    </row>
    <row r="214" spans="1:16" x14ac:dyDescent="0.2">
      <c r="A214" s="2" t="e">
        <v>#NAME?</v>
      </c>
      <c r="B214" s="2" t="s">
        <v>1382</v>
      </c>
      <c r="H214" s="2">
        <v>2033</v>
      </c>
      <c r="I214" s="2">
        <v>102</v>
      </c>
      <c r="J214" s="2" t="s">
        <v>1143</v>
      </c>
      <c r="O214" s="2" t="s">
        <v>700</v>
      </c>
      <c r="P214" s="2" t="s">
        <v>908</v>
      </c>
    </row>
    <row r="215" spans="1:16" x14ac:dyDescent="0.2">
      <c r="A215" s="2" t="s">
        <v>503</v>
      </c>
      <c r="B215" s="2" t="s">
        <v>1383</v>
      </c>
      <c r="H215" s="2">
        <v>2033</v>
      </c>
      <c r="I215" s="2">
        <v>102</v>
      </c>
      <c r="J215" s="2" t="s">
        <v>1144</v>
      </c>
      <c r="O215" s="2" t="s">
        <v>701</v>
      </c>
      <c r="P215" s="2" t="s">
        <v>909</v>
      </c>
    </row>
    <row r="216" spans="1:16" x14ac:dyDescent="0.2">
      <c r="A216" s="2" t="s">
        <v>503</v>
      </c>
      <c r="B216" s="2" t="s">
        <v>1384</v>
      </c>
      <c r="H216" s="2">
        <v>2033</v>
      </c>
      <c r="I216" s="2">
        <v>102</v>
      </c>
      <c r="J216" s="2" t="s">
        <v>1145</v>
      </c>
      <c r="O216" s="2" t="s">
        <v>702</v>
      </c>
      <c r="P216" s="2" t="s">
        <v>910</v>
      </c>
    </row>
    <row r="217" spans="1:16" x14ac:dyDescent="0.2">
      <c r="A217" s="2" t="s">
        <v>503</v>
      </c>
      <c r="B217" s="2" t="s">
        <v>1385</v>
      </c>
      <c r="H217" s="2">
        <v>2033</v>
      </c>
      <c r="I217" s="2">
        <v>102</v>
      </c>
      <c r="J217" s="2" t="s">
        <v>1146</v>
      </c>
      <c r="O217" s="2" t="s">
        <v>703</v>
      </c>
      <c r="P217" s="2" t="s">
        <v>911</v>
      </c>
    </row>
    <row r="218" spans="1:16" x14ac:dyDescent="0.2">
      <c r="A218" s="2" t="s">
        <v>503</v>
      </c>
      <c r="B218" s="2" t="s">
        <v>1386</v>
      </c>
      <c r="H218" s="2">
        <v>2033</v>
      </c>
      <c r="I218" s="2">
        <v>102</v>
      </c>
      <c r="J218" s="2" t="s">
        <v>1147</v>
      </c>
      <c r="O218" s="2" t="s">
        <v>704</v>
      </c>
      <c r="P218" s="2" t="s">
        <v>912</v>
      </c>
    </row>
    <row r="219" spans="1:16" x14ac:dyDescent="0.2">
      <c r="A219" s="2" t="s">
        <v>504</v>
      </c>
      <c r="B219" s="2" t="s">
        <v>1387</v>
      </c>
      <c r="H219" s="2">
        <v>2033</v>
      </c>
      <c r="I219" s="2">
        <v>102</v>
      </c>
      <c r="J219" s="2" t="s">
        <v>1148</v>
      </c>
      <c r="O219" s="2" t="s">
        <v>705</v>
      </c>
      <c r="P219" s="2" t="s">
        <v>913</v>
      </c>
    </row>
    <row r="220" spans="1:16" x14ac:dyDescent="0.2">
      <c r="A220" s="2" t="s">
        <v>504</v>
      </c>
      <c r="B220" s="2" t="s">
        <v>1388</v>
      </c>
      <c r="H220" s="2">
        <v>2033</v>
      </c>
      <c r="I220" s="2">
        <v>102</v>
      </c>
      <c r="J220" s="2" t="s">
        <v>1149</v>
      </c>
      <c r="O220" s="2" t="s">
        <v>706</v>
      </c>
      <c r="P220" s="2" t="s">
        <v>914</v>
      </c>
    </row>
    <row r="221" spans="1:16" x14ac:dyDescent="0.2">
      <c r="A221" s="2" t="s">
        <v>504</v>
      </c>
      <c r="B221" s="2" t="s">
        <v>1389</v>
      </c>
      <c r="H221" s="2">
        <v>2033</v>
      </c>
      <c r="I221" s="2">
        <v>102</v>
      </c>
      <c r="J221" s="2" t="s">
        <v>1150</v>
      </c>
      <c r="O221" s="2" t="s">
        <v>707</v>
      </c>
      <c r="P221" s="2" t="s">
        <v>915</v>
      </c>
    </row>
    <row r="222" spans="1:16" x14ac:dyDescent="0.2">
      <c r="A222" s="2" t="s">
        <v>504</v>
      </c>
      <c r="B222" s="2" t="s">
        <v>1390</v>
      </c>
      <c r="H222" s="2">
        <v>2033</v>
      </c>
      <c r="I222" s="2">
        <v>102</v>
      </c>
      <c r="J222" s="2" t="s">
        <v>1151</v>
      </c>
      <c r="O222" s="2" t="s">
        <v>708</v>
      </c>
      <c r="P222" s="2" t="s">
        <v>916</v>
      </c>
    </row>
    <row r="223" spans="1:16" x14ac:dyDescent="0.2">
      <c r="A223" s="2" t="s">
        <v>504</v>
      </c>
      <c r="B223" s="2" t="s">
        <v>1391</v>
      </c>
      <c r="H223" s="2">
        <v>2033</v>
      </c>
      <c r="I223" s="2">
        <v>102</v>
      </c>
      <c r="J223" s="2" t="s">
        <v>1152</v>
      </c>
      <c r="O223" s="2" t="s">
        <v>709</v>
      </c>
      <c r="P223" s="2" t="s">
        <v>917</v>
      </c>
    </row>
    <row r="224" spans="1:16" x14ac:dyDescent="0.2">
      <c r="A224" s="2" t="s">
        <v>504</v>
      </c>
      <c r="B224" s="2" t="s">
        <v>1392</v>
      </c>
      <c r="H224" s="2">
        <v>2033</v>
      </c>
      <c r="I224" s="2">
        <v>102</v>
      </c>
      <c r="J224" s="2" t="s">
        <v>1153</v>
      </c>
      <c r="O224" s="2" t="s">
        <v>710</v>
      </c>
      <c r="P224" s="2" t="s">
        <v>918</v>
      </c>
    </row>
    <row r="225" spans="1:16" x14ac:dyDescent="0.2">
      <c r="A225" s="2" t="s">
        <v>504</v>
      </c>
      <c r="B225" s="2" t="s">
        <v>1393</v>
      </c>
      <c r="H225" s="2">
        <v>2033</v>
      </c>
      <c r="I225" s="2">
        <v>102</v>
      </c>
      <c r="J225" s="2" t="s">
        <v>1154</v>
      </c>
      <c r="O225" s="2" t="s">
        <v>711</v>
      </c>
      <c r="P225" s="2" t="s">
        <v>919</v>
      </c>
    </row>
    <row r="226" spans="1:16" x14ac:dyDescent="0.2">
      <c r="A226" s="2" t="s">
        <v>504</v>
      </c>
      <c r="B226" s="2" t="s">
        <v>1394</v>
      </c>
      <c r="H226" s="2">
        <v>2033</v>
      </c>
      <c r="I226" s="2">
        <v>102</v>
      </c>
      <c r="J226" s="2" t="s">
        <v>1155</v>
      </c>
      <c r="O226" s="2" t="s">
        <v>712</v>
      </c>
      <c r="P226" s="2" t="s">
        <v>920</v>
      </c>
    </row>
    <row r="227" spans="1:16" x14ac:dyDescent="0.2">
      <c r="A227" s="2" t="s">
        <v>504</v>
      </c>
      <c r="B227" s="2" t="s">
        <v>1395</v>
      </c>
      <c r="H227" s="2">
        <v>2033</v>
      </c>
      <c r="I227" s="2">
        <v>102</v>
      </c>
      <c r="J227" s="2" t="s">
        <v>1156</v>
      </c>
      <c r="O227" s="2" t="s">
        <v>713</v>
      </c>
      <c r="P227" s="2" t="s">
        <v>921</v>
      </c>
    </row>
    <row r="228" spans="1:16" x14ac:dyDescent="0.2">
      <c r="A228" s="2" t="s">
        <v>504</v>
      </c>
      <c r="B228" s="2" t="s">
        <v>1396</v>
      </c>
      <c r="H228" s="2">
        <v>2033</v>
      </c>
      <c r="I228" s="2">
        <v>102</v>
      </c>
      <c r="J228" s="2" t="s">
        <v>1157</v>
      </c>
      <c r="O228" s="2" t="s">
        <v>714</v>
      </c>
      <c r="P228" s="2" t="s">
        <v>922</v>
      </c>
    </row>
    <row r="229" spans="1:16" x14ac:dyDescent="0.2">
      <c r="A229" s="2" t="s">
        <v>504</v>
      </c>
      <c r="B229" s="2" t="s">
        <v>1397</v>
      </c>
      <c r="H229" s="2">
        <v>2033</v>
      </c>
      <c r="I229" s="2">
        <v>102</v>
      </c>
      <c r="J229" s="2" t="s">
        <v>1158</v>
      </c>
      <c r="O229" s="2" t="s">
        <v>715</v>
      </c>
      <c r="P229" s="2" t="s">
        <v>923</v>
      </c>
    </row>
    <row r="230" spans="1:16" x14ac:dyDescent="0.2">
      <c r="A230" s="2" t="s">
        <v>504</v>
      </c>
      <c r="B230" s="2" t="s">
        <v>1398</v>
      </c>
      <c r="H230" s="2">
        <v>2033</v>
      </c>
      <c r="I230" s="2">
        <v>102</v>
      </c>
      <c r="J230" s="2" t="s">
        <v>1159</v>
      </c>
      <c r="O230" s="2" t="s">
        <v>716</v>
      </c>
      <c r="P230" s="2" t="s">
        <v>924</v>
      </c>
    </row>
    <row r="231" spans="1:16" x14ac:dyDescent="0.2">
      <c r="A231" s="2" t="s">
        <v>504</v>
      </c>
      <c r="B231" s="2" t="s">
        <v>1399</v>
      </c>
      <c r="H231" s="2">
        <v>2033</v>
      </c>
      <c r="I231" s="2">
        <v>102</v>
      </c>
      <c r="J231" s="2" t="s">
        <v>1160</v>
      </c>
      <c r="O231" s="2" t="s">
        <v>717</v>
      </c>
      <c r="P231" s="2" t="s">
        <v>925</v>
      </c>
    </row>
    <row r="232" spans="1:16" x14ac:dyDescent="0.2">
      <c r="A232" s="2" t="s">
        <v>504</v>
      </c>
      <c r="B232" s="2" t="s">
        <v>1400</v>
      </c>
      <c r="H232" s="2">
        <v>2033</v>
      </c>
      <c r="I232" s="2">
        <v>102</v>
      </c>
      <c r="J232" s="2" t="s">
        <v>1161</v>
      </c>
      <c r="O232" s="2" t="s">
        <v>718</v>
      </c>
      <c r="P232" s="2" t="s">
        <v>926</v>
      </c>
    </row>
    <row r="233" spans="1:16" x14ac:dyDescent="0.2">
      <c r="A233" s="2" t="s">
        <v>504</v>
      </c>
      <c r="B233" s="2" t="s">
        <v>1401</v>
      </c>
      <c r="H233" s="2">
        <v>2033</v>
      </c>
      <c r="I233" s="2">
        <v>102</v>
      </c>
      <c r="J233" s="2" t="s">
        <v>1162</v>
      </c>
      <c r="O233" s="2" t="s">
        <v>719</v>
      </c>
      <c r="P233" s="2" t="s">
        <v>927</v>
      </c>
    </row>
    <row r="234" spans="1:16" x14ac:dyDescent="0.2">
      <c r="A234" s="2" t="s">
        <v>504</v>
      </c>
      <c r="B234" s="2" t="s">
        <v>1402</v>
      </c>
      <c r="H234" s="2">
        <v>2033</v>
      </c>
      <c r="I234" s="2">
        <v>102</v>
      </c>
      <c r="J234" s="2" t="s">
        <v>1163</v>
      </c>
      <c r="O234" s="2" t="s">
        <v>720</v>
      </c>
      <c r="P234" s="2" t="s">
        <v>928</v>
      </c>
    </row>
    <row r="235" spans="1:16" x14ac:dyDescent="0.2">
      <c r="A235" s="2" t="s">
        <v>504</v>
      </c>
      <c r="B235" s="2" t="s">
        <v>1403</v>
      </c>
      <c r="H235" s="2">
        <v>2033</v>
      </c>
      <c r="I235" s="2">
        <v>102</v>
      </c>
      <c r="J235" s="2" t="s">
        <v>1164</v>
      </c>
      <c r="O235" s="2" t="s">
        <v>721</v>
      </c>
      <c r="P235" s="2" t="s">
        <v>929</v>
      </c>
    </row>
    <row r="236" spans="1:16" x14ac:dyDescent="0.2">
      <c r="A236" s="2" t="s">
        <v>504</v>
      </c>
      <c r="B236" s="2" t="s">
        <v>1404</v>
      </c>
      <c r="H236" s="2">
        <v>2033</v>
      </c>
      <c r="I236" s="2">
        <v>102</v>
      </c>
      <c r="J236" s="2" t="s">
        <v>1165</v>
      </c>
      <c r="O236" s="2" t="s">
        <v>722</v>
      </c>
      <c r="P236" s="2" t="s">
        <v>930</v>
      </c>
    </row>
    <row r="237" spans="1:16" x14ac:dyDescent="0.2">
      <c r="A237" s="2" t="s">
        <v>504</v>
      </c>
      <c r="B237" s="2" t="s">
        <v>1405</v>
      </c>
      <c r="H237" s="2">
        <v>2033</v>
      </c>
      <c r="I237" s="2">
        <v>102</v>
      </c>
      <c r="J237" s="2" t="s">
        <v>1166</v>
      </c>
      <c r="O237" s="2" t="s">
        <v>723</v>
      </c>
      <c r="P237" s="2" t="s">
        <v>931</v>
      </c>
    </row>
    <row r="238" spans="1:16" x14ac:dyDescent="0.2">
      <c r="A238" s="2" t="s">
        <v>504</v>
      </c>
      <c r="B238" s="2" t="s">
        <v>1406</v>
      </c>
      <c r="H238" s="2">
        <v>2033</v>
      </c>
      <c r="I238" s="2">
        <v>102</v>
      </c>
      <c r="J238" s="2" t="s">
        <v>1167</v>
      </c>
      <c r="O238" s="2" t="s">
        <v>724</v>
      </c>
      <c r="P238" s="2" t="s">
        <v>931</v>
      </c>
    </row>
    <row r="239" spans="1:16" x14ac:dyDescent="0.2">
      <c r="A239" s="2" t="s">
        <v>504</v>
      </c>
      <c r="B239" s="2" t="s">
        <v>1407</v>
      </c>
      <c r="H239" s="2">
        <v>2033</v>
      </c>
      <c r="I239" s="2">
        <v>102</v>
      </c>
      <c r="J239" s="2" t="s">
        <v>1168</v>
      </c>
      <c r="O239" s="2" t="s">
        <v>725</v>
      </c>
      <c r="P239" s="2" t="s">
        <v>932</v>
      </c>
    </row>
    <row r="240" spans="1:16" x14ac:dyDescent="0.2">
      <c r="A240" s="2" t="s">
        <v>504</v>
      </c>
      <c r="B240" s="2" t="s">
        <v>1408</v>
      </c>
      <c r="H240" s="2">
        <v>2033</v>
      </c>
      <c r="I240" s="2">
        <v>102</v>
      </c>
      <c r="J240" s="2" t="s">
        <v>1169</v>
      </c>
      <c r="O240" s="2" t="s">
        <v>726</v>
      </c>
      <c r="P240" s="2" t="s">
        <v>933</v>
      </c>
    </row>
    <row r="241" spans="1:16" x14ac:dyDescent="0.2">
      <c r="A241" s="2" t="s">
        <v>504</v>
      </c>
      <c r="B241" s="2" t="s">
        <v>1409</v>
      </c>
      <c r="H241" s="2">
        <v>2033</v>
      </c>
      <c r="I241" s="2">
        <v>102</v>
      </c>
      <c r="J241" s="2" t="s">
        <v>1170</v>
      </c>
      <c r="O241" s="2" t="s">
        <v>727</v>
      </c>
      <c r="P241" s="2" t="s">
        <v>933</v>
      </c>
    </row>
    <row r="242" spans="1:16" x14ac:dyDescent="0.2">
      <c r="A242" s="2" t="s">
        <v>504</v>
      </c>
      <c r="B242" s="2" t="s">
        <v>1410</v>
      </c>
      <c r="H242" s="2">
        <v>2033</v>
      </c>
      <c r="I242" s="2">
        <v>102</v>
      </c>
      <c r="J242" s="2" t="s">
        <v>1171</v>
      </c>
      <c r="O242" s="2" t="s">
        <v>728</v>
      </c>
      <c r="P242" s="2" t="s">
        <v>934</v>
      </c>
    </row>
    <row r="243" spans="1:16" x14ac:dyDescent="0.2">
      <c r="A243" s="2" t="s">
        <v>504</v>
      </c>
      <c r="B243" s="2" t="s">
        <v>1411</v>
      </c>
      <c r="H243" s="2">
        <v>2033</v>
      </c>
      <c r="I243" s="2">
        <v>102</v>
      </c>
      <c r="J243" s="2" t="s">
        <v>1172</v>
      </c>
      <c r="O243" s="2" t="s">
        <v>729</v>
      </c>
      <c r="P243" s="2" t="s">
        <v>934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43"/>
  <sheetViews>
    <sheetView topLeftCell="A206" workbookViewId="0">
      <selection activeCell="H206" sqref="H1:I1048576"/>
    </sheetView>
  </sheetViews>
  <sheetFormatPr defaultRowHeight="14.25" x14ac:dyDescent="0.2"/>
  <cols>
    <col min="1" max="1" width="36.625" customWidth="1"/>
    <col min="6" max="7" width="17.875" style="1" customWidth="1"/>
    <col min="8" max="8" width="10.125" style="1" customWidth="1"/>
    <col min="9" max="13" width="9" style="1"/>
  </cols>
  <sheetData>
    <row r="1" spans="1:13" x14ac:dyDescent="0.2">
      <c r="A1" t="s">
        <v>0</v>
      </c>
      <c r="B1" t="s">
        <v>1</v>
      </c>
      <c r="C1" t="s">
        <v>2</v>
      </c>
    </row>
    <row r="2" spans="1:13" x14ac:dyDescent="0.2">
      <c r="A2" t="s">
        <v>3</v>
      </c>
      <c r="B2" t="s">
        <v>4</v>
      </c>
      <c r="F2" s="1" t="str">
        <f>MID(A2,8,8)</f>
        <v>104.5399</v>
      </c>
      <c r="G2" s="1" t="str">
        <f>MID(A2,18,7)</f>
        <v>17.0194</v>
      </c>
      <c r="H2" s="1" t="str">
        <f>MID(B2,1,3)</f>
        <v>LT2</v>
      </c>
      <c r="J2" s="1" t="str">
        <f>MID(B2,5,2)</f>
        <v>SG</v>
      </c>
      <c r="K2" s="1">
        <v>2033</v>
      </c>
      <c r="L2" s="1">
        <v>102</v>
      </c>
      <c r="M2" s="1" t="str">
        <f>MID(B2,23,6)</f>
        <v xml:space="preserve"> 9+510</v>
      </c>
    </row>
    <row r="3" spans="1:13" x14ac:dyDescent="0.2">
      <c r="A3" t="s">
        <v>5</v>
      </c>
      <c r="B3" t="s">
        <v>6</v>
      </c>
      <c r="F3" s="1" t="str">
        <f t="shared" ref="F3:F20" si="0">MID(A3,8,8)</f>
        <v>104.5397</v>
      </c>
      <c r="G3" s="1" t="str">
        <f t="shared" ref="G3:G20" si="1">MID(A3,18,8)</f>
        <v xml:space="preserve"> 17.0192</v>
      </c>
      <c r="H3" s="1" t="str">
        <f>MID(B3,1,3)</f>
        <v>LT1</v>
      </c>
      <c r="J3" s="1" t="str">
        <f t="shared" ref="J3:J15" si="2">MID(B3,5,2)</f>
        <v>SG</v>
      </c>
      <c r="K3" s="1">
        <v>2033</v>
      </c>
      <c r="L3" s="1">
        <v>102</v>
      </c>
      <c r="M3" s="1" t="str">
        <f t="shared" ref="M3:M9" si="3">MID(B3,23,6)</f>
        <v xml:space="preserve"> 9+475</v>
      </c>
    </row>
    <row r="4" spans="1:13" x14ac:dyDescent="0.2">
      <c r="A4" t="s">
        <v>7</v>
      </c>
      <c r="B4" t="s">
        <v>8</v>
      </c>
      <c r="F4" s="1" t="str">
        <f t="shared" si="0"/>
        <v>104.5401</v>
      </c>
      <c r="G4" s="1" t="str">
        <f t="shared" si="1"/>
        <v xml:space="preserve"> 17.0195</v>
      </c>
      <c r="I4" s="1" t="str">
        <f t="shared" ref="I4:I15" si="4">MID(B4,1,3)</f>
        <v>RT1</v>
      </c>
      <c r="J4" s="1" t="str">
        <f t="shared" si="2"/>
        <v>SG</v>
      </c>
      <c r="K4" s="1">
        <v>2033</v>
      </c>
      <c r="L4" s="1">
        <v>102</v>
      </c>
      <c r="M4" s="1" t="str">
        <f t="shared" si="3"/>
        <v>9+535</v>
      </c>
    </row>
    <row r="5" spans="1:13" x14ac:dyDescent="0.2">
      <c r="A5" t="s">
        <v>9</v>
      </c>
      <c r="B5" t="s">
        <v>10</v>
      </c>
      <c r="F5" s="1" t="str">
        <f t="shared" si="0"/>
        <v>104.5401</v>
      </c>
      <c r="G5" s="1" t="str">
        <f t="shared" si="1"/>
        <v xml:space="preserve"> 17.0197</v>
      </c>
      <c r="H5" s="1" t="str">
        <f>MID(B5,1,3)</f>
        <v>LT3</v>
      </c>
      <c r="J5" s="1" t="str">
        <f t="shared" si="2"/>
        <v>SG</v>
      </c>
      <c r="K5" s="1">
        <v>2033</v>
      </c>
      <c r="L5" s="1">
        <v>102</v>
      </c>
      <c r="M5" s="1" t="str">
        <f t="shared" si="3"/>
        <v xml:space="preserve"> 9+545</v>
      </c>
    </row>
    <row r="6" spans="1:13" x14ac:dyDescent="0.2">
      <c r="A6" t="s">
        <v>11</v>
      </c>
      <c r="B6" t="s">
        <v>12</v>
      </c>
      <c r="F6" s="1" t="str">
        <f t="shared" si="0"/>
        <v>104.5404</v>
      </c>
      <c r="G6" s="1" t="str">
        <f t="shared" si="1"/>
        <v xml:space="preserve"> 17.0198</v>
      </c>
      <c r="I6" s="1" t="str">
        <f t="shared" si="4"/>
        <v>RT2</v>
      </c>
      <c r="J6" s="1" t="str">
        <f t="shared" si="2"/>
        <v>SG</v>
      </c>
      <c r="K6" s="1">
        <v>2033</v>
      </c>
      <c r="L6" s="1">
        <v>102</v>
      </c>
      <c r="M6" s="1" t="str">
        <f t="shared" si="3"/>
        <v xml:space="preserve"> 9+580</v>
      </c>
    </row>
    <row r="7" spans="1:13" x14ac:dyDescent="0.2">
      <c r="A7" t="s">
        <v>13</v>
      </c>
      <c r="B7" t="s">
        <v>14</v>
      </c>
      <c r="F7" s="1" t="str">
        <f t="shared" si="0"/>
        <v>104.5405</v>
      </c>
      <c r="G7" s="1" t="str">
        <f>MID(A7,18,7)</f>
        <v>17.0201</v>
      </c>
      <c r="H7" s="1" t="str">
        <f>MID(B7,1,3)</f>
        <v>LT4</v>
      </c>
      <c r="J7" s="1" t="str">
        <f t="shared" si="2"/>
        <v>SG</v>
      </c>
      <c r="K7" s="1">
        <v>2033</v>
      </c>
      <c r="L7" s="1">
        <v>102</v>
      </c>
      <c r="M7" s="1" t="str">
        <f t="shared" si="3"/>
        <v xml:space="preserve"> 9+595</v>
      </c>
    </row>
    <row r="8" spans="1:13" x14ac:dyDescent="0.2">
      <c r="A8" t="s">
        <v>15</v>
      </c>
      <c r="B8" t="s">
        <v>16</v>
      </c>
      <c r="F8" s="1" t="str">
        <f t="shared" si="0"/>
        <v>104.5407</v>
      </c>
      <c r="G8" s="1" t="str">
        <f t="shared" si="1"/>
        <v xml:space="preserve"> 17.0201</v>
      </c>
      <c r="I8" s="1" t="str">
        <f t="shared" si="4"/>
        <v>RT3</v>
      </c>
      <c r="J8" s="1" t="str">
        <f t="shared" si="2"/>
        <v>SG</v>
      </c>
      <c r="K8" s="1">
        <v>2033</v>
      </c>
      <c r="L8" s="1">
        <v>102</v>
      </c>
      <c r="M8" s="1" t="str">
        <f t="shared" si="3"/>
        <v xml:space="preserve"> 9+630</v>
      </c>
    </row>
    <row r="9" spans="1:13" x14ac:dyDescent="0.2">
      <c r="A9" t="s">
        <v>17</v>
      </c>
      <c r="B9" t="s">
        <v>18</v>
      </c>
      <c r="F9" s="1" t="str">
        <f t="shared" si="0"/>
        <v>104.5408</v>
      </c>
      <c r="G9" s="1" t="str">
        <f t="shared" si="1"/>
        <v xml:space="preserve"> 17.0204</v>
      </c>
      <c r="H9" s="1" t="str">
        <f>MID(B9,1,3)</f>
        <v>LT5</v>
      </c>
      <c r="J9" s="1" t="str">
        <f t="shared" si="2"/>
        <v>SG</v>
      </c>
      <c r="K9" s="1">
        <v>2033</v>
      </c>
      <c r="L9" s="1">
        <v>102</v>
      </c>
      <c r="M9" s="1" t="str">
        <f t="shared" si="3"/>
        <v xml:space="preserve"> 9+650</v>
      </c>
    </row>
    <row r="10" spans="1:13" x14ac:dyDescent="0.2">
      <c r="A10" t="s">
        <v>19</v>
      </c>
      <c r="B10" t="s">
        <v>20</v>
      </c>
      <c r="F10" s="1" t="str">
        <f t="shared" si="0"/>
        <v>104.5471</v>
      </c>
      <c r="G10" s="1" t="str">
        <f t="shared" si="1"/>
        <v xml:space="preserve"> 17.0278</v>
      </c>
      <c r="I10" s="1" t="str">
        <f t="shared" si="4"/>
        <v>RT4</v>
      </c>
      <c r="J10" s="1" t="str">
        <f t="shared" si="2"/>
        <v>SG</v>
      </c>
      <c r="K10" s="1">
        <v>2033</v>
      </c>
      <c r="L10" s="1">
        <v>102</v>
      </c>
      <c r="M10" s="1" t="str">
        <f>MID(B10,23,7)</f>
        <v xml:space="preserve"> 10+700</v>
      </c>
    </row>
    <row r="11" spans="1:13" x14ac:dyDescent="0.2">
      <c r="A11" t="s">
        <v>21</v>
      </c>
      <c r="B11" t="s">
        <v>22</v>
      </c>
      <c r="F11" s="1" t="str">
        <f t="shared" si="0"/>
        <v>104.5473</v>
      </c>
      <c r="G11" s="1" t="str">
        <f t="shared" si="1"/>
        <v xml:space="preserve"> 17.0281</v>
      </c>
      <c r="I11" s="1" t="str">
        <f t="shared" si="4"/>
        <v>RT5</v>
      </c>
      <c r="J11" s="1" t="str">
        <f t="shared" si="2"/>
        <v>SG</v>
      </c>
      <c r="K11" s="1">
        <v>2033</v>
      </c>
      <c r="L11" s="1">
        <v>102</v>
      </c>
      <c r="M11" s="1" t="str">
        <f t="shared" ref="M11:M15" si="5">MID(B11,23,7)</f>
        <v xml:space="preserve"> 10+735</v>
      </c>
    </row>
    <row r="12" spans="1:13" x14ac:dyDescent="0.2">
      <c r="A12" t="s">
        <v>23</v>
      </c>
      <c r="B12" t="s">
        <v>24</v>
      </c>
      <c r="F12" s="1" t="str">
        <f t="shared" si="0"/>
        <v>104.5474</v>
      </c>
      <c r="G12" s="1" t="str">
        <f t="shared" si="1"/>
        <v xml:space="preserve"> 17.0283</v>
      </c>
      <c r="I12" s="1" t="str">
        <f t="shared" si="4"/>
        <v>RT6</v>
      </c>
      <c r="J12" s="1" t="str">
        <f t="shared" si="2"/>
        <v>SG</v>
      </c>
      <c r="K12" s="1">
        <v>2033</v>
      </c>
      <c r="L12" s="1">
        <v>102</v>
      </c>
      <c r="M12" s="1" t="str">
        <f t="shared" si="5"/>
        <v xml:space="preserve"> 10+770</v>
      </c>
    </row>
    <row r="13" spans="1:13" x14ac:dyDescent="0.2">
      <c r="A13" t="s">
        <v>25</v>
      </c>
      <c r="B13" t="s">
        <v>26</v>
      </c>
      <c r="F13" s="1" t="str">
        <f t="shared" si="0"/>
        <v>104.5476</v>
      </c>
      <c r="G13" s="1" t="str">
        <f t="shared" si="1"/>
        <v xml:space="preserve"> 17.0286</v>
      </c>
      <c r="I13" s="1" t="str">
        <f t="shared" si="4"/>
        <v>RT7</v>
      </c>
      <c r="J13" s="1" t="str">
        <f t="shared" si="2"/>
        <v>SG</v>
      </c>
      <c r="K13" s="1">
        <v>2033</v>
      </c>
      <c r="L13" s="1">
        <v>102</v>
      </c>
      <c r="M13" s="1" t="str">
        <f t="shared" si="5"/>
        <v xml:space="preserve"> 10+805</v>
      </c>
    </row>
    <row r="14" spans="1:13" x14ac:dyDescent="0.2">
      <c r="A14" t="s">
        <v>27</v>
      </c>
      <c r="B14" t="s">
        <v>28</v>
      </c>
      <c r="F14" s="1" t="str">
        <f t="shared" si="0"/>
        <v>104.5477</v>
      </c>
      <c r="G14" s="1" t="str">
        <f t="shared" si="1"/>
        <v xml:space="preserve"> 17.0289</v>
      </c>
      <c r="I14" s="1" t="str">
        <f t="shared" si="4"/>
        <v>RT8</v>
      </c>
      <c r="J14" s="1" t="str">
        <f t="shared" si="2"/>
        <v>SG</v>
      </c>
      <c r="K14" s="1">
        <v>2033</v>
      </c>
      <c r="L14" s="1">
        <v>102</v>
      </c>
      <c r="M14" s="1" t="str">
        <f t="shared" si="5"/>
        <v xml:space="preserve"> 10+840</v>
      </c>
    </row>
    <row r="15" spans="1:13" x14ac:dyDescent="0.2">
      <c r="A15" t="s">
        <v>29</v>
      </c>
      <c r="B15" t="s">
        <v>30</v>
      </c>
      <c r="F15" s="1" t="str">
        <f t="shared" si="0"/>
        <v>104.5479</v>
      </c>
      <c r="G15" s="1" t="str">
        <f t="shared" si="1"/>
        <v xml:space="preserve"> 17.0292</v>
      </c>
      <c r="I15" s="1" t="str">
        <f t="shared" si="4"/>
        <v>RT9</v>
      </c>
      <c r="J15" s="1" t="str">
        <f t="shared" si="2"/>
        <v>SG</v>
      </c>
      <c r="K15" s="1">
        <v>2033</v>
      </c>
      <c r="L15" s="1">
        <v>102</v>
      </c>
      <c r="M15" s="1" t="str">
        <f t="shared" si="5"/>
        <v xml:space="preserve"> 10+875</v>
      </c>
    </row>
    <row r="16" spans="1:13" x14ac:dyDescent="0.2">
      <c r="A16" t="s">
        <v>31</v>
      </c>
      <c r="B16" t="s">
        <v>32</v>
      </c>
      <c r="F16" s="1" t="str">
        <f t="shared" si="0"/>
        <v>104.5480</v>
      </c>
      <c r="G16" s="1" t="str">
        <f t="shared" si="1"/>
        <v xml:space="preserve"> 17.0295</v>
      </c>
      <c r="I16" s="1" t="str">
        <f>MID(B16,1,4)</f>
        <v>RT10</v>
      </c>
      <c r="J16" s="1" t="str">
        <f>MID(B16,6,2)</f>
        <v>SG</v>
      </c>
      <c r="K16" s="1">
        <v>2033</v>
      </c>
      <c r="L16" s="1">
        <v>102</v>
      </c>
      <c r="M16" s="1" t="str">
        <f>MID(B16,24,7)</f>
        <v xml:space="preserve"> 10+910</v>
      </c>
    </row>
    <row r="17" spans="1:13" x14ac:dyDescent="0.2">
      <c r="A17" t="s">
        <v>33</v>
      </c>
      <c r="B17" t="s">
        <v>34</v>
      </c>
      <c r="F17" s="1" t="str">
        <f t="shared" si="0"/>
        <v>104.5481</v>
      </c>
      <c r="G17" s="1" t="str">
        <f t="shared" si="1"/>
        <v xml:space="preserve"> 17.0298</v>
      </c>
      <c r="I17" s="1" t="str">
        <f t="shared" ref="I17:I62" si="6">MID(B17,1,4)</f>
        <v>RT11</v>
      </c>
      <c r="J17" s="1" t="str">
        <f t="shared" ref="J17:J33" si="7">MID(B17,6,2)</f>
        <v>SG</v>
      </c>
      <c r="K17" s="1">
        <v>2033</v>
      </c>
      <c r="L17" s="1">
        <v>102</v>
      </c>
      <c r="M17" s="1" t="str">
        <f t="shared" ref="M17:M33" si="8">MID(B17,24,7)</f>
        <v xml:space="preserve"> 10+945</v>
      </c>
    </row>
    <row r="18" spans="1:13" x14ac:dyDescent="0.2">
      <c r="A18" t="s">
        <v>35</v>
      </c>
      <c r="B18" t="s">
        <v>36</v>
      </c>
      <c r="F18" s="1" t="str">
        <f t="shared" si="0"/>
        <v>104.5511</v>
      </c>
      <c r="G18" s="1" t="str">
        <f t="shared" si="1"/>
        <v xml:space="preserve"> 17.0347</v>
      </c>
      <c r="I18" s="1" t="str">
        <f t="shared" si="6"/>
        <v>RT12</v>
      </c>
      <c r="J18" s="1" t="str">
        <f t="shared" si="7"/>
        <v>SG</v>
      </c>
      <c r="K18" s="1">
        <v>2033</v>
      </c>
      <c r="L18" s="1">
        <v>102</v>
      </c>
      <c r="M18" s="1" t="str">
        <f t="shared" si="8"/>
        <v xml:space="preserve"> 11+585</v>
      </c>
    </row>
    <row r="19" spans="1:13" x14ac:dyDescent="0.2">
      <c r="A19" t="s">
        <v>37</v>
      </c>
      <c r="B19" t="s">
        <v>38</v>
      </c>
      <c r="F19" s="1" t="str">
        <f t="shared" si="0"/>
        <v>104.5514</v>
      </c>
      <c r="G19" s="1" t="str">
        <f>MID(A19,17,7)</f>
        <v>17.0350</v>
      </c>
      <c r="I19" s="1" t="str">
        <f t="shared" si="6"/>
        <v>RT13</v>
      </c>
      <c r="J19" s="1" t="str">
        <f t="shared" si="7"/>
        <v>SG</v>
      </c>
      <c r="K19" s="1">
        <v>2033</v>
      </c>
      <c r="L19" s="1">
        <v>102</v>
      </c>
      <c r="M19" s="1" t="str">
        <f t="shared" si="8"/>
        <v xml:space="preserve"> 11+625</v>
      </c>
    </row>
    <row r="20" spans="1:13" x14ac:dyDescent="0.2">
      <c r="A20" t="s">
        <v>39</v>
      </c>
      <c r="B20" t="s">
        <v>40</v>
      </c>
      <c r="F20" s="1" t="str">
        <f t="shared" si="0"/>
        <v>104.5515</v>
      </c>
      <c r="G20" s="1" t="str">
        <f t="shared" si="1"/>
        <v xml:space="preserve"> 17.0353</v>
      </c>
      <c r="I20" s="1" t="str">
        <f t="shared" si="6"/>
        <v>RT14</v>
      </c>
      <c r="J20" s="1" t="str">
        <f t="shared" si="7"/>
        <v>SG</v>
      </c>
      <c r="K20" s="1">
        <v>2033</v>
      </c>
      <c r="L20" s="1">
        <v>102</v>
      </c>
      <c r="M20" s="1" t="str">
        <f t="shared" si="8"/>
        <v xml:space="preserve"> 11+660</v>
      </c>
    </row>
    <row r="21" spans="1:13" x14ac:dyDescent="0.2">
      <c r="A21" t="s">
        <v>41</v>
      </c>
      <c r="B21" t="s">
        <v>42</v>
      </c>
      <c r="F21" s="1" t="str">
        <f t="shared" ref="F21:F80" si="9">MID(A21,8,8)</f>
        <v>104.5517</v>
      </c>
      <c r="G21" s="1" t="str">
        <f t="shared" ref="G21:G80" si="10">MID(A21,18,8)</f>
        <v xml:space="preserve"> 17.0355</v>
      </c>
      <c r="I21" s="1" t="str">
        <f t="shared" si="6"/>
        <v>RT15</v>
      </c>
      <c r="J21" s="1" t="str">
        <f t="shared" si="7"/>
        <v>SG</v>
      </c>
      <c r="K21" s="1">
        <v>2033</v>
      </c>
      <c r="L21" s="1">
        <v>102</v>
      </c>
      <c r="M21" s="1" t="str">
        <f t="shared" si="8"/>
        <v xml:space="preserve"> 11+700</v>
      </c>
    </row>
    <row r="22" spans="1:13" x14ac:dyDescent="0.2">
      <c r="A22" t="s">
        <v>43</v>
      </c>
      <c r="B22" t="s">
        <v>44</v>
      </c>
      <c r="F22" s="1" t="str">
        <f t="shared" si="9"/>
        <v>104.5519</v>
      </c>
      <c r="G22" s="1" t="str">
        <f>MID(A22,18,7)</f>
        <v>17.0358</v>
      </c>
      <c r="I22" s="1" t="str">
        <f t="shared" si="6"/>
        <v>RT16</v>
      </c>
      <c r="J22" s="1" t="str">
        <f t="shared" si="7"/>
        <v>SG</v>
      </c>
      <c r="K22" s="1">
        <v>2033</v>
      </c>
      <c r="L22" s="1">
        <v>102</v>
      </c>
      <c r="M22" s="1" t="str">
        <f t="shared" si="8"/>
        <v xml:space="preserve"> 11+740</v>
      </c>
    </row>
    <row r="23" spans="1:13" x14ac:dyDescent="0.2">
      <c r="A23" t="s">
        <v>45</v>
      </c>
      <c r="B23" t="s">
        <v>46</v>
      </c>
      <c r="F23" s="1" t="str">
        <f t="shared" si="9"/>
        <v>104.5521</v>
      </c>
      <c r="G23" s="1" t="str">
        <f t="shared" si="10"/>
        <v xml:space="preserve"> 17.0361</v>
      </c>
      <c r="I23" s="1" t="str">
        <f t="shared" si="6"/>
        <v>RT17</v>
      </c>
      <c r="J23" s="1" t="str">
        <f t="shared" si="7"/>
        <v>SG</v>
      </c>
      <c r="K23" s="1">
        <v>2033</v>
      </c>
      <c r="L23" s="1">
        <v>102</v>
      </c>
      <c r="M23" s="1" t="str">
        <f t="shared" si="8"/>
        <v xml:space="preserve"> 11+780</v>
      </c>
    </row>
    <row r="24" spans="1:13" x14ac:dyDescent="0.2">
      <c r="A24" t="s">
        <v>47</v>
      </c>
      <c r="B24" t="s">
        <v>48</v>
      </c>
      <c r="F24" s="1" t="str">
        <f t="shared" si="9"/>
        <v>104.5522</v>
      </c>
      <c r="G24" s="1" t="str">
        <f t="shared" si="10"/>
        <v xml:space="preserve"> 17.0364</v>
      </c>
      <c r="I24" s="1" t="str">
        <f t="shared" si="6"/>
        <v>RT18</v>
      </c>
      <c r="J24" s="1" t="str">
        <f t="shared" si="7"/>
        <v>SG</v>
      </c>
      <c r="K24" s="1">
        <v>2033</v>
      </c>
      <c r="L24" s="1">
        <v>102</v>
      </c>
      <c r="M24" s="1" t="str">
        <f t="shared" si="8"/>
        <v xml:space="preserve"> 11+820</v>
      </c>
    </row>
    <row r="25" spans="1:13" x14ac:dyDescent="0.2">
      <c r="A25" t="s">
        <v>49</v>
      </c>
      <c r="B25" t="s">
        <v>50</v>
      </c>
      <c r="F25" s="1" t="str">
        <f t="shared" si="9"/>
        <v>104.5524</v>
      </c>
      <c r="G25" s="1" t="str">
        <f t="shared" si="10"/>
        <v xml:space="preserve"> 17.0367</v>
      </c>
      <c r="I25" s="1" t="str">
        <f t="shared" si="6"/>
        <v>RT19</v>
      </c>
      <c r="J25" s="1" t="str">
        <f t="shared" si="7"/>
        <v>SG</v>
      </c>
      <c r="K25" s="1">
        <v>2033</v>
      </c>
      <c r="L25" s="1">
        <v>102</v>
      </c>
      <c r="M25" s="1" t="str">
        <f t="shared" si="8"/>
        <v xml:space="preserve"> 11+860</v>
      </c>
    </row>
    <row r="26" spans="1:13" x14ac:dyDescent="0.2">
      <c r="A26" t="s">
        <v>51</v>
      </c>
      <c r="B26" t="s">
        <v>52</v>
      </c>
      <c r="F26" s="1" t="str">
        <f t="shared" si="9"/>
        <v>104.5525</v>
      </c>
      <c r="G26" s="1" t="str">
        <f t="shared" si="10"/>
        <v xml:space="preserve"> 17.0370</v>
      </c>
      <c r="I26" s="1" t="str">
        <f t="shared" si="6"/>
        <v>RT20</v>
      </c>
      <c r="J26" s="1" t="str">
        <f t="shared" si="7"/>
        <v>SG</v>
      </c>
      <c r="K26" s="1">
        <v>2033</v>
      </c>
      <c r="L26" s="1">
        <v>102</v>
      </c>
      <c r="M26" s="1" t="str">
        <f t="shared" si="8"/>
        <v xml:space="preserve"> 11+900</v>
      </c>
    </row>
    <row r="27" spans="1:13" x14ac:dyDescent="0.2">
      <c r="A27" t="s">
        <v>53</v>
      </c>
      <c r="B27" t="s">
        <v>54</v>
      </c>
      <c r="F27" s="1" t="str">
        <f t="shared" si="9"/>
        <v>104.5526</v>
      </c>
      <c r="G27" s="1" t="str">
        <f t="shared" si="10"/>
        <v xml:space="preserve"> 17.0373</v>
      </c>
      <c r="I27" s="1" t="str">
        <f t="shared" si="6"/>
        <v>RT21</v>
      </c>
      <c r="J27" s="1" t="str">
        <f t="shared" si="7"/>
        <v>SG</v>
      </c>
      <c r="K27" s="1">
        <v>2033</v>
      </c>
      <c r="L27" s="1">
        <v>102</v>
      </c>
      <c r="M27" s="1" t="str">
        <f t="shared" si="8"/>
        <v xml:space="preserve"> 11+940</v>
      </c>
    </row>
    <row r="28" spans="1:13" x14ac:dyDescent="0.2">
      <c r="A28" t="s">
        <v>55</v>
      </c>
      <c r="B28" t="s">
        <v>56</v>
      </c>
      <c r="F28" s="1" t="str">
        <f t="shared" si="9"/>
        <v>104.5562</v>
      </c>
      <c r="G28" s="1" t="str">
        <f t="shared" si="10"/>
        <v xml:space="preserve"> 17.0458</v>
      </c>
      <c r="I28" s="1" t="str">
        <f t="shared" si="6"/>
        <v>RT22</v>
      </c>
      <c r="J28" s="1" t="str">
        <f t="shared" si="7"/>
        <v>SG</v>
      </c>
      <c r="K28" s="1">
        <v>2033</v>
      </c>
      <c r="L28" s="1">
        <v>102</v>
      </c>
      <c r="M28" s="1" t="str">
        <f t="shared" si="8"/>
        <v xml:space="preserve"> 12+910</v>
      </c>
    </row>
    <row r="29" spans="1:13" x14ac:dyDescent="0.2">
      <c r="A29" t="s">
        <v>57</v>
      </c>
      <c r="B29" t="s">
        <v>58</v>
      </c>
      <c r="F29" s="1" t="str">
        <f t="shared" si="9"/>
        <v>104.5564</v>
      </c>
      <c r="G29" s="1" t="str">
        <f t="shared" si="10"/>
        <v xml:space="preserve"> 17.0461</v>
      </c>
      <c r="I29" s="1" t="str">
        <f t="shared" si="6"/>
        <v>RT23</v>
      </c>
      <c r="J29" s="1" t="str">
        <f t="shared" si="7"/>
        <v>SG</v>
      </c>
      <c r="K29" s="1">
        <v>2033</v>
      </c>
      <c r="L29" s="1">
        <v>102</v>
      </c>
      <c r="M29" s="1" t="str">
        <f t="shared" si="8"/>
        <v xml:space="preserve"> 12+950</v>
      </c>
    </row>
    <row r="30" spans="1:13" x14ac:dyDescent="0.2">
      <c r="A30" t="s">
        <v>59</v>
      </c>
      <c r="B30" t="s">
        <v>60</v>
      </c>
      <c r="F30" s="1" t="str">
        <f t="shared" si="9"/>
        <v>104.5566</v>
      </c>
      <c r="G30" s="1" t="str">
        <f t="shared" si="10"/>
        <v xml:space="preserve"> 17.0466</v>
      </c>
      <c r="I30" s="1" t="str">
        <f t="shared" si="6"/>
        <v>RT24</v>
      </c>
      <c r="J30" s="1" t="str">
        <f t="shared" si="7"/>
        <v>SG</v>
      </c>
      <c r="K30" s="1">
        <v>2033</v>
      </c>
      <c r="L30" s="1">
        <v>102</v>
      </c>
      <c r="M30" s="1" t="str">
        <f t="shared" si="8"/>
        <v xml:space="preserve"> 12+990</v>
      </c>
    </row>
    <row r="31" spans="1:13" x14ac:dyDescent="0.2">
      <c r="A31" t="s">
        <v>61</v>
      </c>
      <c r="B31" t="s">
        <v>62</v>
      </c>
      <c r="F31" s="1" t="str">
        <f t="shared" si="9"/>
        <v>104.5567</v>
      </c>
      <c r="G31" s="1" t="str">
        <f t="shared" si="10"/>
        <v xml:space="preserve"> 17.0469</v>
      </c>
      <c r="I31" s="1" t="str">
        <f t="shared" si="6"/>
        <v>RT25</v>
      </c>
      <c r="J31" s="1" t="str">
        <f t="shared" si="7"/>
        <v>SG</v>
      </c>
      <c r="K31" s="1">
        <v>2033</v>
      </c>
      <c r="L31" s="1">
        <v>102</v>
      </c>
      <c r="M31" s="1" t="str">
        <f t="shared" si="8"/>
        <v xml:space="preserve"> 13+030</v>
      </c>
    </row>
    <row r="32" spans="1:13" x14ac:dyDescent="0.2">
      <c r="A32" t="s">
        <v>63</v>
      </c>
      <c r="B32" t="s">
        <v>64</v>
      </c>
      <c r="F32" s="1" t="str">
        <f t="shared" si="9"/>
        <v>104.5568</v>
      </c>
      <c r="G32" s="1" t="str">
        <f t="shared" si="10"/>
        <v xml:space="preserve"> 17.0473</v>
      </c>
      <c r="I32" s="1" t="str">
        <f t="shared" si="6"/>
        <v>RT26</v>
      </c>
      <c r="J32" s="1" t="str">
        <f t="shared" si="7"/>
        <v>SG</v>
      </c>
      <c r="K32" s="1">
        <v>2033</v>
      </c>
      <c r="L32" s="1">
        <v>102</v>
      </c>
      <c r="M32" s="1" t="str">
        <f t="shared" si="8"/>
        <v xml:space="preserve"> 13+070</v>
      </c>
    </row>
    <row r="33" spans="1:13" x14ac:dyDescent="0.2">
      <c r="A33" t="s">
        <v>65</v>
      </c>
      <c r="B33" t="s">
        <v>66</v>
      </c>
      <c r="F33" s="1" t="str">
        <f t="shared" si="9"/>
        <v>104.5570</v>
      </c>
      <c r="G33" s="1" t="str">
        <f t="shared" si="10"/>
        <v xml:space="preserve"> 17.0477</v>
      </c>
      <c r="I33" s="1" t="str">
        <f t="shared" si="6"/>
        <v>RT27</v>
      </c>
      <c r="J33" s="1" t="str">
        <f t="shared" si="7"/>
        <v>SG</v>
      </c>
      <c r="K33" s="1">
        <v>2033</v>
      </c>
      <c r="L33" s="1">
        <v>102</v>
      </c>
      <c r="M33" s="1" t="str">
        <f t="shared" si="8"/>
        <v xml:space="preserve"> 13+110</v>
      </c>
    </row>
    <row r="34" spans="1:13" x14ac:dyDescent="0.2">
      <c r="A34" t="s">
        <v>67</v>
      </c>
      <c r="B34" t="s">
        <v>68</v>
      </c>
      <c r="F34" s="1" t="str">
        <f t="shared" si="9"/>
        <v>104.5631</v>
      </c>
      <c r="G34" s="1" t="str">
        <f t="shared" si="10"/>
        <v xml:space="preserve"> 17.0623</v>
      </c>
      <c r="H34" s="1" t="str">
        <f>MID(B34,1,3)</f>
        <v>LT6</v>
      </c>
      <c r="J34" s="1" t="str">
        <f>MID(B34,5,2)</f>
        <v>SG</v>
      </c>
      <c r="K34" s="1">
        <v>2033</v>
      </c>
      <c r="L34" s="1">
        <v>102</v>
      </c>
      <c r="M34" s="1" t="str">
        <f>MID(B34,23,7)</f>
        <v xml:space="preserve"> 14+840</v>
      </c>
    </row>
    <row r="35" spans="1:13" x14ac:dyDescent="0.2">
      <c r="A35" t="s">
        <v>69</v>
      </c>
      <c r="B35" t="s">
        <v>70</v>
      </c>
      <c r="F35" s="1" t="str">
        <f t="shared" si="9"/>
        <v>104.5634</v>
      </c>
      <c r="G35" s="1" t="str">
        <f t="shared" si="10"/>
        <v xml:space="preserve"> 17.0628</v>
      </c>
      <c r="H35" s="1" t="str">
        <f>MID(B35,1,3)</f>
        <v>LT7</v>
      </c>
      <c r="J35" s="1" t="str">
        <f t="shared" ref="J35:J37" si="11">MID(B35,5,2)</f>
        <v>SG</v>
      </c>
      <c r="K35" s="1">
        <v>2033</v>
      </c>
      <c r="L35" s="1">
        <v>102</v>
      </c>
      <c r="M35" s="1" t="str">
        <f t="shared" ref="M35:M37" si="12">MID(B35,23,7)</f>
        <v xml:space="preserve"> 14+880</v>
      </c>
    </row>
    <row r="36" spans="1:13" x14ac:dyDescent="0.2">
      <c r="A36" t="s">
        <v>71</v>
      </c>
      <c r="B36" t="s">
        <v>72</v>
      </c>
      <c r="F36" s="1" t="str">
        <f t="shared" si="9"/>
        <v>104.5636</v>
      </c>
      <c r="G36" s="1" t="str">
        <f t="shared" si="10"/>
        <v xml:space="preserve"> 17.0632</v>
      </c>
      <c r="H36" s="1" t="str">
        <f>MID(B36,1,3)</f>
        <v>LT8</v>
      </c>
      <c r="J36" s="1" t="str">
        <f t="shared" si="11"/>
        <v>SG</v>
      </c>
      <c r="K36" s="1">
        <v>2033</v>
      </c>
      <c r="L36" s="1">
        <v>102</v>
      </c>
      <c r="M36" s="1" t="str">
        <f t="shared" si="12"/>
        <v xml:space="preserve"> 14+920</v>
      </c>
    </row>
    <row r="37" spans="1:13" x14ac:dyDescent="0.2">
      <c r="A37" t="s">
        <v>73</v>
      </c>
      <c r="B37" t="s">
        <v>74</v>
      </c>
      <c r="F37" s="1" t="str">
        <f t="shared" si="9"/>
        <v>104.5639</v>
      </c>
      <c r="G37" s="1" t="str">
        <f t="shared" si="10"/>
        <v xml:space="preserve"> 17.0636</v>
      </c>
      <c r="H37" s="1" t="str">
        <f>MID(B37,1,3)</f>
        <v>LT9</v>
      </c>
      <c r="J37" s="1" t="str">
        <f t="shared" si="11"/>
        <v>SG</v>
      </c>
      <c r="K37" s="1">
        <v>2033</v>
      </c>
      <c r="L37" s="1">
        <v>102</v>
      </c>
      <c r="M37" s="1" t="str">
        <f t="shared" si="12"/>
        <v xml:space="preserve"> 14+960</v>
      </c>
    </row>
    <row r="38" spans="1:13" x14ac:dyDescent="0.2">
      <c r="A38" t="s">
        <v>75</v>
      </c>
      <c r="B38" t="s">
        <v>76</v>
      </c>
      <c r="F38" s="1" t="str">
        <f t="shared" si="9"/>
        <v>104.5641</v>
      </c>
      <c r="G38" s="1" t="str">
        <f>MID(A38,18,7)</f>
        <v>17.0639</v>
      </c>
      <c r="H38" s="1" t="str">
        <f t="shared" ref="H38:H56" si="13">MID(B38,1,4)</f>
        <v>LT10</v>
      </c>
      <c r="J38" s="1" t="str">
        <f>MID(B38,6,2)</f>
        <v>SG</v>
      </c>
      <c r="K38" s="1">
        <v>2033</v>
      </c>
      <c r="L38" s="1">
        <v>102</v>
      </c>
      <c r="M38" s="1" t="str">
        <f>MID(B38,24,7)</f>
        <v xml:space="preserve"> 15+000</v>
      </c>
    </row>
    <row r="39" spans="1:13" x14ac:dyDescent="0.2">
      <c r="A39" t="s">
        <v>77</v>
      </c>
      <c r="B39" t="s">
        <v>78</v>
      </c>
      <c r="F39" s="1" t="str">
        <f t="shared" si="9"/>
        <v>104.5678</v>
      </c>
      <c r="G39" s="1" t="str">
        <f t="shared" si="10"/>
        <v xml:space="preserve"> 17.0686</v>
      </c>
      <c r="H39" s="1" t="str">
        <f t="shared" si="13"/>
        <v>LT11</v>
      </c>
      <c r="J39" s="1" t="str">
        <f t="shared" ref="J39:J99" si="14">MID(B39,6,2)</f>
        <v>SG</v>
      </c>
      <c r="K39" s="1">
        <v>2033</v>
      </c>
      <c r="L39" s="1">
        <v>102</v>
      </c>
      <c r="M39" s="1" t="str">
        <f t="shared" ref="M39:M57" si="15">MID(B39,24,7)</f>
        <v xml:space="preserve"> 14+655</v>
      </c>
    </row>
    <row r="40" spans="1:13" x14ac:dyDescent="0.2">
      <c r="A40" t="s">
        <v>79</v>
      </c>
      <c r="B40" t="s">
        <v>80</v>
      </c>
      <c r="F40" s="1" t="str">
        <f t="shared" si="9"/>
        <v>104.5681</v>
      </c>
      <c r="G40" s="1" t="str">
        <f t="shared" si="10"/>
        <v xml:space="preserve"> 17.0690</v>
      </c>
      <c r="H40" s="1" t="str">
        <f t="shared" si="13"/>
        <v>LT12</v>
      </c>
      <c r="J40" s="1" t="str">
        <f t="shared" si="14"/>
        <v>SG</v>
      </c>
      <c r="K40" s="1">
        <v>2033</v>
      </c>
      <c r="L40" s="1">
        <v>102</v>
      </c>
      <c r="M40" s="1" t="str">
        <f t="shared" si="15"/>
        <v xml:space="preserve"> 14+700</v>
      </c>
    </row>
    <row r="41" spans="1:13" x14ac:dyDescent="0.2">
      <c r="A41" t="s">
        <v>81</v>
      </c>
      <c r="B41" t="s">
        <v>82</v>
      </c>
      <c r="F41" s="1" t="str">
        <f t="shared" si="9"/>
        <v>104.5683</v>
      </c>
      <c r="G41" s="1" t="str">
        <f>MID(A41,18,7)</f>
        <v>17.0693</v>
      </c>
      <c r="H41" s="1" t="str">
        <f t="shared" si="13"/>
        <v>LT13</v>
      </c>
      <c r="J41" s="1" t="str">
        <f t="shared" si="14"/>
        <v>SG</v>
      </c>
      <c r="K41" s="1">
        <v>2033</v>
      </c>
      <c r="L41" s="1">
        <v>102</v>
      </c>
      <c r="M41" s="1" t="str">
        <f t="shared" si="15"/>
        <v xml:space="preserve"> 14+745</v>
      </c>
    </row>
    <row r="42" spans="1:13" x14ac:dyDescent="0.2">
      <c r="A42" t="s">
        <v>83</v>
      </c>
      <c r="B42" t="s">
        <v>84</v>
      </c>
      <c r="F42" s="1" t="str">
        <f t="shared" si="9"/>
        <v>104.5686</v>
      </c>
      <c r="G42" s="1" t="str">
        <f t="shared" si="10"/>
        <v xml:space="preserve"> 17.0696</v>
      </c>
      <c r="H42" s="1" t="str">
        <f t="shared" si="13"/>
        <v>LT14</v>
      </c>
      <c r="J42" s="1" t="str">
        <f t="shared" si="14"/>
        <v>SG</v>
      </c>
      <c r="K42" s="1">
        <v>2033</v>
      </c>
      <c r="L42" s="1">
        <v>102</v>
      </c>
      <c r="M42" s="1" t="str">
        <f t="shared" si="15"/>
        <v xml:space="preserve"> 14+790</v>
      </c>
    </row>
    <row r="43" spans="1:13" x14ac:dyDescent="0.2">
      <c r="A43" t="s">
        <v>85</v>
      </c>
      <c r="B43" t="s">
        <v>86</v>
      </c>
      <c r="F43" s="1" t="str">
        <f t="shared" si="9"/>
        <v>104.5689</v>
      </c>
      <c r="G43" s="1" t="str">
        <f t="shared" si="10"/>
        <v xml:space="preserve"> 17.0699</v>
      </c>
      <c r="H43" s="1" t="str">
        <f t="shared" si="13"/>
        <v>LT15</v>
      </c>
      <c r="J43" s="1" t="str">
        <f t="shared" si="14"/>
        <v>SG</v>
      </c>
      <c r="K43" s="1">
        <v>2033</v>
      </c>
      <c r="L43" s="1">
        <v>102</v>
      </c>
      <c r="M43" s="1" t="str">
        <f t="shared" si="15"/>
        <v xml:space="preserve"> 14+835</v>
      </c>
    </row>
    <row r="44" spans="1:13" x14ac:dyDescent="0.2">
      <c r="A44" t="s">
        <v>87</v>
      </c>
      <c r="B44" t="s">
        <v>88</v>
      </c>
      <c r="F44" s="1" t="str">
        <f t="shared" si="9"/>
        <v>104.5691</v>
      </c>
      <c r="G44" s="1" t="str">
        <f t="shared" si="10"/>
        <v xml:space="preserve"> 17.0702</v>
      </c>
      <c r="H44" s="1" t="str">
        <f t="shared" si="13"/>
        <v>LT16</v>
      </c>
      <c r="J44" s="1" t="str">
        <f t="shared" si="14"/>
        <v>DB</v>
      </c>
      <c r="K44" s="1">
        <v>2033</v>
      </c>
      <c r="L44" s="1">
        <v>102</v>
      </c>
      <c r="M44" s="1" t="str">
        <f t="shared" si="15"/>
        <v xml:space="preserve"> 14+880</v>
      </c>
    </row>
    <row r="45" spans="1:13" x14ac:dyDescent="0.2">
      <c r="A45" t="s">
        <v>89</v>
      </c>
      <c r="B45" t="s">
        <v>90</v>
      </c>
      <c r="F45" s="1" t="str">
        <f t="shared" si="9"/>
        <v>104.5694</v>
      </c>
      <c r="G45" s="1" t="str">
        <f t="shared" si="10"/>
        <v xml:space="preserve"> 17.0706</v>
      </c>
      <c r="H45" s="1" t="str">
        <f t="shared" si="13"/>
        <v>LT17</v>
      </c>
      <c r="J45" s="1" t="str">
        <f t="shared" si="14"/>
        <v>SG</v>
      </c>
      <c r="K45" s="1">
        <v>2033</v>
      </c>
      <c r="L45" s="1">
        <v>102</v>
      </c>
      <c r="M45" s="1" t="str">
        <f t="shared" si="15"/>
        <v xml:space="preserve"> 14+925</v>
      </c>
    </row>
    <row r="46" spans="1:13" x14ac:dyDescent="0.2">
      <c r="A46" t="s">
        <v>91</v>
      </c>
      <c r="B46" t="s">
        <v>92</v>
      </c>
      <c r="F46" s="1" t="str">
        <f t="shared" si="9"/>
        <v>104.5697</v>
      </c>
      <c r="G46" s="1" t="str">
        <f t="shared" si="10"/>
        <v xml:space="preserve"> 17.0709</v>
      </c>
      <c r="H46" s="1" t="str">
        <f t="shared" si="13"/>
        <v>LT18</v>
      </c>
      <c r="J46" s="1" t="str">
        <f t="shared" si="14"/>
        <v>SG</v>
      </c>
      <c r="K46" s="1">
        <v>2033</v>
      </c>
      <c r="L46" s="1">
        <v>102</v>
      </c>
      <c r="M46" s="1" t="str">
        <f t="shared" si="15"/>
        <v xml:space="preserve"> 14+970</v>
      </c>
    </row>
    <row r="47" spans="1:13" x14ac:dyDescent="0.2">
      <c r="A47" t="s">
        <v>93</v>
      </c>
      <c r="B47" t="s">
        <v>94</v>
      </c>
      <c r="F47" s="1" t="str">
        <f t="shared" si="9"/>
        <v>104.5699</v>
      </c>
      <c r="G47" s="1" t="str">
        <f t="shared" si="10"/>
        <v>17.07126</v>
      </c>
      <c r="H47" s="1" t="str">
        <f t="shared" si="13"/>
        <v>LT19</v>
      </c>
      <c r="J47" s="1" t="str">
        <f t="shared" si="14"/>
        <v>SG</v>
      </c>
      <c r="K47" s="1">
        <v>2033</v>
      </c>
      <c r="L47" s="1">
        <v>102</v>
      </c>
      <c r="M47" s="1" t="str">
        <f t="shared" si="15"/>
        <v xml:space="preserve"> 15+015</v>
      </c>
    </row>
    <row r="48" spans="1:13" x14ac:dyDescent="0.2">
      <c r="A48" t="s">
        <v>95</v>
      </c>
      <c r="B48" t="s">
        <v>96</v>
      </c>
      <c r="F48" s="1" t="str">
        <f t="shared" si="9"/>
        <v>104.5702</v>
      </c>
      <c r="G48" s="1" t="str">
        <f t="shared" si="10"/>
        <v xml:space="preserve"> 17.0715</v>
      </c>
      <c r="H48" s="1" t="str">
        <f t="shared" si="13"/>
        <v>LT20</v>
      </c>
      <c r="J48" s="1" t="str">
        <f t="shared" si="14"/>
        <v>SG</v>
      </c>
      <c r="K48" s="1">
        <v>2033</v>
      </c>
      <c r="L48" s="1">
        <v>102</v>
      </c>
      <c r="M48" s="1" t="str">
        <f t="shared" si="15"/>
        <v xml:space="preserve"> 15+060</v>
      </c>
    </row>
    <row r="49" spans="1:13" x14ac:dyDescent="0.2">
      <c r="A49" t="s">
        <v>97</v>
      </c>
      <c r="B49" t="s">
        <v>98</v>
      </c>
      <c r="F49" s="1" t="str">
        <f t="shared" si="9"/>
        <v>104.5705</v>
      </c>
      <c r="G49" s="1" t="str">
        <f t="shared" si="10"/>
        <v xml:space="preserve"> 17.0718</v>
      </c>
      <c r="H49" s="1" t="str">
        <f t="shared" si="13"/>
        <v>LT21</v>
      </c>
      <c r="J49" s="1" t="str">
        <f t="shared" si="14"/>
        <v>SG</v>
      </c>
      <c r="K49" s="1">
        <v>2033</v>
      </c>
      <c r="L49" s="1">
        <v>102</v>
      </c>
      <c r="M49" s="1" t="str">
        <f>MID(B49,24,7)</f>
        <v xml:space="preserve"> 15+100</v>
      </c>
    </row>
    <row r="50" spans="1:13" x14ac:dyDescent="0.2">
      <c r="A50" t="s">
        <v>99</v>
      </c>
      <c r="B50" t="s">
        <v>100</v>
      </c>
      <c r="F50" s="1" t="str">
        <f t="shared" si="9"/>
        <v>104.5708</v>
      </c>
      <c r="G50" s="1" t="str">
        <f t="shared" si="10"/>
        <v xml:space="preserve"> 17.0722</v>
      </c>
      <c r="H50" s="1" t="str">
        <f t="shared" si="13"/>
        <v>LT22</v>
      </c>
      <c r="J50" s="1" t="str">
        <f t="shared" si="14"/>
        <v>SG</v>
      </c>
      <c r="K50" s="1">
        <v>2033</v>
      </c>
      <c r="L50" s="1">
        <v>102</v>
      </c>
      <c r="M50" s="1" t="str">
        <f t="shared" si="15"/>
        <v xml:space="preserve"> 15+145</v>
      </c>
    </row>
    <row r="51" spans="1:13" x14ac:dyDescent="0.2">
      <c r="A51" t="s">
        <v>101</v>
      </c>
      <c r="B51" t="s">
        <v>102</v>
      </c>
      <c r="F51" s="1" t="str">
        <f t="shared" si="9"/>
        <v>104.5791</v>
      </c>
      <c r="G51" s="1" t="str">
        <f t="shared" si="10"/>
        <v xml:space="preserve"> 17.0775</v>
      </c>
      <c r="H51" s="1" t="str">
        <f t="shared" si="13"/>
        <v>LT23</v>
      </c>
      <c r="J51" s="1" t="str">
        <f t="shared" si="14"/>
        <v>SG</v>
      </c>
      <c r="K51" s="1">
        <v>2033</v>
      </c>
      <c r="L51" s="1">
        <v>102</v>
      </c>
      <c r="M51" s="1" t="str">
        <f t="shared" si="15"/>
        <v xml:space="preserve"> 17+300</v>
      </c>
    </row>
    <row r="52" spans="1:13" x14ac:dyDescent="0.2">
      <c r="A52" t="s">
        <v>103</v>
      </c>
      <c r="B52" t="s">
        <v>104</v>
      </c>
      <c r="F52" s="1" t="str">
        <f t="shared" si="9"/>
        <v>104.5797</v>
      </c>
      <c r="G52" s="1" t="str">
        <f t="shared" si="10"/>
        <v xml:space="preserve"> 17.0779</v>
      </c>
      <c r="H52" s="1" t="str">
        <f t="shared" si="13"/>
        <v>LT24</v>
      </c>
      <c r="J52" s="1" t="str">
        <f t="shared" si="14"/>
        <v>SG</v>
      </c>
      <c r="K52" s="1">
        <v>2033</v>
      </c>
      <c r="L52" s="1">
        <v>102</v>
      </c>
      <c r="M52" s="1" t="str">
        <f t="shared" si="15"/>
        <v xml:space="preserve"> 17+345</v>
      </c>
    </row>
    <row r="53" spans="1:13" x14ac:dyDescent="0.2">
      <c r="A53" t="s">
        <v>105</v>
      </c>
      <c r="B53" t="s">
        <v>106</v>
      </c>
      <c r="F53" s="1" t="str">
        <f t="shared" si="9"/>
        <v>104.5801</v>
      </c>
      <c r="G53" s="1" t="str">
        <f t="shared" si="10"/>
        <v xml:space="preserve"> 17.0781</v>
      </c>
      <c r="H53" s="1" t="str">
        <f t="shared" si="13"/>
        <v>LT25</v>
      </c>
      <c r="J53" s="1" t="str">
        <f t="shared" si="14"/>
        <v>SG</v>
      </c>
      <c r="K53" s="1">
        <v>2033</v>
      </c>
      <c r="L53" s="1">
        <v>102</v>
      </c>
      <c r="M53" s="1" t="str">
        <f t="shared" si="15"/>
        <v xml:space="preserve"> 17+390</v>
      </c>
    </row>
    <row r="54" spans="1:13" x14ac:dyDescent="0.2">
      <c r="A54" t="s">
        <v>107</v>
      </c>
      <c r="B54" t="s">
        <v>108</v>
      </c>
      <c r="F54" s="1" t="str">
        <f t="shared" si="9"/>
        <v>104.5805</v>
      </c>
      <c r="G54" s="1" t="str">
        <f t="shared" si="10"/>
        <v xml:space="preserve"> 17.0783</v>
      </c>
      <c r="H54" s="1" t="str">
        <f t="shared" si="13"/>
        <v>LT26</v>
      </c>
      <c r="J54" s="1" t="str">
        <f>MID(B54,6,2)</f>
        <v>SG</v>
      </c>
      <c r="K54" s="1">
        <v>2033</v>
      </c>
      <c r="L54" s="1">
        <v>102</v>
      </c>
      <c r="M54" s="1" t="str">
        <f t="shared" si="15"/>
        <v xml:space="preserve"> 17+435</v>
      </c>
    </row>
    <row r="55" spans="1:13" x14ac:dyDescent="0.2">
      <c r="A55" t="s">
        <v>109</v>
      </c>
      <c r="B55" t="s">
        <v>110</v>
      </c>
      <c r="F55" s="1" t="str">
        <f t="shared" si="9"/>
        <v>104.5808</v>
      </c>
      <c r="G55" s="1" t="str">
        <f t="shared" si="10"/>
        <v xml:space="preserve"> 17.0785</v>
      </c>
      <c r="H55" s="1" t="str">
        <f t="shared" si="13"/>
        <v>LT27</v>
      </c>
      <c r="J55" s="1" t="str">
        <f t="shared" si="14"/>
        <v>SG</v>
      </c>
      <c r="K55" s="1">
        <v>2033</v>
      </c>
      <c r="L55" s="1">
        <v>102</v>
      </c>
      <c r="M55" s="1" t="str">
        <f t="shared" si="15"/>
        <v xml:space="preserve"> 17+480</v>
      </c>
    </row>
    <row r="56" spans="1:13" x14ac:dyDescent="0.2">
      <c r="A56" t="s">
        <v>111</v>
      </c>
      <c r="B56" t="s">
        <v>112</v>
      </c>
      <c r="F56" s="1" t="str">
        <f t="shared" si="9"/>
        <v>104.5811</v>
      </c>
      <c r="G56" s="1" t="str">
        <f t="shared" si="10"/>
        <v xml:space="preserve"> 17.0787</v>
      </c>
      <c r="H56" s="1" t="str">
        <f t="shared" si="13"/>
        <v>LT28</v>
      </c>
      <c r="J56" s="1" t="str">
        <f t="shared" si="14"/>
        <v>SG</v>
      </c>
      <c r="K56" s="1">
        <v>2033</v>
      </c>
      <c r="L56" s="1">
        <v>102</v>
      </c>
      <c r="M56" s="1" t="str">
        <f t="shared" si="15"/>
        <v xml:space="preserve"> 17+525</v>
      </c>
    </row>
    <row r="57" spans="1:13" x14ac:dyDescent="0.2">
      <c r="A57" t="s">
        <v>113</v>
      </c>
      <c r="B57" t="s">
        <v>114</v>
      </c>
      <c r="F57" s="1" t="str">
        <f t="shared" si="9"/>
        <v>104.5886</v>
      </c>
      <c r="G57" s="1" t="str">
        <f t="shared" si="10"/>
        <v xml:space="preserve"> 17.0832</v>
      </c>
      <c r="I57" s="1" t="str">
        <f t="shared" si="6"/>
        <v>RT28</v>
      </c>
      <c r="J57" s="1" t="str">
        <f t="shared" si="14"/>
        <v>SG</v>
      </c>
      <c r="K57" s="1">
        <v>2033</v>
      </c>
      <c r="L57" s="1">
        <v>102</v>
      </c>
      <c r="M57" s="1" t="str">
        <f t="shared" si="15"/>
        <v xml:space="preserve"> 18+490</v>
      </c>
    </row>
    <row r="58" spans="1:13" x14ac:dyDescent="0.2">
      <c r="A58" t="s">
        <v>115</v>
      </c>
      <c r="B58" t="s">
        <v>116</v>
      </c>
      <c r="F58" s="1" t="str">
        <f t="shared" si="9"/>
        <v>104.5890</v>
      </c>
      <c r="G58" s="1" t="str">
        <f t="shared" si="10"/>
        <v xml:space="preserve"> 17.0834</v>
      </c>
      <c r="I58" s="1" t="str">
        <f t="shared" si="6"/>
        <v>RT29</v>
      </c>
      <c r="J58" s="1" t="str">
        <f t="shared" si="14"/>
        <v>SG</v>
      </c>
      <c r="K58" s="1">
        <v>2033</v>
      </c>
      <c r="L58" s="1">
        <v>102</v>
      </c>
      <c r="M58" s="1" t="str">
        <f>MID(B58,24,7)</f>
        <v xml:space="preserve"> 18+535</v>
      </c>
    </row>
    <row r="59" spans="1:13" x14ac:dyDescent="0.2">
      <c r="A59" t="s">
        <v>117</v>
      </c>
      <c r="B59" t="s">
        <v>118</v>
      </c>
      <c r="F59" s="1" t="str">
        <f t="shared" si="9"/>
        <v>104.5893</v>
      </c>
      <c r="G59" s="1" t="str">
        <f t="shared" si="10"/>
        <v xml:space="preserve"> 17.0836</v>
      </c>
      <c r="I59" s="1" t="str">
        <f t="shared" si="6"/>
        <v>RT30</v>
      </c>
      <c r="J59" s="1" t="str">
        <f t="shared" si="14"/>
        <v>SG</v>
      </c>
      <c r="K59" s="1">
        <v>2033</v>
      </c>
      <c r="L59" s="1">
        <v>102</v>
      </c>
      <c r="M59" s="1" t="str">
        <f t="shared" ref="M59:M121" si="16">MID(B59,24,7)</f>
        <v xml:space="preserve"> 18+580</v>
      </c>
    </row>
    <row r="60" spans="1:13" x14ac:dyDescent="0.2">
      <c r="A60" t="s">
        <v>119</v>
      </c>
      <c r="B60" t="s">
        <v>120</v>
      </c>
      <c r="F60" s="1" t="str">
        <f t="shared" si="9"/>
        <v>104.5900</v>
      </c>
      <c r="G60" s="1" t="str">
        <f>MID(A60,18,7)</f>
        <v>17.0841</v>
      </c>
      <c r="I60" s="1" t="str">
        <f t="shared" si="6"/>
        <v>RT31</v>
      </c>
      <c r="J60" s="1" t="str">
        <f t="shared" si="14"/>
        <v>SG</v>
      </c>
      <c r="K60" s="1">
        <v>2033</v>
      </c>
      <c r="L60" s="1">
        <v>102</v>
      </c>
      <c r="M60" s="1" t="str">
        <f t="shared" si="16"/>
        <v xml:space="preserve"> 18+670</v>
      </c>
    </row>
    <row r="61" spans="1:13" x14ac:dyDescent="0.2">
      <c r="A61" t="s">
        <v>121</v>
      </c>
      <c r="B61" t="s">
        <v>122</v>
      </c>
      <c r="F61" s="1" t="str">
        <f t="shared" si="9"/>
        <v>104.5904</v>
      </c>
      <c r="G61" s="1" t="str">
        <f t="shared" si="10"/>
        <v xml:space="preserve"> 17.0843</v>
      </c>
      <c r="I61" s="1" t="str">
        <f t="shared" si="6"/>
        <v>RT32</v>
      </c>
      <c r="J61" s="1" t="str">
        <f t="shared" si="14"/>
        <v>SG</v>
      </c>
      <c r="K61" s="1">
        <v>2033</v>
      </c>
      <c r="L61" s="1">
        <v>102</v>
      </c>
      <c r="M61" s="1" t="str">
        <f t="shared" si="16"/>
        <v xml:space="preserve"> 18+715</v>
      </c>
    </row>
    <row r="62" spans="1:13" x14ac:dyDescent="0.2">
      <c r="A62" t="s">
        <v>123</v>
      </c>
      <c r="B62" t="s">
        <v>124</v>
      </c>
      <c r="F62" s="1" t="str">
        <f t="shared" si="9"/>
        <v>104.5907</v>
      </c>
      <c r="G62" s="1" t="str">
        <f t="shared" si="10"/>
        <v xml:space="preserve"> 17.0846</v>
      </c>
      <c r="I62" s="1" t="str">
        <f t="shared" si="6"/>
        <v>RT33</v>
      </c>
      <c r="J62" s="1" t="str">
        <f t="shared" si="14"/>
        <v>SG</v>
      </c>
      <c r="K62" s="1">
        <v>2033</v>
      </c>
      <c r="L62" s="1">
        <v>102</v>
      </c>
      <c r="M62" s="1" t="str">
        <f t="shared" si="16"/>
        <v xml:space="preserve"> 18+750</v>
      </c>
    </row>
    <row r="63" spans="1:13" x14ac:dyDescent="0.2">
      <c r="A63" t="s">
        <v>125</v>
      </c>
      <c r="B63" t="s">
        <v>126</v>
      </c>
      <c r="F63" s="1" t="str">
        <f t="shared" si="9"/>
        <v>104.6011</v>
      </c>
      <c r="G63" s="1" t="str">
        <f>MID(A63,18,7)</f>
        <v>17.1018</v>
      </c>
      <c r="H63" s="1" t="str">
        <f t="shared" ref="H63:H110" si="17">MID(B63,1,4)</f>
        <v>LT29</v>
      </c>
      <c r="J63" s="1" t="str">
        <f t="shared" si="14"/>
        <v>SG</v>
      </c>
      <c r="K63" s="1">
        <v>2033</v>
      </c>
      <c r="L63" s="1">
        <v>102</v>
      </c>
      <c r="M63" s="1" t="str">
        <f t="shared" si="16"/>
        <v xml:space="preserve"> 20+990</v>
      </c>
    </row>
    <row r="64" spans="1:13" x14ac:dyDescent="0.2">
      <c r="A64" t="s">
        <v>127</v>
      </c>
      <c r="B64" t="s">
        <v>128</v>
      </c>
      <c r="F64" s="1" t="str">
        <f t="shared" si="9"/>
        <v>104.6013</v>
      </c>
      <c r="G64" s="1" t="str">
        <f t="shared" si="10"/>
        <v xml:space="preserve"> 17.1022</v>
      </c>
      <c r="H64" s="1" t="str">
        <f t="shared" si="17"/>
        <v>LT30</v>
      </c>
      <c r="J64" s="1" t="str">
        <f t="shared" si="14"/>
        <v>SG</v>
      </c>
      <c r="K64" s="1">
        <v>2033</v>
      </c>
      <c r="L64" s="1">
        <v>102</v>
      </c>
      <c r="M64" s="1" t="str">
        <f t="shared" si="16"/>
        <v xml:space="preserve"> 21+035</v>
      </c>
    </row>
    <row r="65" spans="1:13" x14ac:dyDescent="0.2">
      <c r="A65" t="s">
        <v>129</v>
      </c>
      <c r="B65" t="s">
        <v>130</v>
      </c>
      <c r="F65" s="1" t="str">
        <f t="shared" si="9"/>
        <v>104.6015</v>
      </c>
      <c r="G65" s="1" t="str">
        <f t="shared" si="10"/>
        <v xml:space="preserve"> 17.1025</v>
      </c>
      <c r="H65" s="1" t="str">
        <f t="shared" si="17"/>
        <v>LT31</v>
      </c>
      <c r="J65" s="1" t="str">
        <f t="shared" si="14"/>
        <v>SG</v>
      </c>
      <c r="K65" s="1">
        <v>2033</v>
      </c>
      <c r="L65" s="1">
        <v>102</v>
      </c>
      <c r="M65" s="1" t="str">
        <f t="shared" si="16"/>
        <v xml:space="preserve"> 21+080</v>
      </c>
    </row>
    <row r="66" spans="1:13" x14ac:dyDescent="0.2">
      <c r="A66" t="s">
        <v>131</v>
      </c>
      <c r="B66" t="s">
        <v>132</v>
      </c>
      <c r="F66" s="1" t="str">
        <f t="shared" si="9"/>
        <v>104.6017</v>
      </c>
      <c r="G66" s="1" t="str">
        <f t="shared" si="10"/>
        <v xml:space="preserve"> 17.1029</v>
      </c>
      <c r="H66" s="1" t="str">
        <f t="shared" si="17"/>
        <v>LT32</v>
      </c>
      <c r="J66" s="1" t="str">
        <f>MID(B66,6,2)</f>
        <v>SG</v>
      </c>
      <c r="K66" s="1">
        <v>2033</v>
      </c>
      <c r="L66" s="1">
        <v>102</v>
      </c>
      <c r="M66" s="1" t="str">
        <f t="shared" si="16"/>
        <v xml:space="preserve"> 21+125</v>
      </c>
    </row>
    <row r="67" spans="1:13" x14ac:dyDescent="0.2">
      <c r="A67" t="s">
        <v>133</v>
      </c>
      <c r="B67" t="s">
        <v>134</v>
      </c>
      <c r="F67" s="1" t="str">
        <f t="shared" si="9"/>
        <v>104.6019</v>
      </c>
      <c r="G67" s="1" t="str">
        <f t="shared" si="10"/>
        <v xml:space="preserve"> 17.1033</v>
      </c>
      <c r="H67" s="1" t="str">
        <f t="shared" si="17"/>
        <v>LT33</v>
      </c>
      <c r="J67" s="1" t="str">
        <f t="shared" si="14"/>
        <v>SG</v>
      </c>
      <c r="K67" s="1">
        <v>2033</v>
      </c>
      <c r="L67" s="1">
        <v>102</v>
      </c>
      <c r="M67" s="1" t="str">
        <f t="shared" si="16"/>
        <v xml:space="preserve"> 21+170</v>
      </c>
    </row>
    <row r="68" spans="1:13" x14ac:dyDescent="0.2">
      <c r="A68" t="s">
        <v>135</v>
      </c>
      <c r="B68" t="s">
        <v>136</v>
      </c>
      <c r="F68" s="1" t="str">
        <f t="shared" si="9"/>
        <v>104.6022</v>
      </c>
      <c r="G68" s="1" t="str">
        <f t="shared" si="10"/>
        <v xml:space="preserve"> 17.1038</v>
      </c>
      <c r="H68" s="1" t="str">
        <f t="shared" si="17"/>
        <v>LT34</v>
      </c>
      <c r="J68" s="1" t="str">
        <f t="shared" si="14"/>
        <v>SG</v>
      </c>
      <c r="K68" s="1">
        <v>2033</v>
      </c>
      <c r="L68" s="1">
        <v>102</v>
      </c>
      <c r="M68" s="1" t="str">
        <f t="shared" si="16"/>
        <v xml:space="preserve"> 21+215</v>
      </c>
    </row>
    <row r="69" spans="1:13" x14ac:dyDescent="0.2">
      <c r="A69" t="s">
        <v>137</v>
      </c>
      <c r="B69" t="s">
        <v>138</v>
      </c>
      <c r="F69" s="1" t="str">
        <f t="shared" si="9"/>
        <v>104.6024</v>
      </c>
      <c r="G69" s="1" t="str">
        <f t="shared" si="10"/>
        <v xml:space="preserve"> 17.1043</v>
      </c>
      <c r="H69" s="1" t="str">
        <f t="shared" si="17"/>
        <v>LT35</v>
      </c>
      <c r="J69" s="1" t="str">
        <f t="shared" si="14"/>
        <v>SG</v>
      </c>
      <c r="K69" s="1">
        <v>2033</v>
      </c>
      <c r="L69" s="1">
        <v>102</v>
      </c>
      <c r="M69" s="1" t="str">
        <f t="shared" si="16"/>
        <v xml:space="preserve"> 21+260</v>
      </c>
    </row>
    <row r="70" spans="1:13" x14ac:dyDescent="0.2">
      <c r="A70" t="s">
        <v>139</v>
      </c>
      <c r="B70" t="s">
        <v>140</v>
      </c>
      <c r="F70" s="1" t="str">
        <f t="shared" si="9"/>
        <v>104.6026</v>
      </c>
      <c r="G70" s="1" t="str">
        <f>MID(A70,18,7)</f>
        <v>17.1047</v>
      </c>
      <c r="H70" s="1" t="str">
        <f t="shared" si="17"/>
        <v>LT36</v>
      </c>
      <c r="J70" s="1" t="str">
        <f t="shared" si="14"/>
        <v>SG</v>
      </c>
      <c r="K70" s="1">
        <v>2033</v>
      </c>
      <c r="L70" s="1">
        <v>102</v>
      </c>
      <c r="M70" s="1" t="str">
        <f t="shared" si="16"/>
        <v xml:space="preserve"> 21+305</v>
      </c>
    </row>
    <row r="71" spans="1:13" x14ac:dyDescent="0.2">
      <c r="A71" t="s">
        <v>141</v>
      </c>
      <c r="B71" t="s">
        <v>142</v>
      </c>
      <c r="F71" s="1" t="str">
        <f t="shared" si="9"/>
        <v>104.6028</v>
      </c>
      <c r="G71" s="1" t="str">
        <f>MID(A71,18,7)</f>
        <v>17.1050</v>
      </c>
      <c r="H71" s="1" t="str">
        <f t="shared" si="17"/>
        <v>LT37</v>
      </c>
      <c r="J71" s="1" t="str">
        <f t="shared" si="14"/>
        <v>SG</v>
      </c>
      <c r="K71" s="1">
        <v>2033</v>
      </c>
      <c r="L71" s="1">
        <v>102</v>
      </c>
      <c r="M71" s="1" t="str">
        <f t="shared" si="16"/>
        <v xml:space="preserve"> 21+350</v>
      </c>
    </row>
    <row r="72" spans="1:13" x14ac:dyDescent="0.2">
      <c r="A72" t="s">
        <v>143</v>
      </c>
      <c r="B72" t="s">
        <v>144</v>
      </c>
      <c r="F72" s="1" t="str">
        <f t="shared" si="9"/>
        <v>104.6030</v>
      </c>
      <c r="G72" s="1" t="str">
        <f t="shared" si="10"/>
        <v xml:space="preserve"> 17.1055</v>
      </c>
      <c r="H72" s="1" t="str">
        <f t="shared" si="17"/>
        <v>LT38</v>
      </c>
      <c r="J72" s="1" t="str">
        <f t="shared" si="14"/>
        <v>SG</v>
      </c>
      <c r="K72" s="1">
        <v>2033</v>
      </c>
      <c r="L72" s="1">
        <v>102</v>
      </c>
      <c r="M72" s="1" t="str">
        <f t="shared" si="16"/>
        <v xml:space="preserve"> 21+395</v>
      </c>
    </row>
    <row r="73" spans="1:13" x14ac:dyDescent="0.2">
      <c r="A73" t="s">
        <v>145</v>
      </c>
      <c r="B73" t="s">
        <v>146</v>
      </c>
      <c r="F73" s="1" t="str">
        <f t="shared" si="9"/>
        <v>104.6033</v>
      </c>
      <c r="G73" s="1" t="str">
        <f t="shared" si="10"/>
        <v xml:space="preserve"> 17.1058</v>
      </c>
      <c r="H73" s="1" t="str">
        <f t="shared" si="17"/>
        <v>LT39</v>
      </c>
      <c r="J73" s="1" t="str">
        <f t="shared" si="14"/>
        <v>SG</v>
      </c>
      <c r="K73" s="1">
        <v>2033</v>
      </c>
      <c r="L73" s="1">
        <v>102</v>
      </c>
      <c r="M73" s="1" t="str">
        <f t="shared" si="16"/>
        <v xml:space="preserve"> 21+440</v>
      </c>
    </row>
    <row r="74" spans="1:13" x14ac:dyDescent="0.2">
      <c r="A74" t="s">
        <v>147</v>
      </c>
      <c r="B74" t="s">
        <v>148</v>
      </c>
      <c r="F74" s="1" t="str">
        <f t="shared" si="9"/>
        <v>104.6036</v>
      </c>
      <c r="G74" s="1" t="str">
        <f t="shared" si="10"/>
        <v xml:space="preserve"> 17.1061</v>
      </c>
      <c r="H74" s="1" t="str">
        <f t="shared" si="17"/>
        <v>LT40</v>
      </c>
      <c r="J74" s="1" t="str">
        <f t="shared" si="14"/>
        <v>SG</v>
      </c>
      <c r="K74" s="1">
        <v>2033</v>
      </c>
      <c r="L74" s="1">
        <v>102</v>
      </c>
      <c r="M74" s="1" t="str">
        <f t="shared" si="16"/>
        <v xml:space="preserve"> 21+485</v>
      </c>
    </row>
    <row r="75" spans="1:13" x14ac:dyDescent="0.2">
      <c r="A75" t="s">
        <v>149</v>
      </c>
      <c r="B75" t="s">
        <v>150</v>
      </c>
      <c r="F75" s="1" t="str">
        <f t="shared" si="9"/>
        <v>104.6039</v>
      </c>
      <c r="G75" s="1" t="str">
        <f t="shared" si="10"/>
        <v xml:space="preserve"> 17.1065</v>
      </c>
      <c r="H75" s="1" t="str">
        <f t="shared" si="17"/>
        <v>LT41</v>
      </c>
      <c r="J75" s="1" t="str">
        <f t="shared" si="14"/>
        <v>SG</v>
      </c>
      <c r="K75" s="1">
        <v>2033</v>
      </c>
      <c r="L75" s="1">
        <v>102</v>
      </c>
      <c r="M75" s="1" t="str">
        <f t="shared" si="16"/>
        <v xml:space="preserve"> 21+530</v>
      </c>
    </row>
    <row r="76" spans="1:13" x14ac:dyDescent="0.2">
      <c r="A76" t="s">
        <v>151</v>
      </c>
      <c r="B76" t="s">
        <v>152</v>
      </c>
      <c r="F76" s="1" t="str">
        <f t="shared" si="9"/>
        <v>104.6043</v>
      </c>
      <c r="G76" s="1" t="str">
        <f t="shared" si="10"/>
        <v xml:space="preserve"> 17.1068</v>
      </c>
      <c r="H76" s="1" t="str">
        <f t="shared" si="17"/>
        <v>LT42</v>
      </c>
      <c r="J76" s="1" t="str">
        <f t="shared" si="14"/>
        <v>SG</v>
      </c>
      <c r="K76" s="1">
        <v>2033</v>
      </c>
      <c r="L76" s="1">
        <v>102</v>
      </c>
      <c r="M76" s="1" t="str">
        <f t="shared" si="16"/>
        <v xml:space="preserve"> 21+575</v>
      </c>
    </row>
    <row r="77" spans="1:13" x14ac:dyDescent="0.2">
      <c r="A77" t="s">
        <v>153</v>
      </c>
      <c r="B77" t="s">
        <v>154</v>
      </c>
      <c r="F77" s="1" t="str">
        <f t="shared" si="9"/>
        <v>104.6045</v>
      </c>
      <c r="G77" s="1" t="str">
        <f t="shared" si="10"/>
        <v xml:space="preserve"> 17.1071</v>
      </c>
      <c r="H77" s="1" t="str">
        <f t="shared" si="17"/>
        <v>LT43</v>
      </c>
      <c r="J77" s="1" t="str">
        <f t="shared" si="14"/>
        <v>SG</v>
      </c>
      <c r="K77" s="1">
        <v>2033</v>
      </c>
      <c r="L77" s="1">
        <v>102</v>
      </c>
      <c r="M77" s="1" t="str">
        <f t="shared" si="16"/>
        <v xml:space="preserve"> 21+620</v>
      </c>
    </row>
    <row r="78" spans="1:13" x14ac:dyDescent="0.2">
      <c r="A78" t="s">
        <v>155</v>
      </c>
      <c r="B78" t="s">
        <v>156</v>
      </c>
      <c r="F78" s="1" t="str">
        <f t="shared" si="9"/>
        <v>104.6048</v>
      </c>
      <c r="G78" s="1" t="str">
        <f t="shared" si="10"/>
        <v xml:space="preserve"> 17.1074</v>
      </c>
      <c r="H78" s="1" t="str">
        <f t="shared" si="17"/>
        <v>LT44</v>
      </c>
      <c r="J78" s="1" t="str">
        <f t="shared" si="14"/>
        <v>SG</v>
      </c>
      <c r="K78" s="1">
        <v>2033</v>
      </c>
      <c r="L78" s="1">
        <v>102</v>
      </c>
      <c r="M78" s="1" t="str">
        <f t="shared" si="16"/>
        <v xml:space="preserve"> 21+665</v>
      </c>
    </row>
    <row r="79" spans="1:13" x14ac:dyDescent="0.2">
      <c r="A79" t="s">
        <v>157</v>
      </c>
      <c r="B79" t="s">
        <v>158</v>
      </c>
      <c r="F79" s="1" t="str">
        <f t="shared" si="9"/>
        <v>104.6050</v>
      </c>
      <c r="G79" s="1" t="str">
        <f t="shared" si="10"/>
        <v xml:space="preserve"> 17.1076</v>
      </c>
      <c r="H79" s="1" t="str">
        <f t="shared" si="17"/>
        <v>LT45</v>
      </c>
      <c r="J79" s="1" t="str">
        <f t="shared" si="14"/>
        <v>SG</v>
      </c>
      <c r="K79" s="1">
        <v>2033</v>
      </c>
      <c r="L79" s="1">
        <v>102</v>
      </c>
      <c r="M79" s="1" t="str">
        <f t="shared" si="16"/>
        <v xml:space="preserve"> 21+710</v>
      </c>
    </row>
    <row r="80" spans="1:13" x14ac:dyDescent="0.2">
      <c r="A80" t="s">
        <v>159</v>
      </c>
      <c r="B80" t="s">
        <v>160</v>
      </c>
      <c r="F80" s="1" t="str">
        <f t="shared" si="9"/>
        <v>104.6053</v>
      </c>
      <c r="G80" s="1" t="str">
        <f t="shared" si="10"/>
        <v xml:space="preserve"> 17.1079</v>
      </c>
      <c r="H80" s="1" t="str">
        <f t="shared" si="17"/>
        <v>LT46</v>
      </c>
      <c r="J80" s="1" t="str">
        <f t="shared" si="14"/>
        <v>SG</v>
      </c>
      <c r="K80" s="1">
        <v>2033</v>
      </c>
      <c r="L80" s="1">
        <v>102</v>
      </c>
      <c r="M80" s="1" t="str">
        <f t="shared" si="16"/>
        <v xml:space="preserve"> 21+755</v>
      </c>
    </row>
    <row r="81" spans="1:13" x14ac:dyDescent="0.2">
      <c r="A81" t="s">
        <v>161</v>
      </c>
      <c r="B81" t="s">
        <v>162</v>
      </c>
      <c r="F81" s="1" t="str">
        <f t="shared" ref="F81:F144" si="18">MID(A81,8,8)</f>
        <v>104.6058</v>
      </c>
      <c r="G81" s="1" t="str">
        <f>MID(A81,17,7)</f>
        <v>17.1084</v>
      </c>
      <c r="H81" s="1" t="str">
        <f t="shared" si="17"/>
        <v>LT47</v>
      </c>
      <c r="J81" s="1" t="str">
        <f t="shared" si="14"/>
        <v>SG</v>
      </c>
      <c r="K81" s="1">
        <v>2033</v>
      </c>
      <c r="L81" s="1">
        <v>102</v>
      </c>
      <c r="M81" s="1" t="str">
        <f t="shared" si="16"/>
        <v xml:space="preserve"> 21+855</v>
      </c>
    </row>
    <row r="82" spans="1:13" x14ac:dyDescent="0.2">
      <c r="A82" t="s">
        <v>163</v>
      </c>
      <c r="B82" t="s">
        <v>164</v>
      </c>
      <c r="F82" s="1" t="str">
        <f t="shared" si="18"/>
        <v>104.6061</v>
      </c>
      <c r="G82" s="1" t="str">
        <f t="shared" ref="G82:G144" si="19">MID(A82,18,8)</f>
        <v xml:space="preserve"> 17.1087</v>
      </c>
      <c r="H82" s="1" t="str">
        <f t="shared" si="17"/>
        <v>LT48</v>
      </c>
      <c r="J82" s="1" t="str">
        <f t="shared" si="14"/>
        <v>SG</v>
      </c>
      <c r="K82" s="1">
        <v>2033</v>
      </c>
      <c r="L82" s="1">
        <v>102</v>
      </c>
      <c r="M82" s="1" t="str">
        <f t="shared" si="16"/>
        <v xml:space="preserve"> 21+890</v>
      </c>
    </row>
    <row r="83" spans="1:13" x14ac:dyDescent="0.2">
      <c r="A83" t="s">
        <v>165</v>
      </c>
      <c r="B83" t="s">
        <v>166</v>
      </c>
      <c r="F83" s="1" t="str">
        <f t="shared" si="18"/>
        <v>104.6063</v>
      </c>
      <c r="G83" s="1" t="str">
        <f>MID(A83,18,7)</f>
        <v>17.1089</v>
      </c>
      <c r="H83" s="1" t="str">
        <f t="shared" si="17"/>
        <v>LT49</v>
      </c>
      <c r="J83" s="1" t="str">
        <f>MID(B83,6,2)</f>
        <v>SG</v>
      </c>
      <c r="K83" s="1">
        <v>2033</v>
      </c>
      <c r="L83" s="1">
        <v>102</v>
      </c>
      <c r="M83" s="1" t="str">
        <f t="shared" si="16"/>
        <v xml:space="preserve"> 21+925</v>
      </c>
    </row>
    <row r="84" spans="1:13" x14ac:dyDescent="0.2">
      <c r="A84" t="s">
        <v>167</v>
      </c>
      <c r="B84" t="s">
        <v>168</v>
      </c>
      <c r="F84" s="1" t="str">
        <f t="shared" si="18"/>
        <v>104.6067</v>
      </c>
      <c r="G84" s="1" t="str">
        <f t="shared" si="19"/>
        <v xml:space="preserve"> 17.1094</v>
      </c>
      <c r="H84" s="1" t="str">
        <f t="shared" si="17"/>
        <v>LT50</v>
      </c>
      <c r="J84" s="1" t="str">
        <f t="shared" si="14"/>
        <v>SG</v>
      </c>
      <c r="K84" s="1">
        <v>2033</v>
      </c>
      <c r="L84" s="1">
        <v>102</v>
      </c>
      <c r="M84" s="1" t="str">
        <f t="shared" si="16"/>
        <v xml:space="preserve"> 21+970</v>
      </c>
    </row>
    <row r="85" spans="1:13" x14ac:dyDescent="0.2">
      <c r="A85" t="s">
        <v>169</v>
      </c>
      <c r="B85" t="s">
        <v>170</v>
      </c>
      <c r="F85" s="1" t="str">
        <f t="shared" si="18"/>
        <v>104.6070</v>
      </c>
      <c r="G85" s="1" t="str">
        <f t="shared" si="19"/>
        <v xml:space="preserve"> 17.1097</v>
      </c>
      <c r="H85" s="1" t="str">
        <f t="shared" si="17"/>
        <v>LT51</v>
      </c>
      <c r="J85" s="1" t="str">
        <f t="shared" si="14"/>
        <v>SG</v>
      </c>
      <c r="K85" s="1">
        <v>2033</v>
      </c>
      <c r="L85" s="1">
        <v>102</v>
      </c>
      <c r="M85" s="1" t="str">
        <f t="shared" si="16"/>
        <v xml:space="preserve"> 22+015</v>
      </c>
    </row>
    <row r="86" spans="1:13" x14ac:dyDescent="0.2">
      <c r="A86" t="s">
        <v>171</v>
      </c>
      <c r="B86" t="s">
        <v>172</v>
      </c>
      <c r="F86" s="1" t="str">
        <f t="shared" si="18"/>
        <v>104.6072</v>
      </c>
      <c r="G86" s="1" t="str">
        <f t="shared" si="19"/>
        <v xml:space="preserve"> 17.1099</v>
      </c>
      <c r="H86" s="1" t="str">
        <f t="shared" si="17"/>
        <v>LT52</v>
      </c>
      <c r="J86" s="1" t="str">
        <f>MID(B86,6,2)</f>
        <v>SG</v>
      </c>
      <c r="K86" s="1">
        <v>2033</v>
      </c>
      <c r="L86" s="1">
        <v>102</v>
      </c>
      <c r="M86" s="1" t="str">
        <f t="shared" si="16"/>
        <v xml:space="preserve"> 22+060</v>
      </c>
    </row>
    <row r="87" spans="1:13" x14ac:dyDescent="0.2">
      <c r="A87" t="s">
        <v>173</v>
      </c>
      <c r="B87" t="s">
        <v>174</v>
      </c>
      <c r="F87" s="1" t="str">
        <f t="shared" si="18"/>
        <v>104.6075</v>
      </c>
      <c r="G87" s="1" t="str">
        <f t="shared" si="19"/>
        <v xml:space="preserve"> 17.1102</v>
      </c>
      <c r="H87" s="1" t="str">
        <f t="shared" si="17"/>
        <v>LT53</v>
      </c>
      <c r="J87" s="1" t="str">
        <f t="shared" si="14"/>
        <v>SG</v>
      </c>
      <c r="K87" s="1">
        <v>2033</v>
      </c>
      <c r="L87" s="1">
        <v>102</v>
      </c>
      <c r="M87" s="1" t="str">
        <f t="shared" si="16"/>
        <v xml:space="preserve"> 22+105</v>
      </c>
    </row>
    <row r="88" spans="1:13" x14ac:dyDescent="0.2">
      <c r="A88" t="s">
        <v>175</v>
      </c>
      <c r="B88" t="s">
        <v>176</v>
      </c>
      <c r="F88" s="1" t="str">
        <f t="shared" si="18"/>
        <v>104.6079</v>
      </c>
      <c r="G88" s="1" t="str">
        <f t="shared" si="19"/>
        <v xml:space="preserve"> 17.1106</v>
      </c>
      <c r="H88" s="1" t="str">
        <f t="shared" si="17"/>
        <v>LT54</v>
      </c>
      <c r="J88" s="1" t="str">
        <f t="shared" si="14"/>
        <v>SG</v>
      </c>
      <c r="K88" s="1">
        <v>2033</v>
      </c>
      <c r="L88" s="1">
        <v>102</v>
      </c>
      <c r="M88" s="1" t="str">
        <f t="shared" si="16"/>
        <v xml:space="preserve"> 22+150</v>
      </c>
    </row>
    <row r="89" spans="1:13" x14ac:dyDescent="0.2">
      <c r="A89" t="s">
        <v>177</v>
      </c>
      <c r="B89" t="s">
        <v>178</v>
      </c>
      <c r="F89" s="1" t="str">
        <f t="shared" si="18"/>
        <v>104.6082</v>
      </c>
      <c r="G89" s="1" t="str">
        <f t="shared" si="19"/>
        <v xml:space="preserve"> 17.1110</v>
      </c>
      <c r="H89" s="1" t="str">
        <f t="shared" si="17"/>
        <v>LT55</v>
      </c>
      <c r="J89" s="1" t="str">
        <f t="shared" si="14"/>
        <v>SG</v>
      </c>
      <c r="K89" s="1">
        <v>2033</v>
      </c>
      <c r="L89" s="1">
        <v>102</v>
      </c>
      <c r="M89" s="1" t="str">
        <f t="shared" si="16"/>
        <v xml:space="preserve"> 22+200</v>
      </c>
    </row>
    <row r="90" spans="1:13" x14ac:dyDescent="0.2">
      <c r="A90" t="s">
        <v>179</v>
      </c>
      <c r="B90" t="s">
        <v>180</v>
      </c>
      <c r="F90" s="1" t="str">
        <f t="shared" si="18"/>
        <v>104.6085</v>
      </c>
      <c r="G90" s="1" t="str">
        <f t="shared" si="19"/>
        <v xml:space="preserve"> 17.1112</v>
      </c>
      <c r="H90" s="1" t="str">
        <f t="shared" si="17"/>
        <v>LT56</v>
      </c>
      <c r="J90" s="1" t="str">
        <f t="shared" si="14"/>
        <v>SG</v>
      </c>
      <c r="K90" s="1">
        <v>2033</v>
      </c>
      <c r="L90" s="1">
        <v>102</v>
      </c>
      <c r="M90" s="1" t="str">
        <f t="shared" si="16"/>
        <v xml:space="preserve"> 22+250</v>
      </c>
    </row>
    <row r="91" spans="1:13" x14ac:dyDescent="0.2">
      <c r="A91" t="s">
        <v>181</v>
      </c>
      <c r="B91" t="s">
        <v>182</v>
      </c>
      <c r="F91" s="1" t="str">
        <f t="shared" si="18"/>
        <v>104.6088</v>
      </c>
      <c r="G91" s="1" t="str">
        <f t="shared" si="19"/>
        <v xml:space="preserve"> 17.1115</v>
      </c>
      <c r="H91" s="1" t="str">
        <f t="shared" si="17"/>
        <v>LT57</v>
      </c>
      <c r="J91" s="1" t="str">
        <f t="shared" si="14"/>
        <v>SG</v>
      </c>
      <c r="K91" s="1">
        <v>2033</v>
      </c>
      <c r="L91" s="1">
        <v>102</v>
      </c>
      <c r="M91" s="1" t="str">
        <f t="shared" si="16"/>
        <v xml:space="preserve"> 22+300</v>
      </c>
    </row>
    <row r="92" spans="1:13" x14ac:dyDescent="0.2">
      <c r="A92" t="s">
        <v>183</v>
      </c>
      <c r="B92" t="s">
        <v>184</v>
      </c>
      <c r="F92" s="1" t="str">
        <f t="shared" si="18"/>
        <v>104.6091</v>
      </c>
      <c r="G92" s="1" t="str">
        <f t="shared" si="19"/>
        <v xml:space="preserve"> 17.1118</v>
      </c>
      <c r="H92" s="1" t="str">
        <f t="shared" si="17"/>
        <v>LT58</v>
      </c>
      <c r="J92" s="1" t="str">
        <f t="shared" si="14"/>
        <v>SG</v>
      </c>
      <c r="K92" s="1">
        <v>2033</v>
      </c>
      <c r="L92" s="1">
        <v>102</v>
      </c>
      <c r="M92" s="1" t="str">
        <f t="shared" si="16"/>
        <v xml:space="preserve"> 22+350</v>
      </c>
    </row>
    <row r="93" spans="1:13" x14ac:dyDescent="0.2">
      <c r="A93" t="s">
        <v>185</v>
      </c>
      <c r="B93" t="s">
        <v>186</v>
      </c>
      <c r="F93" s="1" t="str">
        <f t="shared" si="18"/>
        <v>104.6094</v>
      </c>
      <c r="G93" s="1" t="str">
        <f t="shared" si="19"/>
        <v xml:space="preserve"> 17.1121</v>
      </c>
      <c r="H93" s="1" t="str">
        <f t="shared" si="17"/>
        <v>LT59</v>
      </c>
      <c r="J93" s="1" t="str">
        <f t="shared" si="14"/>
        <v>SG</v>
      </c>
      <c r="K93" s="1">
        <v>2033</v>
      </c>
      <c r="L93" s="1">
        <v>102</v>
      </c>
      <c r="M93" s="1" t="str">
        <f t="shared" si="16"/>
        <v xml:space="preserve"> 22+400</v>
      </c>
    </row>
    <row r="94" spans="1:13" x14ac:dyDescent="0.2">
      <c r="A94" t="s">
        <v>187</v>
      </c>
      <c r="B94" t="s">
        <v>188</v>
      </c>
      <c r="F94" s="1" t="str">
        <f t="shared" si="18"/>
        <v>104.6098</v>
      </c>
      <c r="G94" s="1" t="str">
        <f t="shared" si="19"/>
        <v xml:space="preserve"> 17.1125</v>
      </c>
      <c r="H94" s="1" t="str">
        <f t="shared" si="17"/>
        <v>LT60</v>
      </c>
      <c r="J94" s="1" t="str">
        <f t="shared" si="14"/>
        <v>SG</v>
      </c>
      <c r="K94" s="1">
        <v>2033</v>
      </c>
      <c r="L94" s="1">
        <v>102</v>
      </c>
      <c r="M94" s="1" t="str">
        <f t="shared" si="16"/>
        <v xml:space="preserve"> 22+450</v>
      </c>
    </row>
    <row r="95" spans="1:13" x14ac:dyDescent="0.2">
      <c r="A95" t="s">
        <v>189</v>
      </c>
      <c r="B95" t="s">
        <v>190</v>
      </c>
      <c r="F95" s="1" t="str">
        <f t="shared" si="18"/>
        <v>104.6101</v>
      </c>
      <c r="G95" s="1" t="str">
        <f t="shared" si="19"/>
        <v xml:space="preserve"> 17.1128</v>
      </c>
      <c r="H95" s="1" t="str">
        <f t="shared" si="17"/>
        <v>LT61</v>
      </c>
      <c r="J95" s="1" t="str">
        <f t="shared" si="14"/>
        <v>SG</v>
      </c>
      <c r="K95" s="1">
        <v>2033</v>
      </c>
      <c r="L95" s="1">
        <v>102</v>
      </c>
      <c r="M95" s="1" t="str">
        <f t="shared" si="16"/>
        <v xml:space="preserve"> 22+500</v>
      </c>
    </row>
    <row r="96" spans="1:13" x14ac:dyDescent="0.2">
      <c r="A96" t="s">
        <v>191</v>
      </c>
      <c r="B96" t="s">
        <v>192</v>
      </c>
      <c r="F96" s="1" t="str">
        <f t="shared" si="18"/>
        <v>104.6104</v>
      </c>
      <c r="G96" s="1" t="str">
        <f t="shared" si="19"/>
        <v xml:space="preserve"> 17.1131</v>
      </c>
      <c r="H96" s="1" t="str">
        <f t="shared" si="17"/>
        <v>LT62</v>
      </c>
      <c r="J96" s="1" t="str">
        <f t="shared" si="14"/>
        <v>SG</v>
      </c>
      <c r="K96" s="1">
        <v>2033</v>
      </c>
      <c r="L96" s="1">
        <v>102</v>
      </c>
      <c r="M96" s="1" t="str">
        <f t="shared" si="16"/>
        <v xml:space="preserve"> 22+550</v>
      </c>
    </row>
    <row r="97" spans="1:13" x14ac:dyDescent="0.2">
      <c r="A97" t="s">
        <v>193</v>
      </c>
      <c r="B97" t="s">
        <v>194</v>
      </c>
      <c r="F97" s="1" t="str">
        <f t="shared" si="18"/>
        <v>104.6107</v>
      </c>
      <c r="G97" s="1" t="str">
        <f t="shared" si="19"/>
        <v xml:space="preserve"> 17.1135</v>
      </c>
      <c r="H97" s="1" t="str">
        <f t="shared" si="17"/>
        <v>LT63</v>
      </c>
      <c r="J97" s="1" t="str">
        <f t="shared" si="14"/>
        <v>SG</v>
      </c>
      <c r="K97" s="1">
        <v>2033</v>
      </c>
      <c r="L97" s="1">
        <v>102</v>
      </c>
      <c r="M97" s="1" t="str">
        <f t="shared" si="16"/>
        <v xml:space="preserve"> 22+600</v>
      </c>
    </row>
    <row r="98" spans="1:13" x14ac:dyDescent="0.2">
      <c r="A98" t="s">
        <v>195</v>
      </c>
      <c r="B98" t="s">
        <v>196</v>
      </c>
      <c r="F98" s="1" t="str">
        <f t="shared" si="18"/>
        <v>104.6109</v>
      </c>
      <c r="G98" s="1" t="str">
        <f t="shared" si="19"/>
        <v xml:space="preserve"> 17.1137</v>
      </c>
      <c r="H98" s="1" t="str">
        <f t="shared" si="17"/>
        <v>LT64</v>
      </c>
      <c r="J98" s="1" t="str">
        <f t="shared" si="14"/>
        <v>SG</v>
      </c>
      <c r="K98" s="1">
        <v>2033</v>
      </c>
      <c r="L98" s="1">
        <v>102</v>
      </c>
      <c r="M98" s="1" t="str">
        <f t="shared" si="16"/>
        <v xml:space="preserve"> 22+650</v>
      </c>
    </row>
    <row r="99" spans="1:13" x14ac:dyDescent="0.2">
      <c r="A99" t="s">
        <v>197</v>
      </c>
      <c r="B99" t="s">
        <v>198</v>
      </c>
      <c r="F99" s="1" t="str">
        <f t="shared" si="18"/>
        <v>104.6113</v>
      </c>
      <c r="G99" s="1" t="str">
        <f t="shared" si="19"/>
        <v xml:space="preserve"> 17.1140</v>
      </c>
      <c r="H99" s="1" t="str">
        <f t="shared" si="17"/>
        <v>LT65</v>
      </c>
      <c r="J99" s="1" t="str">
        <f t="shared" si="14"/>
        <v>SG</v>
      </c>
      <c r="K99" s="1">
        <v>2033</v>
      </c>
      <c r="L99" s="1">
        <v>102</v>
      </c>
      <c r="M99" s="1" t="str">
        <f t="shared" si="16"/>
        <v xml:space="preserve"> 22+700</v>
      </c>
    </row>
    <row r="100" spans="1:13" x14ac:dyDescent="0.2">
      <c r="A100" t="s">
        <v>199</v>
      </c>
      <c r="B100" t="s">
        <v>200</v>
      </c>
      <c r="F100" s="1" t="str">
        <f t="shared" si="18"/>
        <v>104.6116</v>
      </c>
      <c r="G100" s="1" t="str">
        <f t="shared" si="19"/>
        <v xml:space="preserve"> 17.1144</v>
      </c>
      <c r="H100" s="1" t="str">
        <f t="shared" si="17"/>
        <v>LT66</v>
      </c>
      <c r="J100" s="1" t="str">
        <f t="shared" ref="J100:J101" si="20">MID(B100,6,2)</f>
        <v>SG</v>
      </c>
      <c r="K100" s="1">
        <v>2033</v>
      </c>
      <c r="L100" s="1">
        <v>102</v>
      </c>
      <c r="M100" s="1" t="str">
        <f t="shared" si="16"/>
        <v xml:space="preserve"> 22+750</v>
      </c>
    </row>
    <row r="101" spans="1:13" x14ac:dyDescent="0.2">
      <c r="A101" t="s">
        <v>201</v>
      </c>
      <c r="B101" t="s">
        <v>202</v>
      </c>
      <c r="F101" s="1" t="str">
        <f t="shared" si="18"/>
        <v>104.6120</v>
      </c>
      <c r="G101" s="1" t="str">
        <f t="shared" si="19"/>
        <v xml:space="preserve"> 17.1147</v>
      </c>
      <c r="H101" s="1" t="str">
        <f t="shared" si="17"/>
        <v>LT67</v>
      </c>
      <c r="J101" s="1" t="str">
        <f t="shared" si="20"/>
        <v>SG</v>
      </c>
      <c r="K101" s="1">
        <v>2033</v>
      </c>
      <c r="L101" s="1">
        <v>102</v>
      </c>
      <c r="M101" s="1" t="str">
        <f t="shared" si="16"/>
        <v xml:space="preserve"> 22+800</v>
      </c>
    </row>
    <row r="102" spans="1:13" x14ac:dyDescent="0.2">
      <c r="A102" t="s">
        <v>203</v>
      </c>
      <c r="B102" t="s">
        <v>204</v>
      </c>
      <c r="F102" s="1" t="str">
        <f t="shared" si="18"/>
        <v>104.6123</v>
      </c>
      <c r="G102" s="1" t="str">
        <f t="shared" si="19"/>
        <v xml:space="preserve"> 17.1150</v>
      </c>
      <c r="H102" s="1" t="str">
        <f t="shared" si="17"/>
        <v>LT68</v>
      </c>
      <c r="J102" s="1" t="str">
        <f>MID(B102,6,2)</f>
        <v>SG</v>
      </c>
      <c r="K102" s="1">
        <v>2033</v>
      </c>
      <c r="L102" s="1">
        <v>102</v>
      </c>
      <c r="M102" s="1" t="str">
        <f t="shared" si="16"/>
        <v xml:space="preserve"> 22+850</v>
      </c>
    </row>
    <row r="103" spans="1:13" x14ac:dyDescent="0.2">
      <c r="A103" t="s">
        <v>205</v>
      </c>
      <c r="B103" t="s">
        <v>206</v>
      </c>
      <c r="F103" s="1" t="str">
        <f t="shared" si="18"/>
        <v>104.6126</v>
      </c>
      <c r="G103" s="1" t="str">
        <f t="shared" si="19"/>
        <v xml:space="preserve"> 17.1153</v>
      </c>
      <c r="H103" s="1" t="str">
        <f t="shared" si="17"/>
        <v>LT69</v>
      </c>
      <c r="J103" s="1" t="str">
        <f t="shared" ref="J103:J115" si="21">MID(B103,6,2)</f>
        <v>SG</v>
      </c>
      <c r="K103" s="1">
        <v>2033</v>
      </c>
      <c r="L103" s="1">
        <v>102</v>
      </c>
      <c r="M103" s="1" t="str">
        <f t="shared" si="16"/>
        <v xml:space="preserve"> 22+900</v>
      </c>
    </row>
    <row r="104" spans="1:13" x14ac:dyDescent="0.2">
      <c r="A104" t="s">
        <v>207</v>
      </c>
      <c r="B104" t="s">
        <v>208</v>
      </c>
      <c r="F104" s="1" t="str">
        <f t="shared" si="18"/>
        <v>104.6128</v>
      </c>
      <c r="G104" s="1" t="str">
        <f t="shared" si="19"/>
        <v xml:space="preserve"> 17.1156</v>
      </c>
      <c r="H104" s="1" t="str">
        <f t="shared" si="17"/>
        <v>LT70</v>
      </c>
      <c r="J104" s="1" t="str">
        <f t="shared" si="21"/>
        <v>SG</v>
      </c>
      <c r="K104" s="1">
        <v>2033</v>
      </c>
      <c r="L104" s="1">
        <v>102</v>
      </c>
      <c r="M104" s="1" t="str">
        <f t="shared" si="16"/>
        <v xml:space="preserve"> 22+950</v>
      </c>
    </row>
    <row r="105" spans="1:13" x14ac:dyDescent="0.2">
      <c r="A105" t="s">
        <v>209</v>
      </c>
      <c r="B105" t="s">
        <v>210</v>
      </c>
      <c r="F105" s="1" t="str">
        <f t="shared" si="18"/>
        <v>104.6132</v>
      </c>
      <c r="G105" s="1" t="str">
        <f t="shared" si="19"/>
        <v xml:space="preserve"> 17.1160</v>
      </c>
      <c r="H105" s="1" t="str">
        <f t="shared" si="17"/>
        <v>LT71</v>
      </c>
      <c r="J105" s="1" t="str">
        <f t="shared" si="21"/>
        <v>SG</v>
      </c>
      <c r="K105" s="1">
        <v>2033</v>
      </c>
      <c r="L105" s="1">
        <v>102</v>
      </c>
      <c r="M105" s="1" t="str">
        <f t="shared" si="16"/>
        <v xml:space="preserve"> 23+000</v>
      </c>
    </row>
    <row r="106" spans="1:13" x14ac:dyDescent="0.2">
      <c r="A106" t="s">
        <v>211</v>
      </c>
      <c r="B106" t="s">
        <v>212</v>
      </c>
      <c r="F106" s="1" t="str">
        <f t="shared" si="18"/>
        <v>104.6135</v>
      </c>
      <c r="G106" s="1" t="str">
        <f t="shared" si="19"/>
        <v xml:space="preserve"> 17.1162</v>
      </c>
      <c r="H106" s="1" t="str">
        <f t="shared" si="17"/>
        <v>LT72</v>
      </c>
      <c r="J106" s="1" t="str">
        <f t="shared" si="21"/>
        <v>SG</v>
      </c>
      <c r="K106" s="1">
        <v>2033</v>
      </c>
      <c r="L106" s="1">
        <v>102</v>
      </c>
      <c r="M106" s="1" t="str">
        <f t="shared" si="16"/>
        <v xml:space="preserve"> 23+050</v>
      </c>
    </row>
    <row r="107" spans="1:13" x14ac:dyDescent="0.2">
      <c r="A107" t="s">
        <v>213</v>
      </c>
      <c r="B107" t="s">
        <v>214</v>
      </c>
      <c r="F107" s="1" t="str">
        <f t="shared" si="18"/>
        <v>104.6138</v>
      </c>
      <c r="G107" s="1" t="str">
        <f>MID(A107,18,7)</f>
        <v>17.1166</v>
      </c>
      <c r="H107" s="1" t="str">
        <f t="shared" si="17"/>
        <v>LT73</v>
      </c>
      <c r="J107" s="1" t="str">
        <f t="shared" si="21"/>
        <v>SG</v>
      </c>
      <c r="K107" s="1">
        <v>2033</v>
      </c>
      <c r="L107" s="1">
        <v>102</v>
      </c>
      <c r="M107" s="1" t="str">
        <f t="shared" si="16"/>
        <v xml:space="preserve"> 23+100</v>
      </c>
    </row>
    <row r="108" spans="1:13" x14ac:dyDescent="0.2">
      <c r="A108" t="s">
        <v>215</v>
      </c>
      <c r="B108" t="s">
        <v>216</v>
      </c>
      <c r="F108" s="1" t="str">
        <f t="shared" si="18"/>
        <v>104.6141</v>
      </c>
      <c r="G108" s="1" t="str">
        <f t="shared" si="19"/>
        <v xml:space="preserve"> 17.1169</v>
      </c>
      <c r="H108" s="1" t="str">
        <f t="shared" si="17"/>
        <v>LT74</v>
      </c>
      <c r="J108" s="1" t="str">
        <f t="shared" si="21"/>
        <v>SG</v>
      </c>
      <c r="K108" s="1">
        <v>2033</v>
      </c>
      <c r="L108" s="1">
        <v>102</v>
      </c>
      <c r="M108" s="1" t="str">
        <f t="shared" si="16"/>
        <v xml:space="preserve"> 23+150</v>
      </c>
    </row>
    <row r="109" spans="1:13" x14ac:dyDescent="0.2">
      <c r="A109" t="s">
        <v>217</v>
      </c>
      <c r="B109" t="s">
        <v>218</v>
      </c>
      <c r="F109" s="1" t="str">
        <f t="shared" si="18"/>
        <v>104.6144</v>
      </c>
      <c r="G109" s="1" t="str">
        <f t="shared" si="19"/>
        <v xml:space="preserve"> 17.1172</v>
      </c>
      <c r="H109" s="1" t="str">
        <f t="shared" si="17"/>
        <v>LT75</v>
      </c>
      <c r="J109" s="1" t="str">
        <f t="shared" si="21"/>
        <v>SG</v>
      </c>
      <c r="K109" s="1">
        <v>2033</v>
      </c>
      <c r="L109" s="1">
        <v>102</v>
      </c>
      <c r="M109" s="1" t="str">
        <f t="shared" si="16"/>
        <v xml:space="preserve"> 23+200</v>
      </c>
    </row>
    <row r="110" spans="1:13" x14ac:dyDescent="0.2">
      <c r="A110" t="s">
        <v>219</v>
      </c>
      <c r="B110" t="s">
        <v>220</v>
      </c>
      <c r="F110" s="1" t="str">
        <f t="shared" si="18"/>
        <v>104.6149</v>
      </c>
      <c r="G110" s="1" t="str">
        <f t="shared" si="19"/>
        <v xml:space="preserve"> 17.1177</v>
      </c>
      <c r="H110" s="1" t="str">
        <f t="shared" si="17"/>
        <v>LT76</v>
      </c>
      <c r="J110" s="1" t="str">
        <f t="shared" si="21"/>
        <v>SG</v>
      </c>
      <c r="K110" s="1">
        <v>2033</v>
      </c>
      <c r="L110" s="1">
        <v>102</v>
      </c>
      <c r="M110" s="1" t="str">
        <f t="shared" si="16"/>
        <v xml:space="preserve"> 23+270</v>
      </c>
    </row>
    <row r="111" spans="1:13" x14ac:dyDescent="0.2">
      <c r="A111" t="s">
        <v>221</v>
      </c>
      <c r="B111" t="s">
        <v>222</v>
      </c>
      <c r="F111" s="1" t="str">
        <f t="shared" si="18"/>
        <v>104.6021</v>
      </c>
      <c r="G111" s="1" t="str">
        <f t="shared" si="19"/>
        <v xml:space="preserve"> 17.1035</v>
      </c>
      <c r="I111" s="1" t="str">
        <f t="shared" ref="I111:I142" si="22">MID(B111,1,4)</f>
        <v>RT34</v>
      </c>
      <c r="J111" s="1" t="str">
        <f t="shared" si="21"/>
        <v>SG</v>
      </c>
      <c r="K111" s="1">
        <v>2033</v>
      </c>
      <c r="L111" s="1">
        <v>102</v>
      </c>
      <c r="M111" s="1" t="str">
        <f t="shared" si="16"/>
        <v xml:space="preserve"> 21+200</v>
      </c>
    </row>
    <row r="112" spans="1:13" x14ac:dyDescent="0.2">
      <c r="A112" t="s">
        <v>223</v>
      </c>
      <c r="B112" t="s">
        <v>224</v>
      </c>
      <c r="F112" s="1" t="str">
        <f t="shared" si="18"/>
        <v>104.6024</v>
      </c>
      <c r="G112" s="1" t="str">
        <f t="shared" si="19"/>
        <v xml:space="preserve"> 17.1040</v>
      </c>
      <c r="I112" s="1" t="str">
        <f t="shared" si="22"/>
        <v>RT35</v>
      </c>
      <c r="J112" s="1" t="str">
        <f t="shared" si="21"/>
        <v>SG</v>
      </c>
      <c r="K112" s="1">
        <v>2033</v>
      </c>
      <c r="L112" s="1">
        <v>102</v>
      </c>
      <c r="M112" s="1" t="str">
        <f t="shared" si="16"/>
        <v xml:space="preserve"> 21+265</v>
      </c>
    </row>
    <row r="113" spans="1:13" x14ac:dyDescent="0.2">
      <c r="A113" t="s">
        <v>225</v>
      </c>
      <c r="B113" t="s">
        <v>226</v>
      </c>
      <c r="F113" s="1" t="str">
        <f t="shared" si="18"/>
        <v>104.6027</v>
      </c>
      <c r="G113" s="1" t="str">
        <f>MID(A113,18,7)</f>
        <v>17.1044</v>
      </c>
      <c r="I113" s="1" t="str">
        <f t="shared" si="22"/>
        <v>RT34</v>
      </c>
      <c r="J113" s="1" t="str">
        <f t="shared" si="21"/>
        <v>SG</v>
      </c>
      <c r="K113" s="1">
        <v>2033</v>
      </c>
      <c r="L113" s="1">
        <v>102</v>
      </c>
      <c r="M113" s="1" t="str">
        <f t="shared" si="16"/>
        <v xml:space="preserve"> 21+315</v>
      </c>
    </row>
    <row r="114" spans="1:13" x14ac:dyDescent="0.2">
      <c r="A114" t="s">
        <v>227</v>
      </c>
      <c r="B114" t="s">
        <v>228</v>
      </c>
      <c r="F114" s="1" t="str">
        <f t="shared" si="18"/>
        <v>104.6029</v>
      </c>
      <c r="G114" s="1" t="str">
        <f t="shared" si="19"/>
        <v xml:space="preserve"> 17.1048</v>
      </c>
      <c r="I114" s="1" t="str">
        <f t="shared" si="22"/>
        <v>RT35</v>
      </c>
      <c r="J114" s="1" t="str">
        <f t="shared" si="21"/>
        <v>SG</v>
      </c>
      <c r="K114" s="1">
        <v>2033</v>
      </c>
      <c r="L114" s="1">
        <v>102</v>
      </c>
      <c r="M114" s="1" t="str">
        <f t="shared" si="16"/>
        <v xml:space="preserve"> 21+365</v>
      </c>
    </row>
    <row r="115" spans="1:13" x14ac:dyDescent="0.2">
      <c r="A115" t="s">
        <v>229</v>
      </c>
      <c r="B115" t="s">
        <v>230</v>
      </c>
      <c r="F115" s="1" t="str">
        <f t="shared" si="18"/>
        <v>104.6031</v>
      </c>
      <c r="G115" s="1" t="str">
        <f t="shared" si="19"/>
        <v xml:space="preserve"> 17.1052</v>
      </c>
      <c r="I115" s="1" t="str">
        <f t="shared" si="22"/>
        <v>RT36</v>
      </c>
      <c r="J115" s="1" t="str">
        <f t="shared" si="21"/>
        <v>SG</v>
      </c>
      <c r="K115" s="1">
        <v>2033</v>
      </c>
      <c r="L115" s="1">
        <v>102</v>
      </c>
      <c r="M115" s="1" t="str">
        <f t="shared" si="16"/>
        <v xml:space="preserve"> 21+415</v>
      </c>
    </row>
    <row r="116" spans="1:13" x14ac:dyDescent="0.2">
      <c r="A116" t="s">
        <v>231</v>
      </c>
      <c r="B116" t="s">
        <v>232</v>
      </c>
      <c r="F116" s="1" t="str">
        <f t="shared" si="18"/>
        <v>104.6034</v>
      </c>
      <c r="G116" s="1" t="str">
        <f t="shared" si="19"/>
        <v xml:space="preserve"> 17.1055</v>
      </c>
      <c r="I116" s="1" t="str">
        <f t="shared" si="22"/>
        <v>RT37</v>
      </c>
      <c r="J116" s="1" t="str">
        <f>MID(B116,6,2)</f>
        <v>SG</v>
      </c>
      <c r="K116" s="1">
        <v>2033</v>
      </c>
      <c r="L116" s="1">
        <v>102</v>
      </c>
      <c r="M116" s="1" t="str">
        <f t="shared" si="16"/>
        <v xml:space="preserve"> 21+465</v>
      </c>
    </row>
    <row r="117" spans="1:13" x14ac:dyDescent="0.2">
      <c r="A117" t="s">
        <v>233</v>
      </c>
      <c r="B117" t="s">
        <v>234</v>
      </c>
      <c r="F117" s="1" t="str">
        <f t="shared" si="18"/>
        <v>104.6037</v>
      </c>
      <c r="G117" s="1" t="str">
        <f t="shared" si="19"/>
        <v xml:space="preserve"> 17.1059</v>
      </c>
      <c r="I117" s="1" t="str">
        <f t="shared" si="22"/>
        <v>RT38</v>
      </c>
      <c r="J117" s="1" t="str">
        <f t="shared" ref="J117:J135" si="23">MID(B117,6,2)</f>
        <v>SG</v>
      </c>
      <c r="K117" s="1">
        <v>2033</v>
      </c>
      <c r="L117" s="1">
        <v>102</v>
      </c>
      <c r="M117" s="1" t="str">
        <f t="shared" si="16"/>
        <v xml:space="preserve"> 21+515</v>
      </c>
    </row>
    <row r="118" spans="1:13" x14ac:dyDescent="0.2">
      <c r="A118" t="s">
        <v>235</v>
      </c>
      <c r="B118" t="s">
        <v>236</v>
      </c>
      <c r="F118" s="1" t="str">
        <f t="shared" si="18"/>
        <v>104.6039</v>
      </c>
      <c r="G118" s="1" t="str">
        <f t="shared" si="19"/>
        <v xml:space="preserve"> 17.1062</v>
      </c>
      <c r="I118" s="1" t="str">
        <f t="shared" si="22"/>
        <v>RT39</v>
      </c>
      <c r="J118" s="1" t="str">
        <f t="shared" si="23"/>
        <v>SG</v>
      </c>
      <c r="K118" s="1">
        <v>2033</v>
      </c>
      <c r="L118" s="1">
        <v>102</v>
      </c>
      <c r="M118" s="1" t="str">
        <f t="shared" si="16"/>
        <v xml:space="preserve"> 21+565</v>
      </c>
    </row>
    <row r="119" spans="1:13" x14ac:dyDescent="0.2">
      <c r="A119" t="s">
        <v>237</v>
      </c>
      <c r="B119" t="s">
        <v>238</v>
      </c>
      <c r="F119" s="1" t="str">
        <f t="shared" si="18"/>
        <v>104.6043</v>
      </c>
      <c r="G119" s="1" t="str">
        <f t="shared" si="19"/>
        <v xml:space="preserve"> 17.1066</v>
      </c>
      <c r="I119" s="1" t="str">
        <f t="shared" si="22"/>
        <v>RT40</v>
      </c>
      <c r="J119" s="1" t="str">
        <f t="shared" si="23"/>
        <v>SG</v>
      </c>
      <c r="K119" s="1">
        <v>2033</v>
      </c>
      <c r="L119" s="1">
        <v>102</v>
      </c>
      <c r="M119" s="1" t="str">
        <f t="shared" si="16"/>
        <v xml:space="preserve"> 21+620</v>
      </c>
    </row>
    <row r="120" spans="1:13" x14ac:dyDescent="0.2">
      <c r="A120" t="s">
        <v>239</v>
      </c>
      <c r="B120" t="s">
        <v>240</v>
      </c>
      <c r="F120" s="1" t="str">
        <f t="shared" si="18"/>
        <v>104.6046</v>
      </c>
      <c r="G120" s="1" t="str">
        <f t="shared" si="19"/>
        <v xml:space="preserve"> 17.1069</v>
      </c>
      <c r="I120" s="1" t="str">
        <f t="shared" si="22"/>
        <v>RT41</v>
      </c>
      <c r="J120" s="1" t="str">
        <f t="shared" si="23"/>
        <v>SG</v>
      </c>
      <c r="K120" s="1">
        <v>2033</v>
      </c>
      <c r="L120" s="1">
        <v>102</v>
      </c>
      <c r="M120" s="1" t="str">
        <f t="shared" si="16"/>
        <v xml:space="preserve"> 21+665</v>
      </c>
    </row>
    <row r="121" spans="1:13" x14ac:dyDescent="0.2">
      <c r="A121" t="s">
        <v>241</v>
      </c>
      <c r="B121" t="s">
        <v>242</v>
      </c>
      <c r="F121" s="1" t="str">
        <f t="shared" si="18"/>
        <v>104.6048</v>
      </c>
      <c r="G121" s="1" t="str">
        <f t="shared" si="19"/>
        <v xml:space="preserve"> 17.1071</v>
      </c>
      <c r="I121" s="1" t="str">
        <f t="shared" si="22"/>
        <v>RT42</v>
      </c>
      <c r="J121" s="1" t="str">
        <f t="shared" si="23"/>
        <v>SG</v>
      </c>
      <c r="K121" s="1">
        <v>2033</v>
      </c>
      <c r="L121" s="1">
        <v>102</v>
      </c>
      <c r="M121" s="1" t="str">
        <f t="shared" si="16"/>
        <v xml:space="preserve"> 21+695</v>
      </c>
    </row>
    <row r="122" spans="1:13" x14ac:dyDescent="0.2">
      <c r="A122" t="s">
        <v>243</v>
      </c>
      <c r="B122" t="s">
        <v>244</v>
      </c>
      <c r="F122" s="1" t="str">
        <f t="shared" si="18"/>
        <v>104.6051</v>
      </c>
      <c r="G122" s="1" t="str">
        <f t="shared" si="19"/>
        <v xml:space="preserve"> 17.1074</v>
      </c>
      <c r="I122" s="1" t="str">
        <f t="shared" si="22"/>
        <v>RT43</v>
      </c>
      <c r="J122" s="1" t="str">
        <f t="shared" si="23"/>
        <v>SG</v>
      </c>
      <c r="K122" s="1">
        <v>2033</v>
      </c>
      <c r="L122" s="1">
        <v>102</v>
      </c>
      <c r="M122" s="1" t="str">
        <f t="shared" ref="M122:M183" si="24">MID(B122,24,7)</f>
        <v xml:space="preserve"> 21+745</v>
      </c>
    </row>
    <row r="123" spans="1:13" x14ac:dyDescent="0.2">
      <c r="A123" t="s">
        <v>245</v>
      </c>
      <c r="B123" t="s">
        <v>246</v>
      </c>
      <c r="F123" s="1" t="str">
        <f t="shared" si="18"/>
        <v>104.6054</v>
      </c>
      <c r="G123" s="1" t="str">
        <f t="shared" si="19"/>
        <v xml:space="preserve"> 17.1077</v>
      </c>
      <c r="I123" s="1" t="str">
        <f t="shared" si="22"/>
        <v>RT44</v>
      </c>
      <c r="J123" s="1" t="str">
        <f t="shared" si="23"/>
        <v>SG</v>
      </c>
      <c r="K123" s="1">
        <v>2033</v>
      </c>
      <c r="L123" s="1">
        <v>102</v>
      </c>
      <c r="M123" s="1" t="str">
        <f t="shared" si="24"/>
        <v xml:space="preserve"> 21+790</v>
      </c>
    </row>
    <row r="124" spans="1:13" x14ac:dyDescent="0.2">
      <c r="A124" t="s">
        <v>247</v>
      </c>
      <c r="B124" t="s">
        <v>248</v>
      </c>
      <c r="F124" s="1" t="str">
        <f t="shared" si="18"/>
        <v>104.6057</v>
      </c>
      <c r="G124" s="1" t="str">
        <f t="shared" si="19"/>
        <v xml:space="preserve"> 17.1081</v>
      </c>
      <c r="I124" s="1" t="str">
        <f t="shared" si="22"/>
        <v>RT45</v>
      </c>
      <c r="J124" s="1" t="str">
        <f t="shared" si="23"/>
        <v>SG</v>
      </c>
      <c r="K124" s="1">
        <v>2033</v>
      </c>
      <c r="L124" s="1">
        <v>102</v>
      </c>
      <c r="M124" s="1" t="str">
        <f t="shared" si="24"/>
        <v xml:space="preserve"> 21+840</v>
      </c>
    </row>
    <row r="125" spans="1:13" x14ac:dyDescent="0.2">
      <c r="A125" t="s">
        <v>249</v>
      </c>
      <c r="B125" t="s">
        <v>250</v>
      </c>
      <c r="F125" s="1" t="str">
        <f t="shared" si="18"/>
        <v>104.6061</v>
      </c>
      <c r="G125" s="1" t="str">
        <f>MID(A125,18,7)</f>
        <v>17.1084</v>
      </c>
      <c r="I125" s="1" t="str">
        <f t="shared" si="22"/>
        <v>RT46</v>
      </c>
      <c r="J125" s="1" t="str">
        <f t="shared" si="23"/>
        <v>SG</v>
      </c>
      <c r="K125" s="1">
        <v>2033</v>
      </c>
      <c r="L125" s="1">
        <v>102</v>
      </c>
      <c r="M125" s="1" t="str">
        <f t="shared" si="24"/>
        <v xml:space="preserve"> 21+890</v>
      </c>
    </row>
    <row r="126" spans="1:13" x14ac:dyDescent="0.2">
      <c r="A126" t="s">
        <v>251</v>
      </c>
      <c r="B126" t="s">
        <v>252</v>
      </c>
      <c r="F126" s="1" t="str">
        <f t="shared" si="18"/>
        <v>104.6063</v>
      </c>
      <c r="G126" s="1" t="str">
        <f t="shared" si="19"/>
        <v xml:space="preserve"> 17.1087</v>
      </c>
      <c r="I126" s="1" t="str">
        <f t="shared" si="22"/>
        <v>RT47</v>
      </c>
      <c r="J126" s="1" t="str">
        <f t="shared" si="23"/>
        <v>SG</v>
      </c>
      <c r="K126" s="1">
        <v>2033</v>
      </c>
      <c r="L126" s="1">
        <v>102</v>
      </c>
      <c r="M126" s="1" t="str">
        <f t="shared" si="24"/>
        <v xml:space="preserve"> 21+915</v>
      </c>
    </row>
    <row r="127" spans="1:13" x14ac:dyDescent="0.2">
      <c r="A127" t="s">
        <v>253</v>
      </c>
      <c r="B127" t="s">
        <v>254</v>
      </c>
      <c r="F127" s="1" t="str">
        <f t="shared" si="18"/>
        <v>104.6067</v>
      </c>
      <c r="G127" s="1" t="str">
        <f t="shared" si="19"/>
        <v xml:space="preserve"> 17.1090</v>
      </c>
      <c r="I127" s="1" t="str">
        <f t="shared" si="22"/>
        <v>RT48</v>
      </c>
      <c r="J127" s="1" t="str">
        <f t="shared" si="23"/>
        <v>SG</v>
      </c>
      <c r="K127" s="1">
        <v>2033</v>
      </c>
      <c r="L127" s="1">
        <v>102</v>
      </c>
      <c r="M127" s="1" t="str">
        <f t="shared" si="24"/>
        <v xml:space="preserve"> 21+965</v>
      </c>
    </row>
    <row r="128" spans="1:13" x14ac:dyDescent="0.2">
      <c r="A128" t="s">
        <v>255</v>
      </c>
      <c r="B128" t="s">
        <v>256</v>
      </c>
      <c r="F128" s="1" t="str">
        <f t="shared" si="18"/>
        <v>104.6070</v>
      </c>
      <c r="G128" s="1" t="str">
        <f t="shared" si="19"/>
        <v xml:space="preserve"> 17.1093</v>
      </c>
      <c r="I128" s="1" t="str">
        <f t="shared" si="22"/>
        <v>RT49</v>
      </c>
      <c r="J128" s="1" t="str">
        <f t="shared" si="23"/>
        <v>SG</v>
      </c>
      <c r="K128" s="1">
        <v>2033</v>
      </c>
      <c r="L128" s="1">
        <v>102</v>
      </c>
      <c r="M128" s="1" t="str">
        <f t="shared" si="24"/>
        <v xml:space="preserve"> 22+025</v>
      </c>
    </row>
    <row r="129" spans="1:13" x14ac:dyDescent="0.2">
      <c r="A129" t="s">
        <v>257</v>
      </c>
      <c r="B129" t="s">
        <v>258</v>
      </c>
      <c r="F129" s="1" t="str">
        <f t="shared" si="18"/>
        <v>104.6073</v>
      </c>
      <c r="G129" s="1" t="str">
        <f t="shared" si="19"/>
        <v xml:space="preserve"> 17.1097</v>
      </c>
      <c r="I129" s="1" t="str">
        <f t="shared" si="22"/>
        <v>RT50</v>
      </c>
      <c r="J129" s="1" t="str">
        <f t="shared" si="23"/>
        <v>SG</v>
      </c>
      <c r="K129" s="1">
        <v>2033</v>
      </c>
      <c r="L129" s="1">
        <v>102</v>
      </c>
      <c r="M129" s="1" t="str">
        <f t="shared" si="24"/>
        <v xml:space="preserve"> 22+075</v>
      </c>
    </row>
    <row r="130" spans="1:13" x14ac:dyDescent="0.2">
      <c r="A130" t="s">
        <v>259</v>
      </c>
      <c r="B130" t="s">
        <v>260</v>
      </c>
      <c r="F130" s="1" t="str">
        <f t="shared" si="18"/>
        <v>104.6075</v>
      </c>
      <c r="G130" s="1" t="str">
        <f t="shared" si="19"/>
        <v xml:space="preserve"> 17.1099</v>
      </c>
      <c r="I130" s="1" t="str">
        <f t="shared" si="22"/>
        <v>RT51</v>
      </c>
      <c r="J130" s="1" t="str">
        <f t="shared" si="23"/>
        <v>SG</v>
      </c>
      <c r="K130" s="1">
        <v>2033</v>
      </c>
      <c r="L130" s="1">
        <v>102</v>
      </c>
      <c r="M130" s="1" t="str">
        <f t="shared" si="24"/>
        <v xml:space="preserve"> 22+110</v>
      </c>
    </row>
    <row r="131" spans="1:13" x14ac:dyDescent="0.2">
      <c r="A131" t="s">
        <v>261</v>
      </c>
      <c r="B131" t="s">
        <v>262</v>
      </c>
      <c r="F131" s="1" t="str">
        <f t="shared" si="18"/>
        <v>104.6079</v>
      </c>
      <c r="G131" s="1" t="str">
        <f t="shared" si="19"/>
        <v xml:space="preserve"> 17.1103</v>
      </c>
      <c r="I131" s="1" t="str">
        <f t="shared" si="22"/>
        <v>RT52</v>
      </c>
      <c r="J131" s="1" t="str">
        <f t="shared" si="23"/>
        <v>SG</v>
      </c>
      <c r="K131" s="1">
        <v>2033</v>
      </c>
      <c r="L131" s="1">
        <v>102</v>
      </c>
      <c r="M131" s="1" t="str">
        <f t="shared" si="24"/>
        <v xml:space="preserve"> 22+170</v>
      </c>
    </row>
    <row r="132" spans="1:13" x14ac:dyDescent="0.2">
      <c r="A132" t="s">
        <v>263</v>
      </c>
      <c r="B132" t="s">
        <v>264</v>
      </c>
      <c r="F132" s="1" t="str">
        <f t="shared" si="18"/>
        <v>104.6082</v>
      </c>
      <c r="G132" s="1" t="str">
        <f t="shared" si="19"/>
        <v xml:space="preserve"> 17.1106</v>
      </c>
      <c r="I132" s="1" t="str">
        <f t="shared" si="22"/>
        <v>RT53</v>
      </c>
      <c r="J132" s="1" t="str">
        <f t="shared" si="23"/>
        <v>SG</v>
      </c>
      <c r="K132" s="1">
        <v>2033</v>
      </c>
      <c r="L132" s="1">
        <v>102</v>
      </c>
      <c r="M132" s="1" t="str">
        <f t="shared" si="24"/>
        <v xml:space="preserve"> 22+205</v>
      </c>
    </row>
    <row r="133" spans="1:13" x14ac:dyDescent="0.2">
      <c r="A133" t="s">
        <v>265</v>
      </c>
      <c r="B133" t="s">
        <v>266</v>
      </c>
      <c r="F133" s="1" t="str">
        <f t="shared" si="18"/>
        <v>104.6085</v>
      </c>
      <c r="G133" s="1" t="str">
        <f>MID(A133,18,7)</f>
        <v>17.1109</v>
      </c>
      <c r="I133" s="1" t="str">
        <f t="shared" si="22"/>
        <v>RT54</v>
      </c>
      <c r="J133" s="1" t="str">
        <f>MID(B133,6,2)</f>
        <v>SG</v>
      </c>
      <c r="K133" s="1">
        <v>2033</v>
      </c>
      <c r="L133" s="1">
        <v>102</v>
      </c>
      <c r="M133" s="1" t="str">
        <f t="shared" si="24"/>
        <v xml:space="preserve"> 22+230</v>
      </c>
    </row>
    <row r="134" spans="1:13" x14ac:dyDescent="0.2">
      <c r="A134" t="s">
        <v>267</v>
      </c>
      <c r="B134" t="s">
        <v>268</v>
      </c>
      <c r="F134" s="1" t="str">
        <f t="shared" si="18"/>
        <v>104.6088</v>
      </c>
      <c r="G134" s="1" t="str">
        <f t="shared" si="19"/>
        <v xml:space="preserve"> 17.1112</v>
      </c>
      <c r="I134" s="1" t="str">
        <f t="shared" si="22"/>
        <v>RT55</v>
      </c>
      <c r="J134" s="1" t="str">
        <f t="shared" si="23"/>
        <v>SG</v>
      </c>
      <c r="K134" s="1">
        <v>2033</v>
      </c>
      <c r="L134" s="1">
        <v>102</v>
      </c>
      <c r="M134" s="1" t="str">
        <f t="shared" si="24"/>
        <v xml:space="preserve"> 22+265</v>
      </c>
    </row>
    <row r="135" spans="1:13" x14ac:dyDescent="0.2">
      <c r="A135" t="s">
        <v>269</v>
      </c>
      <c r="B135" t="s">
        <v>270</v>
      </c>
      <c r="F135" s="1" t="str">
        <f t="shared" si="18"/>
        <v>104.6091</v>
      </c>
      <c r="G135" s="1" t="str">
        <f t="shared" si="19"/>
        <v xml:space="preserve"> 17.1115</v>
      </c>
      <c r="I135" s="1" t="str">
        <f t="shared" si="22"/>
        <v>RT56</v>
      </c>
      <c r="J135" s="1" t="str">
        <f t="shared" si="23"/>
        <v>SG</v>
      </c>
      <c r="K135" s="1">
        <v>2033</v>
      </c>
      <c r="L135" s="1">
        <v>102</v>
      </c>
      <c r="M135" s="1" t="str">
        <f t="shared" si="24"/>
        <v xml:space="preserve"> 22+325</v>
      </c>
    </row>
    <row r="136" spans="1:13" x14ac:dyDescent="0.2">
      <c r="A136" t="s">
        <v>271</v>
      </c>
      <c r="B136" t="s">
        <v>272</v>
      </c>
      <c r="F136" s="1" t="str">
        <f t="shared" si="18"/>
        <v>104.6094</v>
      </c>
      <c r="G136" s="1" t="str">
        <f t="shared" si="19"/>
        <v xml:space="preserve"> 17.1118</v>
      </c>
      <c r="I136" s="1" t="str">
        <f t="shared" si="22"/>
        <v>RT57</v>
      </c>
      <c r="J136" s="1" t="str">
        <f>MID(B136,6,2)</f>
        <v>SG</v>
      </c>
      <c r="K136" s="1">
        <v>2033</v>
      </c>
      <c r="L136" s="1">
        <v>102</v>
      </c>
      <c r="M136" s="1" t="str">
        <f t="shared" si="24"/>
        <v xml:space="preserve"> 22+375</v>
      </c>
    </row>
    <row r="137" spans="1:13" x14ac:dyDescent="0.2">
      <c r="A137" t="s">
        <v>273</v>
      </c>
      <c r="B137" t="s">
        <v>274</v>
      </c>
      <c r="F137" s="1" t="str">
        <f t="shared" si="18"/>
        <v>104.6097</v>
      </c>
      <c r="G137" s="1" t="str">
        <f t="shared" si="19"/>
        <v xml:space="preserve"> 17.1122</v>
      </c>
      <c r="I137" s="1" t="str">
        <f t="shared" si="22"/>
        <v>RT58</v>
      </c>
      <c r="J137" s="1" t="str">
        <f t="shared" ref="J137:J152" si="25">MID(B137,6,2)</f>
        <v>SG</v>
      </c>
      <c r="K137" s="1">
        <v>2033</v>
      </c>
      <c r="L137" s="1">
        <v>102</v>
      </c>
      <c r="M137" s="1" t="str">
        <f t="shared" si="24"/>
        <v xml:space="preserve"> 22+425</v>
      </c>
    </row>
    <row r="138" spans="1:13" x14ac:dyDescent="0.2">
      <c r="A138" t="s">
        <v>275</v>
      </c>
      <c r="B138" t="s">
        <v>276</v>
      </c>
      <c r="F138" s="1" t="str">
        <f t="shared" si="18"/>
        <v>104.6100</v>
      </c>
      <c r="G138" s="1" t="str">
        <f t="shared" si="19"/>
        <v xml:space="preserve"> 17.1125</v>
      </c>
      <c r="I138" s="1" t="str">
        <f t="shared" si="22"/>
        <v>RT59</v>
      </c>
      <c r="J138" s="1" t="str">
        <f t="shared" si="25"/>
        <v>SG</v>
      </c>
      <c r="K138" s="1">
        <v>2033</v>
      </c>
      <c r="L138" s="1">
        <v>102</v>
      </c>
      <c r="M138" s="1" t="str">
        <f t="shared" si="24"/>
        <v xml:space="preserve"> 22+475</v>
      </c>
    </row>
    <row r="139" spans="1:13" x14ac:dyDescent="0.2">
      <c r="A139" t="s">
        <v>277</v>
      </c>
      <c r="B139" t="s">
        <v>278</v>
      </c>
      <c r="F139" s="1" t="str">
        <f t="shared" si="18"/>
        <v>104.6104</v>
      </c>
      <c r="G139" s="1" t="str">
        <f t="shared" si="19"/>
        <v xml:space="preserve"> 17.1128</v>
      </c>
      <c r="I139" s="1" t="str">
        <f t="shared" si="22"/>
        <v>RT60</v>
      </c>
      <c r="J139" s="1" t="str">
        <f t="shared" si="25"/>
        <v>SG</v>
      </c>
      <c r="K139" s="1">
        <v>2033</v>
      </c>
      <c r="L139" s="1">
        <v>102</v>
      </c>
      <c r="M139" s="1" t="str">
        <f t="shared" si="24"/>
        <v xml:space="preserve"> 22+525</v>
      </c>
    </row>
    <row r="140" spans="1:13" x14ac:dyDescent="0.2">
      <c r="A140" t="s">
        <v>279</v>
      </c>
      <c r="B140" t="s">
        <v>280</v>
      </c>
      <c r="F140" s="1" t="str">
        <f t="shared" si="18"/>
        <v>104.6107</v>
      </c>
      <c r="G140" s="1" t="str">
        <f t="shared" si="19"/>
        <v xml:space="preserve"> 17.1131</v>
      </c>
      <c r="I140" s="1" t="str">
        <f t="shared" si="22"/>
        <v>RT61</v>
      </c>
      <c r="J140" s="1" t="str">
        <f t="shared" si="25"/>
        <v>SG</v>
      </c>
      <c r="K140" s="1">
        <v>2033</v>
      </c>
      <c r="L140" s="1">
        <v>102</v>
      </c>
      <c r="M140" s="1" t="str">
        <f t="shared" si="24"/>
        <v xml:space="preserve"> 22+575</v>
      </c>
    </row>
    <row r="141" spans="1:13" x14ac:dyDescent="0.2">
      <c r="A141" t="s">
        <v>281</v>
      </c>
      <c r="B141" t="s">
        <v>282</v>
      </c>
      <c r="F141" s="1" t="str">
        <f t="shared" si="18"/>
        <v>104.6110</v>
      </c>
      <c r="G141" s="1" t="str">
        <f t="shared" si="19"/>
        <v xml:space="preserve"> 17.1134</v>
      </c>
      <c r="I141" s="1" t="str">
        <f t="shared" si="22"/>
        <v>RT62</v>
      </c>
      <c r="J141" s="1" t="str">
        <f t="shared" si="25"/>
        <v>SG</v>
      </c>
      <c r="K141" s="1">
        <v>2033</v>
      </c>
      <c r="L141" s="1">
        <v>102</v>
      </c>
      <c r="M141" s="1" t="str">
        <f t="shared" si="24"/>
        <v xml:space="preserve"> 22+625</v>
      </c>
    </row>
    <row r="142" spans="1:13" x14ac:dyDescent="0.2">
      <c r="A142" t="s">
        <v>283</v>
      </c>
      <c r="B142" t="s">
        <v>284</v>
      </c>
      <c r="F142" s="1" t="str">
        <f t="shared" si="18"/>
        <v>104.6113</v>
      </c>
      <c r="G142" s="1" t="str">
        <f t="shared" si="19"/>
        <v xml:space="preserve"> 17.1138</v>
      </c>
      <c r="I142" s="1" t="str">
        <f t="shared" si="22"/>
        <v>RT63</v>
      </c>
      <c r="J142" s="1" t="str">
        <f t="shared" si="25"/>
        <v>SG</v>
      </c>
      <c r="K142" s="1">
        <v>2033</v>
      </c>
      <c r="L142" s="1">
        <v>102</v>
      </c>
      <c r="M142" s="1" t="str">
        <f t="shared" si="24"/>
        <v xml:space="preserve"> 22+675</v>
      </c>
    </row>
    <row r="143" spans="1:13" x14ac:dyDescent="0.2">
      <c r="A143" t="s">
        <v>285</v>
      </c>
      <c r="B143" t="s">
        <v>286</v>
      </c>
      <c r="F143" s="1" t="str">
        <f t="shared" si="18"/>
        <v>104.6116</v>
      </c>
      <c r="G143" s="1" t="str">
        <f t="shared" si="19"/>
        <v xml:space="preserve"> 17.1141</v>
      </c>
      <c r="I143" s="1" t="str">
        <f t="shared" ref="I143:I179" si="26">MID(B143,1,4)</f>
        <v>RT64</v>
      </c>
      <c r="J143" s="1" t="str">
        <f t="shared" si="25"/>
        <v>SG</v>
      </c>
      <c r="K143" s="1">
        <v>2033</v>
      </c>
      <c r="L143" s="1">
        <v>102</v>
      </c>
      <c r="M143" s="1" t="str">
        <f t="shared" si="24"/>
        <v xml:space="preserve"> 22+725</v>
      </c>
    </row>
    <row r="144" spans="1:13" x14ac:dyDescent="0.2">
      <c r="A144" t="s">
        <v>287</v>
      </c>
      <c r="B144" t="s">
        <v>288</v>
      </c>
      <c r="F144" s="1" t="str">
        <f t="shared" si="18"/>
        <v>104.6119</v>
      </c>
      <c r="G144" s="1" t="str">
        <f t="shared" si="19"/>
        <v xml:space="preserve"> 17.1144</v>
      </c>
      <c r="I144" s="1" t="str">
        <f t="shared" si="26"/>
        <v>RT65</v>
      </c>
      <c r="J144" s="1" t="str">
        <f t="shared" si="25"/>
        <v>SG</v>
      </c>
      <c r="K144" s="1">
        <v>2033</v>
      </c>
      <c r="L144" s="1">
        <v>102</v>
      </c>
      <c r="M144" s="1" t="str">
        <f t="shared" si="24"/>
        <v xml:space="preserve"> 22+775</v>
      </c>
    </row>
    <row r="145" spans="1:13" x14ac:dyDescent="0.2">
      <c r="A145" t="s">
        <v>289</v>
      </c>
      <c r="B145" t="s">
        <v>290</v>
      </c>
      <c r="F145" s="1" t="str">
        <f t="shared" ref="F145:F204" si="27">MID(A145,8,8)</f>
        <v>104.6122</v>
      </c>
      <c r="G145" s="1" t="str">
        <f>MID(A145,18,7)</f>
        <v>17.1147</v>
      </c>
      <c r="I145" s="1" t="str">
        <f t="shared" si="26"/>
        <v>RT66</v>
      </c>
      <c r="J145" s="1" t="str">
        <f t="shared" si="25"/>
        <v>SG</v>
      </c>
      <c r="K145" s="1">
        <v>2033</v>
      </c>
      <c r="L145" s="1">
        <v>102</v>
      </c>
      <c r="M145" s="1" t="str">
        <f t="shared" si="24"/>
        <v xml:space="preserve"> 22+825</v>
      </c>
    </row>
    <row r="146" spans="1:13" x14ac:dyDescent="0.2">
      <c r="A146" t="s">
        <v>291</v>
      </c>
      <c r="B146" t="s">
        <v>292</v>
      </c>
      <c r="F146" s="1" t="str">
        <f t="shared" si="27"/>
        <v>104.6126</v>
      </c>
      <c r="G146" s="1" t="str">
        <f t="shared" ref="G146:G204" si="28">MID(A146,18,8)</f>
        <v xml:space="preserve"> 17.1151</v>
      </c>
      <c r="I146" s="1" t="str">
        <f t="shared" si="26"/>
        <v>RT67</v>
      </c>
      <c r="J146" s="1" t="str">
        <f t="shared" si="25"/>
        <v>SG</v>
      </c>
      <c r="K146" s="1">
        <v>2033</v>
      </c>
      <c r="L146" s="1">
        <v>102</v>
      </c>
      <c r="M146" s="1" t="str">
        <f t="shared" si="24"/>
        <v xml:space="preserve"> 22+875</v>
      </c>
    </row>
    <row r="147" spans="1:13" x14ac:dyDescent="0.2">
      <c r="A147" t="s">
        <v>293</v>
      </c>
      <c r="B147" t="s">
        <v>294</v>
      </c>
      <c r="F147" s="1" t="str">
        <f t="shared" si="27"/>
        <v>104.6128</v>
      </c>
      <c r="G147" s="1" t="str">
        <f t="shared" si="28"/>
        <v xml:space="preserve"> 17.1153</v>
      </c>
      <c r="I147" s="1" t="str">
        <f t="shared" si="26"/>
        <v>RT68</v>
      </c>
      <c r="J147" s="1" t="str">
        <f t="shared" si="25"/>
        <v>SG</v>
      </c>
      <c r="K147" s="1">
        <v>2033</v>
      </c>
      <c r="L147" s="1">
        <v>102</v>
      </c>
      <c r="M147" s="1" t="str">
        <f t="shared" si="24"/>
        <v xml:space="preserve"> 22+925</v>
      </c>
    </row>
    <row r="148" spans="1:13" x14ac:dyDescent="0.2">
      <c r="A148" t="s">
        <v>295</v>
      </c>
      <c r="B148" t="s">
        <v>296</v>
      </c>
      <c r="F148" s="1" t="str">
        <f t="shared" si="27"/>
        <v>104.6132</v>
      </c>
      <c r="G148" s="1" t="str">
        <f t="shared" si="28"/>
        <v xml:space="preserve"> 17.1156</v>
      </c>
      <c r="I148" s="1" t="str">
        <f t="shared" si="26"/>
        <v>RT69</v>
      </c>
      <c r="J148" s="1" t="str">
        <f t="shared" si="25"/>
        <v>SG</v>
      </c>
      <c r="K148" s="1">
        <v>2033</v>
      </c>
      <c r="L148" s="1">
        <v>102</v>
      </c>
      <c r="M148" s="1" t="str">
        <f t="shared" si="24"/>
        <v xml:space="preserve"> 22+975</v>
      </c>
    </row>
    <row r="149" spans="1:13" x14ac:dyDescent="0.2">
      <c r="A149" t="s">
        <v>297</v>
      </c>
      <c r="B149" t="s">
        <v>298</v>
      </c>
      <c r="F149" s="1" t="str">
        <f t="shared" si="27"/>
        <v>104.6134</v>
      </c>
      <c r="G149" s="1" t="str">
        <f t="shared" si="28"/>
        <v xml:space="preserve"> 17.1159</v>
      </c>
      <c r="I149" s="1" t="str">
        <f t="shared" si="26"/>
        <v>RT70</v>
      </c>
      <c r="J149" s="1" t="str">
        <f t="shared" si="25"/>
        <v>SG</v>
      </c>
      <c r="K149" s="1">
        <v>2033</v>
      </c>
      <c r="L149" s="1">
        <v>102</v>
      </c>
      <c r="M149" s="1" t="str">
        <f t="shared" si="24"/>
        <v xml:space="preserve"> 23+025</v>
      </c>
    </row>
    <row r="150" spans="1:13" x14ac:dyDescent="0.2">
      <c r="A150" t="s">
        <v>299</v>
      </c>
      <c r="B150" t="s">
        <v>300</v>
      </c>
      <c r="F150" s="1" t="str">
        <f t="shared" si="27"/>
        <v>104.6138</v>
      </c>
      <c r="G150" s="1" t="str">
        <f t="shared" si="28"/>
        <v xml:space="preserve"> 17.1163</v>
      </c>
      <c r="I150" s="1" t="str">
        <f t="shared" si="26"/>
        <v>RT71</v>
      </c>
      <c r="J150" s="1" t="str">
        <f t="shared" si="25"/>
        <v>SG</v>
      </c>
      <c r="K150" s="1">
        <v>2033</v>
      </c>
      <c r="L150" s="1">
        <v>102</v>
      </c>
      <c r="M150" s="1" t="str">
        <f t="shared" si="24"/>
        <v xml:space="preserve"> 23+075</v>
      </c>
    </row>
    <row r="151" spans="1:13" x14ac:dyDescent="0.2">
      <c r="A151" t="s">
        <v>301</v>
      </c>
      <c r="B151" t="s">
        <v>302</v>
      </c>
      <c r="F151" s="1" t="str">
        <f t="shared" si="27"/>
        <v>104.6141</v>
      </c>
      <c r="G151" s="1" t="str">
        <f t="shared" si="28"/>
        <v xml:space="preserve"> 17.1166</v>
      </c>
      <c r="I151" s="1" t="str">
        <f t="shared" si="26"/>
        <v>RT72</v>
      </c>
      <c r="J151" s="1" t="str">
        <f t="shared" si="25"/>
        <v>SG</v>
      </c>
      <c r="K151" s="1">
        <v>2033</v>
      </c>
      <c r="L151" s="1">
        <v>102</v>
      </c>
      <c r="M151" s="1" t="str">
        <f t="shared" si="24"/>
        <v xml:space="preserve"> 23+125</v>
      </c>
    </row>
    <row r="152" spans="1:13" x14ac:dyDescent="0.2">
      <c r="A152" t="s">
        <v>303</v>
      </c>
      <c r="B152" t="s">
        <v>304</v>
      </c>
      <c r="F152" s="1" t="str">
        <f t="shared" si="27"/>
        <v>104.6144</v>
      </c>
      <c r="G152" s="1" t="str">
        <f t="shared" si="28"/>
        <v xml:space="preserve"> 17.1169</v>
      </c>
      <c r="I152" s="1" t="str">
        <f t="shared" si="26"/>
        <v>RT73</v>
      </c>
      <c r="J152" s="1" t="str">
        <f t="shared" si="25"/>
        <v>SG</v>
      </c>
      <c r="K152" s="1">
        <v>2033</v>
      </c>
      <c r="L152" s="1">
        <v>102</v>
      </c>
      <c r="M152" s="1" t="str">
        <f t="shared" si="24"/>
        <v xml:space="preserve"> 23+175</v>
      </c>
    </row>
    <row r="153" spans="1:13" x14ac:dyDescent="0.2">
      <c r="A153" t="s">
        <v>305</v>
      </c>
      <c r="B153" t="s">
        <v>306</v>
      </c>
      <c r="F153" s="1" t="str">
        <f t="shared" si="27"/>
        <v>104.6148</v>
      </c>
      <c r="G153" s="1" t="str">
        <f t="shared" si="28"/>
        <v xml:space="preserve"> 17.1173</v>
      </c>
      <c r="I153" s="1" t="str">
        <f t="shared" si="26"/>
        <v>RT74</v>
      </c>
      <c r="J153" s="1" t="str">
        <f>MID(B153,6,2)</f>
        <v>SG</v>
      </c>
      <c r="K153" s="1">
        <v>2033</v>
      </c>
      <c r="L153" s="1">
        <v>102</v>
      </c>
      <c r="M153" s="1" t="str">
        <f t="shared" si="24"/>
        <v xml:space="preserve"> 23+225</v>
      </c>
    </row>
    <row r="154" spans="1:13" x14ac:dyDescent="0.2">
      <c r="A154" t="s">
        <v>307</v>
      </c>
      <c r="B154" t="s">
        <v>308</v>
      </c>
      <c r="F154" s="1" t="str">
        <f t="shared" si="27"/>
        <v>104.6267</v>
      </c>
      <c r="G154" s="1" t="str">
        <f t="shared" si="28"/>
        <v xml:space="preserve"> 17.1341</v>
      </c>
      <c r="I154" s="1" t="str">
        <f t="shared" si="26"/>
        <v>RT75</v>
      </c>
      <c r="J154" s="1" t="str">
        <f t="shared" ref="J154:J175" si="29">MID(B154,6,2)</f>
        <v>SG</v>
      </c>
      <c r="K154" s="1">
        <v>2033</v>
      </c>
      <c r="L154" s="1">
        <v>102</v>
      </c>
      <c r="M154" s="1" t="str">
        <f t="shared" si="24"/>
        <v xml:space="preserve"> 25+560</v>
      </c>
    </row>
    <row r="155" spans="1:13" x14ac:dyDescent="0.2">
      <c r="A155" t="s">
        <v>309</v>
      </c>
      <c r="B155" t="s">
        <v>310</v>
      </c>
      <c r="F155" s="1" t="str">
        <f t="shared" si="27"/>
        <v>104.6270</v>
      </c>
      <c r="G155" s="1" t="str">
        <f t="shared" si="28"/>
        <v xml:space="preserve"> 17.1344</v>
      </c>
      <c r="I155" s="1" t="str">
        <f t="shared" si="26"/>
        <v>RT76</v>
      </c>
      <c r="J155" s="1" t="str">
        <f t="shared" si="29"/>
        <v>SG</v>
      </c>
      <c r="K155" s="1">
        <v>2033</v>
      </c>
      <c r="L155" s="1">
        <v>102</v>
      </c>
      <c r="M155" s="1" t="str">
        <f t="shared" si="24"/>
        <v xml:space="preserve"> 25+600</v>
      </c>
    </row>
    <row r="156" spans="1:13" x14ac:dyDescent="0.2">
      <c r="A156" t="s">
        <v>311</v>
      </c>
      <c r="B156" t="s">
        <v>312</v>
      </c>
      <c r="F156" s="1" t="str">
        <f t="shared" si="27"/>
        <v>104.6272</v>
      </c>
      <c r="G156" s="1" t="str">
        <f t="shared" si="28"/>
        <v xml:space="preserve"> 17.1347</v>
      </c>
      <c r="I156" s="1" t="str">
        <f t="shared" si="26"/>
        <v>RT77</v>
      </c>
      <c r="J156" s="1" t="str">
        <f t="shared" si="29"/>
        <v>SG</v>
      </c>
      <c r="K156" s="1">
        <v>2033</v>
      </c>
      <c r="L156" s="1">
        <v>102</v>
      </c>
      <c r="M156" s="1" t="str">
        <f t="shared" si="24"/>
        <v xml:space="preserve"> 25+650</v>
      </c>
    </row>
    <row r="157" spans="1:13" x14ac:dyDescent="0.2">
      <c r="A157" t="s">
        <v>313</v>
      </c>
      <c r="B157" t="s">
        <v>314</v>
      </c>
      <c r="F157" s="1" t="str">
        <f t="shared" si="27"/>
        <v>104.6276</v>
      </c>
      <c r="G157" s="1" t="str">
        <f t="shared" si="28"/>
        <v xml:space="preserve"> 17.1350</v>
      </c>
      <c r="I157" s="1" t="str">
        <f t="shared" si="26"/>
        <v>RT78</v>
      </c>
      <c r="J157" s="1" t="str">
        <f t="shared" si="29"/>
        <v>SG</v>
      </c>
      <c r="K157" s="1">
        <v>2033</v>
      </c>
      <c r="L157" s="1">
        <v>102</v>
      </c>
      <c r="M157" s="1" t="str">
        <f t="shared" si="24"/>
        <v xml:space="preserve"> 25+700</v>
      </c>
    </row>
    <row r="158" spans="1:13" x14ac:dyDescent="0.2">
      <c r="A158" t="s">
        <v>315</v>
      </c>
      <c r="B158" t="s">
        <v>316</v>
      </c>
      <c r="F158" s="1" t="str">
        <f t="shared" si="27"/>
        <v>104.6424</v>
      </c>
      <c r="G158" s="1" t="str">
        <f t="shared" si="28"/>
        <v xml:space="preserve"> 17.1505</v>
      </c>
      <c r="I158" s="1" t="str">
        <f t="shared" si="26"/>
        <v>RT79</v>
      </c>
      <c r="J158" s="1" t="str">
        <f>MID(B158,5,2)</f>
        <v>SG</v>
      </c>
      <c r="K158" s="1">
        <v>2033</v>
      </c>
      <c r="L158" s="1">
        <v>102</v>
      </c>
      <c r="M158" s="1" t="str">
        <f t="shared" si="24"/>
        <v>28+040</v>
      </c>
    </row>
    <row r="159" spans="1:13" x14ac:dyDescent="0.2">
      <c r="A159" t="s">
        <v>317</v>
      </c>
      <c r="B159" t="s">
        <v>318</v>
      </c>
      <c r="F159" s="1" t="str">
        <f t="shared" si="27"/>
        <v>104.6427</v>
      </c>
      <c r="G159" s="1" t="str">
        <f t="shared" si="28"/>
        <v xml:space="preserve"> 17.1509</v>
      </c>
      <c r="I159" s="1" t="str">
        <f t="shared" si="26"/>
        <v>RT80</v>
      </c>
      <c r="J159" s="1" t="str">
        <f t="shared" si="29"/>
        <v>SG</v>
      </c>
      <c r="K159" s="1">
        <v>2033</v>
      </c>
      <c r="L159" s="1">
        <v>102</v>
      </c>
      <c r="M159" s="1" t="str">
        <f t="shared" si="24"/>
        <v xml:space="preserve"> 28+085</v>
      </c>
    </row>
    <row r="160" spans="1:13" x14ac:dyDescent="0.2">
      <c r="A160" t="s">
        <v>319</v>
      </c>
      <c r="B160" t="s">
        <v>320</v>
      </c>
      <c r="F160" s="1" t="str">
        <f t="shared" si="27"/>
        <v>104.6429</v>
      </c>
      <c r="G160" s="1" t="str">
        <f t="shared" si="28"/>
        <v xml:space="preserve"> 17.1512</v>
      </c>
      <c r="I160" s="1" t="str">
        <f t="shared" si="26"/>
        <v>RT81</v>
      </c>
      <c r="J160" s="1" t="str">
        <f t="shared" si="29"/>
        <v>SG</v>
      </c>
      <c r="K160" s="1">
        <v>2033</v>
      </c>
      <c r="L160" s="1">
        <v>102</v>
      </c>
      <c r="M160" s="1" t="str">
        <f t="shared" si="24"/>
        <v xml:space="preserve"> 28+130</v>
      </c>
    </row>
    <row r="161" spans="1:13" x14ac:dyDescent="0.2">
      <c r="A161" t="s">
        <v>321</v>
      </c>
      <c r="B161" t="s">
        <v>322</v>
      </c>
      <c r="F161" s="1" t="str">
        <f t="shared" si="27"/>
        <v>104.6431</v>
      </c>
      <c r="G161" s="1" t="str">
        <f t="shared" si="28"/>
        <v xml:space="preserve"> 17.1515</v>
      </c>
      <c r="I161" s="1" t="str">
        <f t="shared" si="26"/>
        <v>RT82</v>
      </c>
      <c r="J161" s="1" t="str">
        <f t="shared" si="29"/>
        <v>SG</v>
      </c>
      <c r="K161" s="1">
        <v>2033</v>
      </c>
      <c r="L161" s="1">
        <v>102</v>
      </c>
      <c r="M161" s="1" t="str">
        <f t="shared" si="24"/>
        <v xml:space="preserve"> 28+175</v>
      </c>
    </row>
    <row r="162" spans="1:13" x14ac:dyDescent="0.2">
      <c r="A162" t="s">
        <v>323</v>
      </c>
      <c r="B162" t="s">
        <v>324</v>
      </c>
      <c r="F162" s="1" t="str">
        <f t="shared" si="27"/>
        <v>104.6433</v>
      </c>
      <c r="G162" s="1" t="str">
        <f t="shared" si="28"/>
        <v xml:space="preserve"> 17.1519</v>
      </c>
      <c r="I162" s="1" t="str">
        <f t="shared" si="26"/>
        <v>RT83</v>
      </c>
      <c r="J162" s="1" t="str">
        <f t="shared" si="29"/>
        <v>SG</v>
      </c>
      <c r="K162" s="1">
        <v>2033</v>
      </c>
      <c r="L162" s="1">
        <v>102</v>
      </c>
      <c r="M162" s="1" t="str">
        <f t="shared" si="24"/>
        <v xml:space="preserve"> 28+220</v>
      </c>
    </row>
    <row r="163" spans="1:13" x14ac:dyDescent="0.2">
      <c r="A163" t="s">
        <v>325</v>
      </c>
      <c r="B163" t="s">
        <v>326</v>
      </c>
      <c r="F163" s="1" t="str">
        <f t="shared" si="27"/>
        <v>104.6437</v>
      </c>
      <c r="G163" s="1" t="str">
        <f t="shared" si="28"/>
        <v xml:space="preserve"> 17.1523</v>
      </c>
      <c r="I163" s="1" t="str">
        <f t="shared" si="26"/>
        <v>RT84</v>
      </c>
      <c r="J163" s="1" t="str">
        <f t="shared" si="29"/>
        <v>SG</v>
      </c>
      <c r="K163" s="1">
        <v>2033</v>
      </c>
      <c r="L163" s="1">
        <v>102</v>
      </c>
      <c r="M163" s="1" t="str">
        <f t="shared" si="24"/>
        <v xml:space="preserve"> 28+265</v>
      </c>
    </row>
    <row r="164" spans="1:13" x14ac:dyDescent="0.2">
      <c r="A164" t="s">
        <v>327</v>
      </c>
      <c r="B164" t="s">
        <v>328</v>
      </c>
      <c r="F164" s="1" t="str">
        <f t="shared" si="27"/>
        <v>104.6439</v>
      </c>
      <c r="G164" s="1" t="str">
        <f>MID(A164,18,7)</f>
        <v>17.1527</v>
      </c>
      <c r="I164" s="1" t="str">
        <f t="shared" si="26"/>
        <v>RT85</v>
      </c>
      <c r="J164" s="1" t="str">
        <f t="shared" si="29"/>
        <v>SG</v>
      </c>
      <c r="K164" s="1">
        <v>2033</v>
      </c>
      <c r="L164" s="1">
        <v>102</v>
      </c>
      <c r="M164" s="1" t="str">
        <f t="shared" si="24"/>
        <v xml:space="preserve"> 28+310</v>
      </c>
    </row>
    <row r="165" spans="1:13" x14ac:dyDescent="0.2">
      <c r="A165" t="s">
        <v>329</v>
      </c>
      <c r="B165" t="s">
        <v>330</v>
      </c>
      <c r="F165" s="1" t="str">
        <f t="shared" si="27"/>
        <v>104.6441</v>
      </c>
      <c r="G165" s="1" t="str">
        <f>MID(A165,18,7)</f>
        <v>17.1530</v>
      </c>
      <c r="I165" s="1" t="str">
        <f t="shared" si="26"/>
        <v>RT86</v>
      </c>
      <c r="J165" s="1" t="str">
        <f t="shared" si="29"/>
        <v>SG</v>
      </c>
      <c r="K165" s="1">
        <v>2033</v>
      </c>
      <c r="L165" s="1">
        <v>102</v>
      </c>
      <c r="M165" s="1" t="str">
        <f t="shared" si="24"/>
        <v xml:space="preserve"> 28+355</v>
      </c>
    </row>
    <row r="166" spans="1:13" x14ac:dyDescent="0.2">
      <c r="A166" t="s">
        <v>331</v>
      </c>
      <c r="B166" t="s">
        <v>332</v>
      </c>
      <c r="F166" s="1" t="str">
        <f t="shared" si="27"/>
        <v>104.6444</v>
      </c>
      <c r="G166" s="1" t="str">
        <f t="shared" si="28"/>
        <v xml:space="preserve"> 17.1534</v>
      </c>
      <c r="I166" s="1" t="str">
        <f t="shared" si="26"/>
        <v>RT87</v>
      </c>
      <c r="J166" s="1" t="str">
        <f t="shared" si="29"/>
        <v>SG</v>
      </c>
      <c r="K166" s="1">
        <v>2033</v>
      </c>
      <c r="L166" s="1">
        <v>102</v>
      </c>
      <c r="M166" s="1" t="str">
        <f t="shared" si="24"/>
        <v xml:space="preserve"> 28+400</v>
      </c>
    </row>
    <row r="167" spans="1:13" x14ac:dyDescent="0.2">
      <c r="A167" t="s">
        <v>333</v>
      </c>
      <c r="B167" t="s">
        <v>334</v>
      </c>
      <c r="F167" s="1" t="str">
        <f t="shared" si="27"/>
        <v>104.6446</v>
      </c>
      <c r="G167" s="1" t="str">
        <f t="shared" si="28"/>
        <v xml:space="preserve"> 17.1537</v>
      </c>
      <c r="I167" s="1" t="str">
        <f t="shared" si="26"/>
        <v>RT88</v>
      </c>
      <c r="J167" s="1" t="str">
        <f t="shared" si="29"/>
        <v>SG</v>
      </c>
      <c r="K167" s="1">
        <v>2033</v>
      </c>
      <c r="L167" s="1">
        <v>102</v>
      </c>
      <c r="M167" s="1" t="str">
        <f t="shared" si="24"/>
        <v xml:space="preserve"> 28+445</v>
      </c>
    </row>
    <row r="168" spans="1:13" x14ac:dyDescent="0.2">
      <c r="A168" t="s">
        <v>335</v>
      </c>
      <c r="B168" t="s">
        <v>336</v>
      </c>
      <c r="F168" s="1" t="str">
        <f t="shared" si="27"/>
        <v>104.6448</v>
      </c>
      <c r="G168" s="1" t="str">
        <f t="shared" si="28"/>
        <v xml:space="preserve"> 17.1541</v>
      </c>
      <c r="I168" s="1" t="str">
        <f t="shared" si="26"/>
        <v>RT89</v>
      </c>
      <c r="J168" s="1" t="str">
        <f t="shared" si="29"/>
        <v>SG</v>
      </c>
      <c r="K168" s="1">
        <v>2033</v>
      </c>
      <c r="L168" s="1">
        <v>102</v>
      </c>
      <c r="M168" s="1" t="str">
        <f t="shared" si="24"/>
        <v xml:space="preserve"> 28+490</v>
      </c>
    </row>
    <row r="169" spans="1:13" x14ac:dyDescent="0.2">
      <c r="A169" t="s">
        <v>337</v>
      </c>
      <c r="B169" t="s">
        <v>338</v>
      </c>
      <c r="F169" s="1" t="str">
        <f t="shared" si="27"/>
        <v>104.6451</v>
      </c>
      <c r="G169" s="1" t="str">
        <f t="shared" si="28"/>
        <v xml:space="preserve"> 17.1544</v>
      </c>
      <c r="I169" s="1" t="str">
        <f t="shared" si="26"/>
        <v>RT90</v>
      </c>
      <c r="J169" s="1" t="str">
        <f t="shared" si="29"/>
        <v>SG</v>
      </c>
      <c r="K169" s="1">
        <v>2033</v>
      </c>
      <c r="L169" s="1">
        <v>102</v>
      </c>
      <c r="M169" s="1" t="str">
        <f t="shared" si="24"/>
        <v xml:space="preserve"> 28+535</v>
      </c>
    </row>
    <row r="170" spans="1:13" x14ac:dyDescent="0.2">
      <c r="A170" t="s">
        <v>339</v>
      </c>
      <c r="B170" t="s">
        <v>340</v>
      </c>
      <c r="F170" s="1" t="str">
        <f t="shared" si="27"/>
        <v>104.6453</v>
      </c>
      <c r="G170" s="1" t="str">
        <f t="shared" si="28"/>
        <v xml:space="preserve"> 17.1547</v>
      </c>
      <c r="I170" s="1" t="str">
        <f t="shared" si="26"/>
        <v>RT91</v>
      </c>
      <c r="J170" s="1" t="str">
        <f>MID(B170,6,2)</f>
        <v>SG</v>
      </c>
      <c r="K170" s="1">
        <v>2033</v>
      </c>
      <c r="L170" s="1">
        <v>102</v>
      </c>
      <c r="M170" s="1" t="str">
        <f t="shared" si="24"/>
        <v xml:space="preserve"> 28+580</v>
      </c>
    </row>
    <row r="171" spans="1:13" x14ac:dyDescent="0.2">
      <c r="A171" t="s">
        <v>341</v>
      </c>
      <c r="B171" t="s">
        <v>342</v>
      </c>
      <c r="F171" s="1" t="str">
        <f t="shared" si="27"/>
        <v>104.6455</v>
      </c>
      <c r="G171" s="1" t="str">
        <f t="shared" si="28"/>
        <v xml:space="preserve"> 17.1550</v>
      </c>
      <c r="I171" s="1" t="str">
        <f t="shared" si="26"/>
        <v>RT92</v>
      </c>
      <c r="J171" s="1" t="str">
        <f t="shared" si="29"/>
        <v>SG</v>
      </c>
      <c r="K171" s="1">
        <v>2033</v>
      </c>
      <c r="L171" s="1">
        <v>102</v>
      </c>
      <c r="M171" s="1" t="str">
        <f t="shared" si="24"/>
        <v xml:space="preserve"> 28+625</v>
      </c>
    </row>
    <row r="172" spans="1:13" x14ac:dyDescent="0.2">
      <c r="A172" t="s">
        <v>343</v>
      </c>
      <c r="B172" t="s">
        <v>344</v>
      </c>
      <c r="F172" s="1" t="str">
        <f t="shared" si="27"/>
        <v>104.6457</v>
      </c>
      <c r="G172" s="1" t="str">
        <f t="shared" si="28"/>
        <v xml:space="preserve"> 17.1553</v>
      </c>
      <c r="I172" s="1" t="str">
        <f t="shared" si="26"/>
        <v>RT93</v>
      </c>
      <c r="J172" s="1" t="str">
        <f t="shared" si="29"/>
        <v>SG</v>
      </c>
      <c r="K172" s="1">
        <v>2033</v>
      </c>
      <c r="L172" s="1">
        <v>102</v>
      </c>
      <c r="M172" s="1" t="str">
        <f t="shared" si="24"/>
        <v xml:space="preserve"> 28+670</v>
      </c>
    </row>
    <row r="173" spans="1:13" x14ac:dyDescent="0.2">
      <c r="A173" t="s">
        <v>345</v>
      </c>
      <c r="B173" t="s">
        <v>346</v>
      </c>
      <c r="F173" s="1" t="str">
        <f t="shared" si="27"/>
        <v>104.6460</v>
      </c>
      <c r="G173" s="1" t="str">
        <f t="shared" si="28"/>
        <v xml:space="preserve"> 17.1557</v>
      </c>
      <c r="I173" s="1" t="str">
        <f t="shared" si="26"/>
        <v>RT94</v>
      </c>
      <c r="J173" s="1" t="str">
        <f t="shared" si="29"/>
        <v>SG</v>
      </c>
      <c r="K173" s="1">
        <v>2033</v>
      </c>
      <c r="L173" s="1">
        <v>102</v>
      </c>
      <c r="M173" s="1" t="str">
        <f t="shared" si="24"/>
        <v xml:space="preserve"> 28+715</v>
      </c>
    </row>
    <row r="174" spans="1:13" x14ac:dyDescent="0.2">
      <c r="A174" t="s">
        <v>347</v>
      </c>
      <c r="B174" t="s">
        <v>348</v>
      </c>
      <c r="F174" s="1" t="str">
        <f t="shared" si="27"/>
        <v>104.6462</v>
      </c>
      <c r="G174" s="1" t="str">
        <f t="shared" si="28"/>
        <v xml:space="preserve"> 17.1561</v>
      </c>
      <c r="I174" s="1" t="str">
        <f t="shared" si="26"/>
        <v>RT95</v>
      </c>
      <c r="J174" s="1" t="str">
        <f t="shared" si="29"/>
        <v>SG</v>
      </c>
      <c r="K174" s="1">
        <v>2033</v>
      </c>
      <c r="L174" s="1">
        <v>102</v>
      </c>
      <c r="M174" s="1" t="str">
        <f t="shared" si="24"/>
        <v xml:space="preserve"> 28+760</v>
      </c>
    </row>
    <row r="175" spans="1:13" x14ac:dyDescent="0.2">
      <c r="A175" t="s">
        <v>349</v>
      </c>
      <c r="B175" t="s">
        <v>350</v>
      </c>
      <c r="F175" s="1" t="str">
        <f t="shared" si="27"/>
        <v>104.6464</v>
      </c>
      <c r="G175" s="1" t="str">
        <f t="shared" si="28"/>
        <v xml:space="preserve"> 17.1564</v>
      </c>
      <c r="I175" s="1" t="str">
        <f t="shared" si="26"/>
        <v>RT96</v>
      </c>
      <c r="J175" s="1" t="str">
        <f t="shared" si="29"/>
        <v>SG</v>
      </c>
      <c r="K175" s="1">
        <v>2033</v>
      </c>
      <c r="L175" s="1">
        <v>102</v>
      </c>
      <c r="M175" s="1" t="str">
        <f t="shared" si="24"/>
        <v xml:space="preserve"> 28+805</v>
      </c>
    </row>
    <row r="176" spans="1:13" x14ac:dyDescent="0.2">
      <c r="A176" t="s">
        <v>351</v>
      </c>
      <c r="B176" t="s">
        <v>352</v>
      </c>
      <c r="F176" s="1" t="str">
        <f t="shared" si="27"/>
        <v>104.6467</v>
      </c>
      <c r="G176" s="1" t="str">
        <f t="shared" si="28"/>
        <v xml:space="preserve"> 17.1568</v>
      </c>
      <c r="I176" s="1" t="str">
        <f t="shared" si="26"/>
        <v>RT97</v>
      </c>
      <c r="J176" s="1" t="str">
        <f>MID(B176,6,2)</f>
        <v>SG</v>
      </c>
      <c r="K176" s="1">
        <v>2033</v>
      </c>
      <c r="L176" s="1">
        <v>102</v>
      </c>
      <c r="M176" s="1" t="str">
        <f t="shared" si="24"/>
        <v xml:space="preserve"> 28+850</v>
      </c>
    </row>
    <row r="177" spans="1:13" x14ac:dyDescent="0.2">
      <c r="A177" t="s">
        <v>353</v>
      </c>
      <c r="B177" t="s">
        <v>354</v>
      </c>
      <c r="F177" s="1" t="str">
        <f t="shared" si="27"/>
        <v>104.6575</v>
      </c>
      <c r="G177" s="1" t="str">
        <f t="shared" si="28"/>
        <v xml:space="preserve"> 17.1720</v>
      </c>
      <c r="I177" s="1" t="str">
        <f t="shared" si="26"/>
        <v>RT98</v>
      </c>
      <c r="J177" s="1" t="str">
        <f t="shared" ref="J177:J186" si="30">MID(B177,6,2)</f>
        <v>SG</v>
      </c>
      <c r="K177" s="1">
        <v>2033</v>
      </c>
      <c r="L177" s="1">
        <v>102</v>
      </c>
      <c r="M177" s="1" t="str">
        <f t="shared" si="24"/>
        <v xml:space="preserve"> 30+920</v>
      </c>
    </row>
    <row r="178" spans="1:13" x14ac:dyDescent="0.2">
      <c r="A178" t="s">
        <v>355</v>
      </c>
      <c r="B178" t="s">
        <v>356</v>
      </c>
      <c r="F178" s="1" t="str">
        <f t="shared" si="27"/>
        <v>104.6579</v>
      </c>
      <c r="G178" s="1" t="str">
        <f t="shared" si="28"/>
        <v xml:space="preserve"> 17.1727</v>
      </c>
      <c r="I178" s="1" t="str">
        <f t="shared" si="26"/>
        <v>RT99</v>
      </c>
      <c r="J178" s="1" t="str">
        <f t="shared" si="30"/>
        <v>SG</v>
      </c>
      <c r="K178" s="1">
        <v>2033</v>
      </c>
      <c r="L178" s="1">
        <v>102</v>
      </c>
      <c r="M178" s="1" t="str">
        <f t="shared" si="24"/>
        <v xml:space="preserve"> 31+010</v>
      </c>
    </row>
    <row r="179" spans="1:13" x14ac:dyDescent="0.2">
      <c r="A179" t="s">
        <v>357</v>
      </c>
      <c r="B179" t="s">
        <v>358</v>
      </c>
      <c r="F179" s="1" t="str">
        <f t="shared" si="27"/>
        <v>104.6581</v>
      </c>
      <c r="G179" s="1" t="str">
        <f t="shared" si="28"/>
        <v xml:space="preserve"> 17.1730</v>
      </c>
      <c r="I179" s="1" t="str">
        <f t="shared" si="26"/>
        <v>RT10</v>
      </c>
      <c r="J179" s="1" t="str">
        <f>MID(B179,7,2)</f>
        <v>SG</v>
      </c>
      <c r="K179" s="1">
        <v>2033</v>
      </c>
      <c r="L179" s="1">
        <v>102</v>
      </c>
      <c r="M179" s="1" t="str">
        <f>MID(B179,25,7)</f>
        <v xml:space="preserve"> 31+055</v>
      </c>
    </row>
    <row r="180" spans="1:13" x14ac:dyDescent="0.2">
      <c r="A180" t="s">
        <v>359</v>
      </c>
      <c r="B180" t="s">
        <v>360</v>
      </c>
      <c r="F180" s="1" t="str">
        <f t="shared" si="27"/>
        <v>104.6582</v>
      </c>
      <c r="G180" s="1" t="str">
        <f t="shared" si="28"/>
        <v xml:space="preserve"> 17.1734</v>
      </c>
      <c r="H180" s="1" t="str">
        <f t="shared" ref="H180:H186" si="31">MID(B180,1,4)</f>
        <v>LT77</v>
      </c>
      <c r="J180" s="1" t="str">
        <f t="shared" si="30"/>
        <v>SG</v>
      </c>
      <c r="K180" s="1">
        <v>2033</v>
      </c>
      <c r="L180" s="1">
        <v>102</v>
      </c>
      <c r="M180" s="1" t="str">
        <f t="shared" si="24"/>
        <v xml:space="preserve"> 31+100</v>
      </c>
    </row>
    <row r="181" spans="1:13" x14ac:dyDescent="0.2">
      <c r="A181" t="s">
        <v>361</v>
      </c>
      <c r="B181" t="s">
        <v>362</v>
      </c>
      <c r="F181" s="1" t="str">
        <f t="shared" si="27"/>
        <v>104.6584</v>
      </c>
      <c r="G181" s="1" t="str">
        <f t="shared" si="28"/>
        <v xml:space="preserve"> 17.1738</v>
      </c>
      <c r="H181" s="1" t="str">
        <f t="shared" si="31"/>
        <v>LT78</v>
      </c>
      <c r="J181" s="1" t="str">
        <f t="shared" si="30"/>
        <v>SG</v>
      </c>
      <c r="K181" s="1">
        <v>2033</v>
      </c>
      <c r="L181" s="1">
        <v>102</v>
      </c>
      <c r="M181" s="1" t="str">
        <f t="shared" si="24"/>
        <v xml:space="preserve"> 31+145</v>
      </c>
    </row>
    <row r="182" spans="1:13" x14ac:dyDescent="0.2">
      <c r="A182" t="s">
        <v>363</v>
      </c>
      <c r="B182" t="s">
        <v>364</v>
      </c>
      <c r="F182" s="1" t="str">
        <f t="shared" si="27"/>
        <v>104.6589</v>
      </c>
      <c r="G182" s="1" t="str">
        <f t="shared" si="28"/>
        <v xml:space="preserve"> 17.1745</v>
      </c>
      <c r="H182" s="1" t="str">
        <f t="shared" si="31"/>
        <v>LT79</v>
      </c>
      <c r="J182" s="1" t="str">
        <f t="shared" si="30"/>
        <v>SG</v>
      </c>
      <c r="K182" s="1">
        <v>2033</v>
      </c>
      <c r="L182" s="1">
        <v>102</v>
      </c>
      <c r="M182" s="1" t="str">
        <f t="shared" si="24"/>
        <v xml:space="preserve"> 31+230</v>
      </c>
    </row>
    <row r="183" spans="1:13" x14ac:dyDescent="0.2">
      <c r="A183" t="s">
        <v>365</v>
      </c>
      <c r="B183" t="s">
        <v>366</v>
      </c>
      <c r="F183" s="1" t="str">
        <f t="shared" si="27"/>
        <v>104.6592</v>
      </c>
      <c r="G183" s="1" t="str">
        <f t="shared" si="28"/>
        <v xml:space="preserve"> 17.1748</v>
      </c>
      <c r="H183" s="1" t="str">
        <f t="shared" si="31"/>
        <v>LT80</v>
      </c>
      <c r="J183" s="1" t="str">
        <f t="shared" si="30"/>
        <v>SG</v>
      </c>
      <c r="K183" s="1">
        <v>2033</v>
      </c>
      <c r="L183" s="1">
        <v>102</v>
      </c>
      <c r="M183" s="1" t="str">
        <f t="shared" si="24"/>
        <v xml:space="preserve"> 31+275</v>
      </c>
    </row>
    <row r="184" spans="1:13" x14ac:dyDescent="0.2">
      <c r="A184" t="s">
        <v>367</v>
      </c>
      <c r="B184" t="s">
        <v>368</v>
      </c>
      <c r="F184" s="1" t="str">
        <f t="shared" si="27"/>
        <v>104.6594</v>
      </c>
      <c r="G184" s="1" t="str">
        <f t="shared" si="28"/>
        <v xml:space="preserve"> 17.1751</v>
      </c>
      <c r="H184" s="1" t="str">
        <f t="shared" si="31"/>
        <v>LT81</v>
      </c>
      <c r="J184" s="1" t="str">
        <f t="shared" si="30"/>
        <v>SG</v>
      </c>
      <c r="K184" s="1">
        <v>2033</v>
      </c>
      <c r="L184" s="1">
        <v>102</v>
      </c>
      <c r="M184" s="1" t="str">
        <f t="shared" ref="M184:M186" si="32">MID(B184,24,7)</f>
        <v xml:space="preserve"> 31+320</v>
      </c>
    </row>
    <row r="185" spans="1:13" x14ac:dyDescent="0.2">
      <c r="A185" t="s">
        <v>369</v>
      </c>
      <c r="B185" t="s">
        <v>370</v>
      </c>
      <c r="F185" s="1" t="str">
        <f t="shared" si="27"/>
        <v>104.6596</v>
      </c>
      <c r="G185" s="1" t="str">
        <f t="shared" si="28"/>
        <v xml:space="preserve"> 17.1754</v>
      </c>
      <c r="H185" s="1" t="str">
        <f t="shared" si="31"/>
        <v>LT82</v>
      </c>
      <c r="J185" s="1" t="str">
        <f t="shared" si="30"/>
        <v>SG</v>
      </c>
      <c r="K185" s="1">
        <v>2033</v>
      </c>
      <c r="L185" s="1">
        <v>102</v>
      </c>
      <c r="M185" s="1" t="str">
        <f t="shared" si="32"/>
        <v xml:space="preserve"> 31+365</v>
      </c>
    </row>
    <row r="186" spans="1:13" x14ac:dyDescent="0.2">
      <c r="A186" t="s">
        <v>371</v>
      </c>
      <c r="B186" t="s">
        <v>372</v>
      </c>
      <c r="F186" s="1" t="str">
        <f t="shared" si="27"/>
        <v>104.6599</v>
      </c>
      <c r="G186" s="1" t="str">
        <f t="shared" si="28"/>
        <v xml:space="preserve"> 17.1758</v>
      </c>
      <c r="H186" s="1" t="str">
        <f t="shared" si="31"/>
        <v>LT83</v>
      </c>
      <c r="J186" s="1" t="str">
        <f t="shared" si="30"/>
        <v>SG</v>
      </c>
      <c r="K186" s="1">
        <v>2033</v>
      </c>
      <c r="L186" s="1">
        <v>102</v>
      </c>
      <c r="M186" s="1" t="str">
        <f t="shared" si="32"/>
        <v xml:space="preserve"> 31+410</v>
      </c>
    </row>
    <row r="187" spans="1:13" x14ac:dyDescent="0.2">
      <c r="A187" t="s">
        <v>373</v>
      </c>
      <c r="B187" t="s">
        <v>374</v>
      </c>
      <c r="F187" s="1" t="str">
        <f t="shared" si="27"/>
        <v>104.6826</v>
      </c>
      <c r="G187" s="1" t="str">
        <f t="shared" si="28"/>
        <v xml:space="preserve"> 17.2097</v>
      </c>
      <c r="I187" s="1" t="str">
        <f>MID(B187,1,5)</f>
        <v>RT101</v>
      </c>
      <c r="J187" s="1" t="str">
        <f>MID(B187,7,2)</f>
        <v>SG</v>
      </c>
      <c r="K187" s="1">
        <v>2033</v>
      </c>
      <c r="L187" s="1">
        <v>102</v>
      </c>
      <c r="M187" s="1" t="str">
        <f>MID(B187,25,7)</f>
        <v xml:space="preserve"> 35+880</v>
      </c>
    </row>
    <row r="188" spans="1:13" x14ac:dyDescent="0.2">
      <c r="A188" t="s">
        <v>375</v>
      </c>
      <c r="B188" t="s">
        <v>376</v>
      </c>
      <c r="F188" s="1" t="str">
        <f t="shared" si="27"/>
        <v>104.6828</v>
      </c>
      <c r="G188" s="1" t="str">
        <f t="shared" si="28"/>
        <v xml:space="preserve"> 17.2101</v>
      </c>
      <c r="I188" s="1" t="str">
        <f t="shared" ref="I188:I243" si="33">MID(B188,1,5)</f>
        <v>RT102</v>
      </c>
      <c r="J188" s="1" t="str">
        <f t="shared" ref="J188:J212" si="34">MID(B188,7,2)</f>
        <v>SG</v>
      </c>
      <c r="K188" s="1">
        <v>2033</v>
      </c>
      <c r="L188" s="1">
        <v>102</v>
      </c>
      <c r="M188" s="1" t="str">
        <f t="shared" ref="M188:M243" si="35">MID(B188,25,7)</f>
        <v xml:space="preserve"> 35+925</v>
      </c>
    </row>
    <row r="189" spans="1:13" x14ac:dyDescent="0.2">
      <c r="A189" t="s">
        <v>377</v>
      </c>
      <c r="B189" t="s">
        <v>378</v>
      </c>
      <c r="F189" s="1" t="str">
        <f t="shared" si="27"/>
        <v>104.6830</v>
      </c>
      <c r="G189" s="1" t="str">
        <f t="shared" si="28"/>
        <v xml:space="preserve"> 17.2104</v>
      </c>
      <c r="I189" s="1" t="str">
        <f t="shared" si="33"/>
        <v>RT103</v>
      </c>
      <c r="J189" s="1" t="str">
        <f t="shared" si="34"/>
        <v>SG</v>
      </c>
      <c r="K189" s="1">
        <v>2033</v>
      </c>
      <c r="L189" s="1">
        <v>102</v>
      </c>
      <c r="M189" s="1" t="str">
        <f t="shared" si="35"/>
        <v xml:space="preserve"> 35+970</v>
      </c>
    </row>
    <row r="190" spans="1:13" x14ac:dyDescent="0.2">
      <c r="A190" t="s">
        <v>379</v>
      </c>
      <c r="B190" t="s">
        <v>380</v>
      </c>
      <c r="F190" s="1" t="str">
        <f t="shared" si="27"/>
        <v>104.6831</v>
      </c>
      <c r="G190" s="1" t="str">
        <f t="shared" si="28"/>
        <v xml:space="preserve"> 17.2108</v>
      </c>
      <c r="I190" s="1" t="str">
        <f t="shared" si="33"/>
        <v>RT104</v>
      </c>
      <c r="J190" s="1" t="str">
        <f t="shared" si="34"/>
        <v>SG</v>
      </c>
      <c r="K190" s="1">
        <v>2033</v>
      </c>
      <c r="L190" s="1">
        <v>102</v>
      </c>
      <c r="M190" s="1" t="str">
        <f t="shared" si="35"/>
        <v xml:space="preserve"> 36+015</v>
      </c>
    </row>
    <row r="191" spans="1:13" x14ac:dyDescent="0.2">
      <c r="A191" t="s">
        <v>381</v>
      </c>
      <c r="B191" t="s">
        <v>382</v>
      </c>
      <c r="F191" s="1" t="str">
        <f t="shared" si="27"/>
        <v>104.6832</v>
      </c>
      <c r="G191" s="1" t="str">
        <f t="shared" si="28"/>
        <v xml:space="preserve"> 17.2112</v>
      </c>
      <c r="I191" s="1" t="str">
        <f t="shared" si="33"/>
        <v>RT105</v>
      </c>
      <c r="J191" s="1" t="str">
        <f t="shared" si="34"/>
        <v>SG</v>
      </c>
      <c r="K191" s="1">
        <v>2033</v>
      </c>
      <c r="L191" s="1">
        <v>102</v>
      </c>
      <c r="M191" s="1" t="str">
        <f t="shared" si="35"/>
        <v xml:space="preserve"> 36+060</v>
      </c>
    </row>
    <row r="192" spans="1:13" x14ac:dyDescent="0.2">
      <c r="A192" t="s">
        <v>383</v>
      </c>
      <c r="B192" t="s">
        <v>384</v>
      </c>
      <c r="F192" s="1" t="str">
        <f t="shared" si="27"/>
        <v>104.6834</v>
      </c>
      <c r="G192" s="1" t="str">
        <f t="shared" si="28"/>
        <v xml:space="preserve"> 17.2120</v>
      </c>
      <c r="I192" s="1" t="str">
        <f t="shared" si="33"/>
        <v>RT106</v>
      </c>
      <c r="J192" s="1" t="str">
        <f t="shared" si="34"/>
        <v>SG</v>
      </c>
      <c r="K192" s="1">
        <v>2033</v>
      </c>
      <c r="L192" s="1">
        <v>102</v>
      </c>
      <c r="M192" s="1" t="str">
        <f t="shared" si="35"/>
        <v xml:space="preserve"> 36+150</v>
      </c>
    </row>
    <row r="193" spans="1:13" x14ac:dyDescent="0.2">
      <c r="A193" t="s">
        <v>385</v>
      </c>
      <c r="B193" t="s">
        <v>386</v>
      </c>
      <c r="F193" s="1" t="str">
        <f t="shared" si="27"/>
        <v>104.6834</v>
      </c>
      <c r="G193" s="1" t="str">
        <f t="shared" si="28"/>
        <v xml:space="preserve"> 17.2124</v>
      </c>
      <c r="I193" s="1" t="str">
        <f t="shared" si="33"/>
        <v>RT107</v>
      </c>
      <c r="J193" s="1" t="str">
        <f t="shared" si="34"/>
        <v>SG</v>
      </c>
      <c r="K193" s="1">
        <v>2033</v>
      </c>
      <c r="L193" s="1">
        <v>102</v>
      </c>
      <c r="M193" s="1" t="str">
        <f t="shared" si="35"/>
        <v xml:space="preserve"> 36+205</v>
      </c>
    </row>
    <row r="194" spans="1:13" x14ac:dyDescent="0.2">
      <c r="A194" t="s">
        <v>387</v>
      </c>
      <c r="B194" t="s">
        <v>388</v>
      </c>
      <c r="F194" s="1" t="str">
        <f t="shared" si="27"/>
        <v>104.6835</v>
      </c>
      <c r="G194" s="1" t="str">
        <f>MID(A194,18,7)</f>
        <v>17.2128</v>
      </c>
      <c r="I194" s="1" t="str">
        <f t="shared" si="33"/>
        <v>RT108</v>
      </c>
      <c r="J194" s="1" t="str">
        <f t="shared" si="34"/>
        <v>SG</v>
      </c>
      <c r="K194" s="1">
        <v>2033</v>
      </c>
      <c r="L194" s="1">
        <v>102</v>
      </c>
      <c r="M194" s="1" t="str">
        <f t="shared" si="35"/>
        <v xml:space="preserve"> 36+250</v>
      </c>
    </row>
    <row r="195" spans="1:13" x14ac:dyDescent="0.2">
      <c r="A195" t="s">
        <v>389</v>
      </c>
      <c r="B195" t="s">
        <v>390</v>
      </c>
      <c r="F195" s="1" t="str">
        <f t="shared" si="27"/>
        <v>104.6836</v>
      </c>
      <c r="G195" s="1" t="str">
        <f t="shared" si="28"/>
        <v xml:space="preserve"> 17.2132</v>
      </c>
      <c r="I195" s="1" t="str">
        <f t="shared" si="33"/>
        <v>RT109</v>
      </c>
      <c r="J195" s="1" t="str">
        <f t="shared" si="34"/>
        <v>SG</v>
      </c>
      <c r="K195" s="1">
        <v>2033</v>
      </c>
      <c r="L195" s="1">
        <v>102</v>
      </c>
      <c r="M195" s="1" t="str">
        <f t="shared" si="35"/>
        <v xml:space="preserve"> 36+295</v>
      </c>
    </row>
    <row r="196" spans="1:13" x14ac:dyDescent="0.2">
      <c r="A196" t="s">
        <v>391</v>
      </c>
      <c r="B196" t="s">
        <v>392</v>
      </c>
      <c r="F196" s="1" t="str">
        <f t="shared" si="27"/>
        <v>104.6837</v>
      </c>
      <c r="G196" s="1" t="str">
        <f t="shared" si="28"/>
        <v xml:space="preserve"> 17.2136</v>
      </c>
      <c r="I196" s="1" t="str">
        <f t="shared" si="33"/>
        <v>RT110</v>
      </c>
      <c r="J196" s="1" t="str">
        <f t="shared" si="34"/>
        <v>SG</v>
      </c>
      <c r="K196" s="1">
        <v>2033</v>
      </c>
      <c r="L196" s="1">
        <v>102</v>
      </c>
      <c r="M196" s="1" t="str">
        <f t="shared" si="35"/>
        <v xml:space="preserve"> 36+340</v>
      </c>
    </row>
    <row r="197" spans="1:13" x14ac:dyDescent="0.2">
      <c r="A197" t="s">
        <v>393</v>
      </c>
      <c r="B197" t="s">
        <v>394</v>
      </c>
      <c r="F197" s="1" t="str">
        <f t="shared" si="27"/>
        <v>104.6838</v>
      </c>
      <c r="G197" s="1" t="str">
        <f t="shared" si="28"/>
        <v xml:space="preserve"> 17.2140</v>
      </c>
      <c r="I197" s="1" t="str">
        <f t="shared" si="33"/>
        <v>RT111</v>
      </c>
      <c r="J197" s="1" t="str">
        <f t="shared" si="34"/>
        <v>SG</v>
      </c>
      <c r="K197" s="1">
        <v>2033</v>
      </c>
      <c r="L197" s="1">
        <v>102</v>
      </c>
      <c r="M197" s="1" t="str">
        <f t="shared" si="35"/>
        <v xml:space="preserve"> 36+385</v>
      </c>
    </row>
    <row r="198" spans="1:13" x14ac:dyDescent="0.2">
      <c r="A198" t="s">
        <v>395</v>
      </c>
      <c r="B198" t="s">
        <v>396</v>
      </c>
      <c r="F198" s="1" t="str">
        <f t="shared" si="27"/>
        <v>104.6839</v>
      </c>
      <c r="G198" s="1" t="str">
        <f t="shared" si="28"/>
        <v xml:space="preserve"> 17.2144</v>
      </c>
      <c r="I198" s="1" t="str">
        <f t="shared" si="33"/>
        <v>RT112</v>
      </c>
      <c r="J198" s="1" t="str">
        <f t="shared" si="34"/>
        <v>SG</v>
      </c>
      <c r="K198" s="1">
        <v>2033</v>
      </c>
      <c r="L198" s="1">
        <v>102</v>
      </c>
      <c r="M198" s="1" t="str">
        <f t="shared" si="35"/>
        <v xml:space="preserve"> 36+430</v>
      </c>
    </row>
    <row r="199" spans="1:13" x14ac:dyDescent="0.2">
      <c r="A199" t="s">
        <v>397</v>
      </c>
      <c r="B199" t="s">
        <v>398</v>
      </c>
      <c r="F199" s="1" t="str">
        <f t="shared" si="27"/>
        <v>104.6859</v>
      </c>
      <c r="G199" s="1" t="str">
        <f t="shared" si="28"/>
        <v xml:space="preserve"> 17.2260</v>
      </c>
      <c r="I199" s="1" t="str">
        <f t="shared" si="33"/>
        <v>RT113</v>
      </c>
      <c r="J199" s="1" t="str">
        <f t="shared" si="34"/>
        <v>SG</v>
      </c>
      <c r="K199" s="1">
        <v>2033</v>
      </c>
      <c r="L199" s="1">
        <v>102</v>
      </c>
      <c r="M199" s="1" t="str">
        <f t="shared" si="35"/>
        <v xml:space="preserve"> 37+730</v>
      </c>
    </row>
    <row r="200" spans="1:13" x14ac:dyDescent="0.2">
      <c r="A200" t="s">
        <v>399</v>
      </c>
      <c r="B200" t="s">
        <v>400</v>
      </c>
      <c r="F200" s="1" t="str">
        <f t="shared" si="27"/>
        <v>104.6860</v>
      </c>
      <c r="G200" s="1" t="str">
        <f>MID(A200,18,7)</f>
        <v>17.2265</v>
      </c>
      <c r="I200" s="1" t="str">
        <f t="shared" si="33"/>
        <v>RT114</v>
      </c>
      <c r="J200" s="1" t="str">
        <f t="shared" si="34"/>
        <v>SG</v>
      </c>
      <c r="K200" s="1">
        <v>2033</v>
      </c>
      <c r="L200" s="1">
        <v>102</v>
      </c>
      <c r="M200" s="1" t="str">
        <f t="shared" si="35"/>
        <v xml:space="preserve"> 37+775</v>
      </c>
    </row>
    <row r="201" spans="1:13" x14ac:dyDescent="0.2">
      <c r="A201" t="s">
        <v>401</v>
      </c>
      <c r="B201" t="s">
        <v>402</v>
      </c>
      <c r="F201" s="1" t="str">
        <f t="shared" si="27"/>
        <v>104.6861</v>
      </c>
      <c r="G201" s="1" t="str">
        <f t="shared" si="28"/>
        <v xml:space="preserve"> 17.2273</v>
      </c>
      <c r="I201" s="1" t="str">
        <f t="shared" si="33"/>
        <v>RT115</v>
      </c>
      <c r="J201" s="1" t="str">
        <f t="shared" si="34"/>
        <v>SG</v>
      </c>
      <c r="K201" s="1">
        <v>2033</v>
      </c>
      <c r="L201" s="1">
        <v>102</v>
      </c>
      <c r="M201" s="1" t="str">
        <f t="shared" si="35"/>
        <v xml:space="preserve"> 37+870</v>
      </c>
    </row>
    <row r="202" spans="1:13" x14ac:dyDescent="0.2">
      <c r="A202" t="s">
        <v>403</v>
      </c>
      <c r="B202" t="s">
        <v>404</v>
      </c>
      <c r="F202" s="1" t="str">
        <f t="shared" si="27"/>
        <v>104.6861</v>
      </c>
      <c r="G202" s="1" t="str">
        <f t="shared" si="28"/>
        <v xml:space="preserve"> 17.2277</v>
      </c>
      <c r="I202" s="1" t="str">
        <f t="shared" si="33"/>
        <v>RT116</v>
      </c>
      <c r="J202" s="1" t="str">
        <f t="shared" si="34"/>
        <v>SG</v>
      </c>
      <c r="K202" s="1">
        <v>2033</v>
      </c>
      <c r="L202" s="1">
        <v>102</v>
      </c>
      <c r="M202" s="1" t="str">
        <f t="shared" si="35"/>
        <v xml:space="preserve"> 37+915</v>
      </c>
    </row>
    <row r="203" spans="1:13" x14ac:dyDescent="0.2">
      <c r="A203" t="s">
        <v>405</v>
      </c>
      <c r="B203" t="s">
        <v>406</v>
      </c>
      <c r="F203" s="1" t="str">
        <f t="shared" si="27"/>
        <v>104.6861</v>
      </c>
      <c r="G203" s="1" t="str">
        <f>MID(A203,18,7)</f>
        <v>17.2281</v>
      </c>
      <c r="I203" s="1" t="str">
        <f t="shared" si="33"/>
        <v>RT117</v>
      </c>
      <c r="J203" s="1" t="str">
        <f t="shared" si="34"/>
        <v>SG</v>
      </c>
      <c r="K203" s="1">
        <v>2033</v>
      </c>
      <c r="L203" s="1">
        <v>102</v>
      </c>
      <c r="M203" s="1" t="str">
        <f t="shared" si="35"/>
        <v xml:space="preserve"> 37+960</v>
      </c>
    </row>
    <row r="204" spans="1:13" x14ac:dyDescent="0.2">
      <c r="A204" t="s">
        <v>407</v>
      </c>
      <c r="B204" t="s">
        <v>408</v>
      </c>
      <c r="F204" s="1" t="str">
        <f t="shared" si="27"/>
        <v>104.6862</v>
      </c>
      <c r="G204" s="1" t="str">
        <f t="shared" si="28"/>
        <v xml:space="preserve"> 17.2285</v>
      </c>
      <c r="I204" s="1" t="str">
        <f t="shared" si="33"/>
        <v>RT118</v>
      </c>
      <c r="J204" s="1" t="str">
        <f t="shared" si="34"/>
        <v>SG</v>
      </c>
      <c r="K204" s="1">
        <v>2033</v>
      </c>
      <c r="L204" s="1">
        <v>102</v>
      </c>
      <c r="M204" s="1" t="str">
        <f t="shared" si="35"/>
        <v xml:space="preserve"> 38+005</v>
      </c>
    </row>
    <row r="205" spans="1:13" x14ac:dyDescent="0.2">
      <c r="A205" t="s">
        <v>409</v>
      </c>
      <c r="B205" t="s">
        <v>410</v>
      </c>
      <c r="F205" s="1" t="str">
        <f t="shared" ref="F205:F243" si="36">MID(A205,8,8)</f>
        <v>104.6862</v>
      </c>
      <c r="G205" s="1" t="str">
        <f t="shared" ref="G205:G243" si="37">MID(A205,18,8)</f>
        <v xml:space="preserve"> 17.2289</v>
      </c>
      <c r="I205" s="1" t="str">
        <f t="shared" si="33"/>
        <v>RT119</v>
      </c>
      <c r="J205" s="1" t="str">
        <f t="shared" si="34"/>
        <v>SG</v>
      </c>
      <c r="K205" s="1">
        <v>2033</v>
      </c>
      <c r="L205" s="1">
        <v>102</v>
      </c>
      <c r="M205" s="1" t="str">
        <f t="shared" si="35"/>
        <v xml:space="preserve"> 38+050</v>
      </c>
    </row>
    <row r="206" spans="1:13" x14ac:dyDescent="0.2">
      <c r="A206" t="s">
        <v>411</v>
      </c>
      <c r="B206" t="s">
        <v>412</v>
      </c>
      <c r="F206" s="1" t="str">
        <f t="shared" si="36"/>
        <v>104.6863</v>
      </c>
      <c r="G206" s="1" t="str">
        <f t="shared" si="37"/>
        <v xml:space="preserve"> 17.2297</v>
      </c>
      <c r="I206" s="1" t="str">
        <f t="shared" si="33"/>
        <v>RT120</v>
      </c>
      <c r="J206" s="1" t="str">
        <f t="shared" si="34"/>
        <v>SG</v>
      </c>
      <c r="K206" s="1">
        <v>2033</v>
      </c>
      <c r="L206" s="1">
        <v>102</v>
      </c>
      <c r="M206" s="1" t="str">
        <f t="shared" si="35"/>
        <v xml:space="preserve"> 38+145</v>
      </c>
    </row>
    <row r="207" spans="1:13" x14ac:dyDescent="0.2">
      <c r="A207" t="s">
        <v>413</v>
      </c>
      <c r="B207" t="s">
        <v>414</v>
      </c>
      <c r="F207" s="1" t="str">
        <f t="shared" si="36"/>
        <v>104.6863</v>
      </c>
      <c r="G207" s="1" t="str">
        <f t="shared" si="37"/>
        <v xml:space="preserve"> 17.2301</v>
      </c>
      <c r="I207" s="1" t="str">
        <f t="shared" si="33"/>
        <v>RT121</v>
      </c>
      <c r="J207" s="1" t="str">
        <f t="shared" si="34"/>
        <v>SG</v>
      </c>
      <c r="K207" s="1">
        <v>2033</v>
      </c>
      <c r="L207" s="1">
        <v>102</v>
      </c>
      <c r="M207" s="1" t="str">
        <f t="shared" si="35"/>
        <v xml:space="preserve"> 38+190</v>
      </c>
    </row>
    <row r="208" spans="1:13" x14ac:dyDescent="0.2">
      <c r="A208" t="s">
        <v>415</v>
      </c>
      <c r="B208" t="s">
        <v>416</v>
      </c>
      <c r="F208" s="1" t="str">
        <f t="shared" si="36"/>
        <v>104.6863</v>
      </c>
      <c r="G208" s="1" t="str">
        <f t="shared" si="37"/>
        <v xml:space="preserve"> 17.2305</v>
      </c>
      <c r="I208" s="1" t="str">
        <f t="shared" si="33"/>
        <v>RT122</v>
      </c>
      <c r="J208" s="1" t="str">
        <f t="shared" si="34"/>
        <v>SG</v>
      </c>
      <c r="K208" s="1">
        <v>2033</v>
      </c>
      <c r="L208" s="1">
        <v>102</v>
      </c>
      <c r="M208" s="1" t="str">
        <f t="shared" si="35"/>
        <v xml:space="preserve"> 38+235</v>
      </c>
    </row>
    <row r="209" spans="1:13" x14ac:dyDescent="0.2">
      <c r="A209" t="s">
        <v>417</v>
      </c>
      <c r="B209" t="s">
        <v>418</v>
      </c>
      <c r="F209" s="1" t="str">
        <f t="shared" si="36"/>
        <v>104.6864</v>
      </c>
      <c r="G209" s="1" t="str">
        <f t="shared" si="37"/>
        <v xml:space="preserve"> 17.2309</v>
      </c>
      <c r="I209" s="1" t="str">
        <f t="shared" si="33"/>
        <v>RT123</v>
      </c>
      <c r="J209" s="1" t="str">
        <f t="shared" si="34"/>
        <v>SG</v>
      </c>
      <c r="K209" s="1">
        <v>2033</v>
      </c>
      <c r="L209" s="1">
        <v>102</v>
      </c>
      <c r="M209" s="1" t="str">
        <f t="shared" si="35"/>
        <v xml:space="preserve"> 38+280</v>
      </c>
    </row>
    <row r="210" spans="1:13" x14ac:dyDescent="0.2">
      <c r="A210" t="s">
        <v>419</v>
      </c>
      <c r="B210" t="s">
        <v>420</v>
      </c>
      <c r="F210" s="1" t="str">
        <f t="shared" si="36"/>
        <v>104.6864</v>
      </c>
      <c r="G210" s="1" t="str">
        <f t="shared" si="37"/>
        <v xml:space="preserve"> 17.2313</v>
      </c>
      <c r="I210" s="1" t="str">
        <f t="shared" si="33"/>
        <v>RT124</v>
      </c>
      <c r="J210" s="1" t="str">
        <f t="shared" si="34"/>
        <v>SG</v>
      </c>
      <c r="K210" s="1">
        <v>2033</v>
      </c>
      <c r="L210" s="1">
        <v>102</v>
      </c>
      <c r="M210" s="1" t="str">
        <f t="shared" si="35"/>
        <v xml:space="preserve"> 38+325</v>
      </c>
    </row>
    <row r="211" spans="1:13" x14ac:dyDescent="0.2">
      <c r="A211" t="s">
        <v>421</v>
      </c>
      <c r="B211" t="s">
        <v>422</v>
      </c>
      <c r="F211" s="1" t="str">
        <f t="shared" si="36"/>
        <v>104.6864</v>
      </c>
      <c r="G211" s="1" t="str">
        <f t="shared" si="37"/>
        <v xml:space="preserve"> 17.2317</v>
      </c>
      <c r="I211" s="1" t="str">
        <f t="shared" si="33"/>
        <v>RT125</v>
      </c>
      <c r="J211" s="1" t="str">
        <f t="shared" si="34"/>
        <v>SG</v>
      </c>
      <c r="K211" s="1">
        <v>2033</v>
      </c>
      <c r="L211" s="1">
        <v>102</v>
      </c>
      <c r="M211" s="1" t="str">
        <f>MID(B211,25,7)</f>
        <v xml:space="preserve"> 38+370</v>
      </c>
    </row>
    <row r="212" spans="1:13" x14ac:dyDescent="0.2">
      <c r="A212" t="s">
        <v>423</v>
      </c>
      <c r="B212" t="s">
        <v>424</v>
      </c>
      <c r="F212" s="1" t="str">
        <f t="shared" si="36"/>
        <v>104.6865</v>
      </c>
      <c r="G212" s="1" t="str">
        <f t="shared" si="37"/>
        <v xml:space="preserve"> 17.2321</v>
      </c>
      <c r="I212" s="1" t="str">
        <f t="shared" si="33"/>
        <v>RT126</v>
      </c>
      <c r="J212" s="1" t="str">
        <f t="shared" si="34"/>
        <v>SG</v>
      </c>
      <c r="K212" s="1">
        <v>2033</v>
      </c>
      <c r="L212" s="1">
        <v>102</v>
      </c>
      <c r="M212" s="1" t="str">
        <f t="shared" si="35"/>
        <v xml:space="preserve"> 38+315</v>
      </c>
    </row>
    <row r="213" spans="1:13" x14ac:dyDescent="0.2">
      <c r="A213" t="s">
        <v>425</v>
      </c>
      <c r="B213" t="s">
        <v>426</v>
      </c>
      <c r="F213" s="1" t="str">
        <f t="shared" si="36"/>
        <v>104.6969</v>
      </c>
      <c r="G213" s="1" t="str">
        <f t="shared" si="37"/>
        <v xml:space="preserve"> 17.2576</v>
      </c>
      <c r="H213" s="1" t="str">
        <f t="shared" ref="H213:H220" si="38">MID(B213,1,4)</f>
        <v>LT84</v>
      </c>
      <c r="J213" s="1" t="str">
        <f>MID(B213,6,2)</f>
        <v>SG</v>
      </c>
      <c r="K213" s="1">
        <v>2033</v>
      </c>
      <c r="L213" s="1">
        <v>102</v>
      </c>
      <c r="M213" s="1" t="str">
        <f t="shared" si="35"/>
        <v>41+500</v>
      </c>
    </row>
    <row r="214" spans="1:13" x14ac:dyDescent="0.2">
      <c r="A214" t="s">
        <v>427</v>
      </c>
      <c r="B214" t="s">
        <v>428</v>
      </c>
      <c r="F214" s="1" t="str">
        <f t="shared" si="36"/>
        <v>104.6972</v>
      </c>
      <c r="G214" s="1" t="str">
        <f t="shared" si="37"/>
        <v xml:space="preserve"> 17.2580</v>
      </c>
      <c r="H214" s="1" t="str">
        <f t="shared" si="38"/>
        <v>LT85</v>
      </c>
      <c r="J214" s="1" t="str">
        <f t="shared" ref="J214:J220" si="39">MID(B214,6,2)</f>
        <v>SG</v>
      </c>
      <c r="K214" s="1">
        <v>2033</v>
      </c>
      <c r="L214" s="1">
        <v>102</v>
      </c>
      <c r="M214" s="1" t="str">
        <f t="shared" si="35"/>
        <v>41+545</v>
      </c>
    </row>
    <row r="215" spans="1:13" x14ac:dyDescent="0.2">
      <c r="A215" t="s">
        <v>429</v>
      </c>
      <c r="B215" t="s">
        <v>430</v>
      </c>
      <c r="F215" s="1" t="str">
        <f t="shared" si="36"/>
        <v>104.6975</v>
      </c>
      <c r="G215" s="1" t="str">
        <f t="shared" si="37"/>
        <v xml:space="preserve"> 17.2583</v>
      </c>
      <c r="H215" s="1" t="str">
        <f t="shared" si="38"/>
        <v>LT86</v>
      </c>
      <c r="J215" s="1" t="str">
        <f t="shared" si="39"/>
        <v>SG</v>
      </c>
      <c r="K215" s="1">
        <v>2033</v>
      </c>
      <c r="L215" s="1">
        <v>102</v>
      </c>
      <c r="M215" s="1" t="str">
        <f t="shared" si="35"/>
        <v>41+590</v>
      </c>
    </row>
    <row r="216" spans="1:13" x14ac:dyDescent="0.2">
      <c r="A216" t="s">
        <v>431</v>
      </c>
      <c r="B216" t="s">
        <v>432</v>
      </c>
      <c r="F216" s="1" t="str">
        <f t="shared" si="36"/>
        <v>104.6977</v>
      </c>
      <c r="G216" s="1" t="str">
        <f t="shared" si="37"/>
        <v xml:space="preserve"> 17.2586</v>
      </c>
      <c r="H216" s="1" t="str">
        <f t="shared" si="38"/>
        <v>LT87</v>
      </c>
      <c r="J216" s="1" t="str">
        <f t="shared" si="39"/>
        <v>SG</v>
      </c>
      <c r="K216" s="1">
        <v>2033</v>
      </c>
      <c r="L216" s="1">
        <v>102</v>
      </c>
      <c r="M216" s="1" t="str">
        <f t="shared" si="35"/>
        <v>41+635</v>
      </c>
    </row>
    <row r="217" spans="1:13" x14ac:dyDescent="0.2">
      <c r="A217" t="s">
        <v>433</v>
      </c>
      <c r="B217" t="s">
        <v>434</v>
      </c>
      <c r="F217" s="1" t="str">
        <f t="shared" si="36"/>
        <v>104.6980</v>
      </c>
      <c r="G217" s="1" t="str">
        <f t="shared" si="37"/>
        <v xml:space="preserve"> 17.2589</v>
      </c>
      <c r="H217" s="1" t="str">
        <f t="shared" si="38"/>
        <v>LT88</v>
      </c>
      <c r="J217" s="1" t="str">
        <f t="shared" si="39"/>
        <v>SG</v>
      </c>
      <c r="K217" s="1">
        <v>2033</v>
      </c>
      <c r="L217" s="1">
        <v>102</v>
      </c>
      <c r="M217" s="1" t="str">
        <f t="shared" si="35"/>
        <v>41+680</v>
      </c>
    </row>
    <row r="218" spans="1:13" x14ac:dyDescent="0.2">
      <c r="A218" t="s">
        <v>435</v>
      </c>
      <c r="B218" t="s">
        <v>436</v>
      </c>
      <c r="F218" s="1" t="str">
        <f t="shared" si="36"/>
        <v>104.6983</v>
      </c>
      <c r="G218" s="1" t="str">
        <f t="shared" si="37"/>
        <v xml:space="preserve"> 17.2592</v>
      </c>
      <c r="H218" s="1" t="str">
        <f t="shared" si="38"/>
        <v>LT89</v>
      </c>
      <c r="J218" s="1" t="str">
        <f t="shared" si="39"/>
        <v>SG</v>
      </c>
      <c r="K218" s="1">
        <v>2033</v>
      </c>
      <c r="L218" s="1">
        <v>102</v>
      </c>
      <c r="M218" s="1" t="str">
        <f t="shared" si="35"/>
        <v>41+725</v>
      </c>
    </row>
    <row r="219" spans="1:13" x14ac:dyDescent="0.2">
      <c r="A219" t="s">
        <v>437</v>
      </c>
      <c r="B219" t="s">
        <v>438</v>
      </c>
      <c r="F219" s="1" t="str">
        <f t="shared" si="36"/>
        <v>104.6985</v>
      </c>
      <c r="G219" s="1" t="str">
        <f t="shared" si="37"/>
        <v xml:space="preserve"> 17.2595</v>
      </c>
      <c r="H219" s="1" t="str">
        <f t="shared" si="38"/>
        <v>LT90</v>
      </c>
      <c r="J219" s="1" t="str">
        <f t="shared" si="39"/>
        <v>SG</v>
      </c>
      <c r="K219" s="1">
        <v>2033</v>
      </c>
      <c r="L219" s="1">
        <v>102</v>
      </c>
      <c r="M219" s="1" t="str">
        <f t="shared" si="35"/>
        <v>41+770</v>
      </c>
    </row>
    <row r="220" spans="1:13" x14ac:dyDescent="0.2">
      <c r="A220" t="s">
        <v>439</v>
      </c>
      <c r="B220" t="s">
        <v>440</v>
      </c>
      <c r="F220" s="1" t="str">
        <f t="shared" si="36"/>
        <v>104.6988</v>
      </c>
      <c r="G220" s="1" t="str">
        <f t="shared" si="37"/>
        <v xml:space="preserve"> 17.2598</v>
      </c>
      <c r="H220" s="1" t="str">
        <f t="shared" si="38"/>
        <v>LT91</v>
      </c>
      <c r="J220" s="1" t="str">
        <f t="shared" si="39"/>
        <v>SG</v>
      </c>
      <c r="K220" s="1">
        <v>2033</v>
      </c>
      <c r="L220" s="1">
        <v>102</v>
      </c>
      <c r="M220" s="1" t="str">
        <f t="shared" si="35"/>
        <v>41+815</v>
      </c>
    </row>
    <row r="221" spans="1:13" x14ac:dyDescent="0.2">
      <c r="A221" t="s">
        <v>441</v>
      </c>
      <c r="B221" t="s">
        <v>442</v>
      </c>
      <c r="F221" s="1" t="str">
        <f t="shared" si="36"/>
        <v>104.7000</v>
      </c>
      <c r="G221" s="1" t="str">
        <f t="shared" si="37"/>
        <v xml:space="preserve"> 17.2610</v>
      </c>
      <c r="I221" s="1" t="str">
        <f t="shared" si="33"/>
        <v>RT127</v>
      </c>
      <c r="J221" s="1" t="str">
        <f>MID(B221,7,2)</f>
        <v>SG</v>
      </c>
      <c r="K221" s="1">
        <v>2033</v>
      </c>
      <c r="L221" s="1">
        <v>102</v>
      </c>
      <c r="M221" s="1" t="str">
        <f t="shared" si="35"/>
        <v xml:space="preserve"> 41+995</v>
      </c>
    </row>
    <row r="222" spans="1:13" x14ac:dyDescent="0.2">
      <c r="A222" t="s">
        <v>443</v>
      </c>
      <c r="B222" t="s">
        <v>444</v>
      </c>
      <c r="F222" s="1" t="str">
        <f t="shared" si="36"/>
        <v>104.7005</v>
      </c>
      <c r="G222" s="1" t="str">
        <f t="shared" si="37"/>
        <v xml:space="preserve"> 17.2616</v>
      </c>
      <c r="I222" s="1" t="str">
        <f t="shared" si="33"/>
        <v>RT128</v>
      </c>
      <c r="J222" s="1" t="str">
        <f t="shared" ref="J222:J243" si="40">MID(B222,7,2)</f>
        <v>SG</v>
      </c>
      <c r="K222" s="1">
        <v>2033</v>
      </c>
      <c r="L222" s="1">
        <v>102</v>
      </c>
      <c r="M222" s="1" t="str">
        <f t="shared" si="35"/>
        <v xml:space="preserve"> 42+085</v>
      </c>
    </row>
    <row r="223" spans="1:13" x14ac:dyDescent="0.2">
      <c r="A223" t="s">
        <v>445</v>
      </c>
      <c r="B223" t="s">
        <v>446</v>
      </c>
      <c r="F223" s="1" t="str">
        <f t="shared" si="36"/>
        <v>104.7012</v>
      </c>
      <c r="G223" s="1" t="str">
        <f t="shared" si="37"/>
        <v xml:space="preserve"> 17.2627</v>
      </c>
      <c r="I223" s="1" t="str">
        <f t="shared" si="33"/>
        <v>RT129</v>
      </c>
      <c r="J223" s="1" t="str">
        <f t="shared" si="40"/>
        <v>SG</v>
      </c>
      <c r="K223" s="1">
        <v>2033</v>
      </c>
      <c r="L223" s="1">
        <v>102</v>
      </c>
      <c r="M223" s="1" t="str">
        <f t="shared" si="35"/>
        <v xml:space="preserve"> 42+215</v>
      </c>
    </row>
    <row r="224" spans="1:13" x14ac:dyDescent="0.2">
      <c r="A224" t="s">
        <v>447</v>
      </c>
      <c r="B224" t="s">
        <v>448</v>
      </c>
      <c r="F224" s="1" t="str">
        <f t="shared" si="36"/>
        <v>104.7013</v>
      </c>
      <c r="G224" s="1" t="str">
        <f t="shared" si="37"/>
        <v xml:space="preserve"> 17.2631</v>
      </c>
      <c r="I224" s="1" t="str">
        <f t="shared" si="33"/>
        <v>RT130</v>
      </c>
      <c r="J224" s="1" t="str">
        <f t="shared" si="40"/>
        <v>SG</v>
      </c>
      <c r="K224" s="1">
        <v>2033</v>
      </c>
      <c r="L224" s="1">
        <v>102</v>
      </c>
      <c r="M224" s="1" t="str">
        <f t="shared" si="35"/>
        <v xml:space="preserve"> 42+270</v>
      </c>
    </row>
    <row r="225" spans="1:13" x14ac:dyDescent="0.2">
      <c r="A225" t="s">
        <v>449</v>
      </c>
      <c r="B225" t="s">
        <v>450</v>
      </c>
      <c r="F225" s="1" t="str">
        <f t="shared" si="36"/>
        <v>104.7015</v>
      </c>
      <c r="G225" s="1" t="str">
        <f>MID(A225,18,7)</f>
        <v>17.2635</v>
      </c>
      <c r="I225" s="1" t="str">
        <f t="shared" si="33"/>
        <v>RT131</v>
      </c>
      <c r="J225" s="1" t="str">
        <f t="shared" si="40"/>
        <v>SG</v>
      </c>
      <c r="K225" s="1">
        <v>2033</v>
      </c>
      <c r="L225" s="1">
        <v>102</v>
      </c>
      <c r="M225" s="1" t="str">
        <f>MID(B225,25,7)</f>
        <v xml:space="preserve"> 42+315</v>
      </c>
    </row>
    <row r="226" spans="1:13" x14ac:dyDescent="0.2">
      <c r="A226" t="s">
        <v>451</v>
      </c>
      <c r="B226" t="s">
        <v>452</v>
      </c>
      <c r="F226" s="1" t="str">
        <f t="shared" si="36"/>
        <v>104.7017</v>
      </c>
      <c r="G226" s="1" t="str">
        <f>MID(A226,17,7)</f>
        <v>17.2639</v>
      </c>
      <c r="I226" s="1" t="str">
        <f t="shared" si="33"/>
        <v>RT132</v>
      </c>
      <c r="J226" s="1" t="str">
        <f t="shared" si="40"/>
        <v>SG</v>
      </c>
      <c r="K226" s="1">
        <v>2033</v>
      </c>
      <c r="L226" s="1">
        <v>102</v>
      </c>
      <c r="M226" s="1" t="str">
        <f t="shared" si="35"/>
        <v xml:space="preserve"> 42+360</v>
      </c>
    </row>
    <row r="227" spans="1:13" x14ac:dyDescent="0.2">
      <c r="A227" t="s">
        <v>453</v>
      </c>
      <c r="B227" t="s">
        <v>454</v>
      </c>
      <c r="F227" s="1" t="str">
        <f t="shared" si="36"/>
        <v>104.7018</v>
      </c>
      <c r="G227" s="1" t="str">
        <f t="shared" si="37"/>
        <v xml:space="preserve"> 17.2643</v>
      </c>
      <c r="I227" s="1" t="str">
        <f t="shared" si="33"/>
        <v>RT133</v>
      </c>
      <c r="J227" s="1" t="str">
        <f t="shared" si="40"/>
        <v>SG</v>
      </c>
      <c r="K227" s="1">
        <v>2033</v>
      </c>
      <c r="L227" s="1">
        <v>102</v>
      </c>
      <c r="M227" s="1" t="str">
        <f t="shared" si="35"/>
        <v xml:space="preserve"> 42+405</v>
      </c>
    </row>
    <row r="228" spans="1:13" x14ac:dyDescent="0.2">
      <c r="A228" t="s">
        <v>455</v>
      </c>
      <c r="B228" t="s">
        <v>456</v>
      </c>
      <c r="F228" s="1" t="str">
        <f t="shared" si="36"/>
        <v>104.7106</v>
      </c>
      <c r="G228" s="1" t="str">
        <f t="shared" si="37"/>
        <v xml:space="preserve"> 17.2845</v>
      </c>
      <c r="I228" s="1" t="str">
        <f t="shared" si="33"/>
        <v>RT134</v>
      </c>
      <c r="J228" s="1" t="str">
        <f t="shared" si="40"/>
        <v>SG</v>
      </c>
      <c r="K228" s="1">
        <v>2033</v>
      </c>
      <c r="L228" s="1">
        <v>102</v>
      </c>
      <c r="M228" s="1" t="str">
        <f t="shared" si="35"/>
        <v xml:space="preserve"> 44+850</v>
      </c>
    </row>
    <row r="229" spans="1:13" x14ac:dyDescent="0.2">
      <c r="A229" t="s">
        <v>457</v>
      </c>
      <c r="B229" t="s">
        <v>458</v>
      </c>
      <c r="F229" s="1" t="str">
        <f t="shared" si="36"/>
        <v>104.7108</v>
      </c>
      <c r="G229" s="1" t="str">
        <f t="shared" si="37"/>
        <v xml:space="preserve"> 17.2850</v>
      </c>
      <c r="I229" s="1" t="str">
        <f t="shared" si="33"/>
        <v>RT135</v>
      </c>
      <c r="J229" s="1" t="str">
        <f t="shared" si="40"/>
        <v>SG</v>
      </c>
      <c r="K229" s="1">
        <v>2033</v>
      </c>
      <c r="L229" s="1">
        <v>102</v>
      </c>
      <c r="M229" s="1" t="str">
        <f t="shared" si="35"/>
        <v xml:space="preserve"> 44+900</v>
      </c>
    </row>
    <row r="230" spans="1:13" x14ac:dyDescent="0.2">
      <c r="A230" t="s">
        <v>459</v>
      </c>
      <c r="B230" t="s">
        <v>460</v>
      </c>
      <c r="F230" s="1" t="str">
        <f t="shared" si="36"/>
        <v>104.7109</v>
      </c>
      <c r="G230" s="1" t="str">
        <f t="shared" si="37"/>
        <v xml:space="preserve"> 17.2853</v>
      </c>
      <c r="I230" s="1" t="str">
        <f t="shared" si="33"/>
        <v>RT136</v>
      </c>
      <c r="J230" s="1" t="str">
        <f t="shared" si="40"/>
        <v>SG</v>
      </c>
      <c r="K230" s="1">
        <v>2033</v>
      </c>
      <c r="L230" s="1">
        <v>102</v>
      </c>
      <c r="M230" s="1" t="str">
        <f t="shared" si="35"/>
        <v xml:space="preserve"> 44+945</v>
      </c>
    </row>
    <row r="231" spans="1:13" x14ac:dyDescent="0.2">
      <c r="A231" t="s">
        <v>461</v>
      </c>
      <c r="B231" t="s">
        <v>462</v>
      </c>
      <c r="F231" s="1" t="str">
        <f t="shared" si="36"/>
        <v>104.7110</v>
      </c>
      <c r="G231" s="1" t="str">
        <f t="shared" si="37"/>
        <v xml:space="preserve"> 17.2857</v>
      </c>
      <c r="I231" s="1" t="str">
        <f t="shared" si="33"/>
        <v>RT137</v>
      </c>
      <c r="J231" s="1" t="str">
        <f t="shared" si="40"/>
        <v>SG</v>
      </c>
      <c r="K231" s="1">
        <v>2033</v>
      </c>
      <c r="L231" s="1">
        <v>102</v>
      </c>
      <c r="M231" s="1" t="str">
        <f t="shared" si="35"/>
        <v xml:space="preserve"> 44+990</v>
      </c>
    </row>
    <row r="232" spans="1:13" x14ac:dyDescent="0.2">
      <c r="A232" t="s">
        <v>463</v>
      </c>
      <c r="B232" t="s">
        <v>464</v>
      </c>
      <c r="F232" s="1" t="str">
        <f t="shared" si="36"/>
        <v>104.7111</v>
      </c>
      <c r="G232" s="1" t="str">
        <f t="shared" si="37"/>
        <v xml:space="preserve"> 17.2860</v>
      </c>
      <c r="I232" s="1" t="str">
        <f t="shared" si="33"/>
        <v>RT138</v>
      </c>
      <c r="J232" s="1" t="str">
        <f t="shared" si="40"/>
        <v>SG</v>
      </c>
      <c r="K232" s="1">
        <v>2033</v>
      </c>
      <c r="L232" s="1">
        <v>102</v>
      </c>
      <c r="M232" s="1" t="str">
        <f t="shared" si="35"/>
        <v xml:space="preserve"> 45+025</v>
      </c>
    </row>
    <row r="233" spans="1:13" x14ac:dyDescent="0.2">
      <c r="A233" t="s">
        <v>465</v>
      </c>
      <c r="B233" t="s">
        <v>466</v>
      </c>
      <c r="F233" s="1" t="str">
        <f t="shared" si="36"/>
        <v>104.7112</v>
      </c>
      <c r="G233" s="1" t="str">
        <f t="shared" si="37"/>
        <v xml:space="preserve"> 17.2864</v>
      </c>
      <c r="I233" s="1" t="str">
        <f t="shared" si="33"/>
        <v>RT139</v>
      </c>
      <c r="J233" s="1" t="str">
        <f t="shared" si="40"/>
        <v>SG</v>
      </c>
      <c r="K233" s="1">
        <v>2033</v>
      </c>
      <c r="L233" s="1">
        <v>102</v>
      </c>
      <c r="M233" s="1" t="str">
        <f t="shared" si="35"/>
        <v xml:space="preserve"> 45+070</v>
      </c>
    </row>
    <row r="234" spans="1:13" x14ac:dyDescent="0.2">
      <c r="A234" t="s">
        <v>467</v>
      </c>
      <c r="B234" t="s">
        <v>468</v>
      </c>
      <c r="F234" s="1" t="str">
        <f t="shared" si="36"/>
        <v>104.7113</v>
      </c>
      <c r="G234" s="1" t="str">
        <f t="shared" si="37"/>
        <v xml:space="preserve"> 17.2867</v>
      </c>
      <c r="I234" s="1" t="str">
        <f t="shared" si="33"/>
        <v>RT140</v>
      </c>
      <c r="J234" s="1" t="str">
        <f t="shared" si="40"/>
        <v>SG</v>
      </c>
      <c r="K234" s="1">
        <v>2033</v>
      </c>
      <c r="L234" s="1">
        <v>102</v>
      </c>
      <c r="M234" s="1" t="str">
        <f t="shared" si="35"/>
        <v xml:space="preserve"> 45+115</v>
      </c>
    </row>
    <row r="235" spans="1:13" x14ac:dyDescent="0.2">
      <c r="A235" t="s">
        <v>469</v>
      </c>
      <c r="B235" t="s">
        <v>470</v>
      </c>
      <c r="F235" s="1" t="str">
        <f t="shared" si="36"/>
        <v>104.7114</v>
      </c>
      <c r="G235" s="1" t="str">
        <f t="shared" si="37"/>
        <v xml:space="preserve"> 17.2872</v>
      </c>
      <c r="I235" s="1" t="str">
        <f t="shared" si="33"/>
        <v>RT141</v>
      </c>
      <c r="J235" s="1" t="str">
        <f t="shared" si="40"/>
        <v>SG</v>
      </c>
      <c r="K235" s="1">
        <v>2033</v>
      </c>
      <c r="L235" s="1">
        <v>102</v>
      </c>
      <c r="M235" s="1" t="str">
        <f t="shared" si="35"/>
        <v xml:space="preserve"> 45+160</v>
      </c>
    </row>
    <row r="236" spans="1:13" x14ac:dyDescent="0.2">
      <c r="A236" t="s">
        <v>471</v>
      </c>
      <c r="B236" t="s">
        <v>472</v>
      </c>
      <c r="F236" s="1" t="str">
        <f t="shared" si="36"/>
        <v>104.7115</v>
      </c>
      <c r="G236" s="1" t="str">
        <f t="shared" si="37"/>
        <v xml:space="preserve"> 17.2876</v>
      </c>
      <c r="I236" s="1" t="str">
        <f t="shared" si="33"/>
        <v>RT142</v>
      </c>
      <c r="J236" s="1" t="str">
        <f t="shared" si="40"/>
        <v>SG</v>
      </c>
      <c r="K236" s="1">
        <v>2033</v>
      </c>
      <c r="L236" s="1">
        <v>102</v>
      </c>
      <c r="M236" s="1" t="str">
        <f t="shared" si="35"/>
        <v xml:space="preserve"> 45+205</v>
      </c>
    </row>
    <row r="237" spans="1:13" x14ac:dyDescent="0.2">
      <c r="A237" t="s">
        <v>473</v>
      </c>
      <c r="B237" t="s">
        <v>474</v>
      </c>
      <c r="F237" s="1" t="str">
        <f t="shared" si="36"/>
        <v>104.7116</v>
      </c>
      <c r="G237" s="1" t="str">
        <f t="shared" si="37"/>
        <v xml:space="preserve"> 17.2880</v>
      </c>
      <c r="I237" s="1" t="str">
        <f t="shared" si="33"/>
        <v>RT143</v>
      </c>
      <c r="J237" s="1" t="str">
        <f t="shared" si="40"/>
        <v>SG</v>
      </c>
      <c r="K237" s="1">
        <v>2033</v>
      </c>
      <c r="L237" s="1">
        <v>102</v>
      </c>
      <c r="M237" s="1" t="str">
        <f t="shared" si="35"/>
        <v xml:space="preserve"> 45+250</v>
      </c>
    </row>
    <row r="238" spans="1:13" x14ac:dyDescent="0.2">
      <c r="A238" t="s">
        <v>475</v>
      </c>
      <c r="B238" t="s">
        <v>476</v>
      </c>
      <c r="F238" s="1" t="str">
        <f t="shared" si="36"/>
        <v>104.7116</v>
      </c>
      <c r="G238" s="1" t="str">
        <f>MID(A238,18,7)</f>
        <v>17.2884</v>
      </c>
      <c r="I238" s="1" t="str">
        <f t="shared" si="33"/>
        <v>RT144</v>
      </c>
      <c r="J238" s="1" t="str">
        <f t="shared" si="40"/>
        <v>SG</v>
      </c>
      <c r="K238" s="1">
        <v>2033</v>
      </c>
      <c r="L238" s="1">
        <v>102</v>
      </c>
      <c r="M238" s="1" t="str">
        <f t="shared" si="35"/>
        <v xml:space="preserve"> 45+295</v>
      </c>
    </row>
    <row r="239" spans="1:13" x14ac:dyDescent="0.2">
      <c r="A239" t="s">
        <v>477</v>
      </c>
      <c r="B239" t="s">
        <v>478</v>
      </c>
      <c r="F239" s="1" t="str">
        <f t="shared" si="36"/>
        <v>104.7117</v>
      </c>
      <c r="G239" s="1" t="str">
        <f t="shared" si="37"/>
        <v xml:space="preserve"> 17.2888</v>
      </c>
      <c r="I239" s="1" t="str">
        <f t="shared" si="33"/>
        <v>RT145</v>
      </c>
      <c r="J239" s="1" t="str">
        <f t="shared" si="40"/>
        <v>SG</v>
      </c>
      <c r="K239" s="1">
        <v>2033</v>
      </c>
      <c r="L239" s="1">
        <v>102</v>
      </c>
      <c r="M239" s="1" t="str">
        <f t="shared" si="35"/>
        <v xml:space="preserve"> 45+340</v>
      </c>
    </row>
    <row r="240" spans="1:13" x14ac:dyDescent="0.2">
      <c r="A240" t="s">
        <v>479</v>
      </c>
      <c r="B240" t="s">
        <v>480</v>
      </c>
      <c r="F240" s="1" t="str">
        <f t="shared" si="36"/>
        <v>104.7118</v>
      </c>
      <c r="G240" s="1" t="str">
        <f t="shared" si="37"/>
        <v xml:space="preserve"> 17.2892</v>
      </c>
      <c r="I240" s="1" t="str">
        <f t="shared" si="33"/>
        <v>RT146</v>
      </c>
      <c r="J240" s="1" t="str">
        <f t="shared" si="40"/>
        <v>SG</v>
      </c>
      <c r="K240" s="1">
        <v>2033</v>
      </c>
      <c r="L240" s="1">
        <v>102</v>
      </c>
      <c r="M240" s="1" t="str">
        <f t="shared" si="35"/>
        <v xml:space="preserve"> 45+385</v>
      </c>
    </row>
    <row r="241" spans="1:13" x14ac:dyDescent="0.2">
      <c r="A241" t="s">
        <v>481</v>
      </c>
      <c r="B241" t="s">
        <v>482</v>
      </c>
      <c r="F241" s="1" t="str">
        <f t="shared" si="36"/>
        <v>104.7118</v>
      </c>
      <c r="G241" s="1" t="str">
        <f t="shared" si="37"/>
        <v xml:space="preserve"> 17.2896</v>
      </c>
      <c r="I241" s="1" t="str">
        <f t="shared" si="33"/>
        <v>RT147</v>
      </c>
      <c r="J241" s="1" t="str">
        <f t="shared" si="40"/>
        <v>SG</v>
      </c>
      <c r="K241" s="1">
        <v>2033</v>
      </c>
      <c r="L241" s="1">
        <v>102</v>
      </c>
      <c r="M241" s="1" t="str">
        <f t="shared" si="35"/>
        <v xml:space="preserve"> 45+430</v>
      </c>
    </row>
    <row r="242" spans="1:13" x14ac:dyDescent="0.2">
      <c r="A242" t="s">
        <v>483</v>
      </c>
      <c r="B242" t="s">
        <v>484</v>
      </c>
      <c r="F242" s="1" t="str">
        <f t="shared" si="36"/>
        <v>104.7119</v>
      </c>
      <c r="G242" s="1" t="str">
        <f t="shared" si="37"/>
        <v xml:space="preserve"> 17.2900</v>
      </c>
      <c r="I242" s="1" t="str">
        <f t="shared" si="33"/>
        <v>RT148</v>
      </c>
      <c r="J242" s="1" t="str">
        <f t="shared" si="40"/>
        <v>SG</v>
      </c>
      <c r="K242" s="1">
        <v>2033</v>
      </c>
      <c r="L242" s="1">
        <v>102</v>
      </c>
      <c r="M242" s="1" t="str">
        <f>MID(B242,25,7)</f>
        <v xml:space="preserve"> 45+475</v>
      </c>
    </row>
    <row r="243" spans="1:13" x14ac:dyDescent="0.2">
      <c r="A243" t="s">
        <v>485</v>
      </c>
      <c r="B243" t="s">
        <v>486</v>
      </c>
      <c r="F243" s="1" t="str">
        <f t="shared" si="36"/>
        <v>104.7119</v>
      </c>
      <c r="G243" s="1" t="str">
        <f t="shared" si="37"/>
        <v xml:space="preserve"> 17.2903</v>
      </c>
      <c r="I243" s="1" t="str">
        <f t="shared" si="33"/>
        <v>RT149</v>
      </c>
      <c r="J243" s="1" t="str">
        <f t="shared" si="40"/>
        <v>SG</v>
      </c>
      <c r="K243" s="1">
        <v>2033</v>
      </c>
      <c r="L243" s="1">
        <v>102</v>
      </c>
      <c r="M243" s="1" t="str">
        <f t="shared" si="35"/>
        <v xml:space="preserve"> 45+520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2</vt:i4>
      </vt:variant>
    </vt:vector>
  </HeadingPairs>
  <TitlesOfParts>
    <vt:vector size="2" baseType="lpstr">
      <vt:lpstr>DATA CSV หมวดปลาปาก 2033</vt:lpstr>
      <vt:lpstr>แผนที่ที่ไม่มีชื่อ- 2033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NongAum</dc:creator>
  <cp:lastModifiedBy>AUM_HumNoi</cp:lastModifiedBy>
  <dcterms:created xsi:type="dcterms:W3CDTF">2023-06-26T03:42:59Z</dcterms:created>
  <dcterms:modified xsi:type="dcterms:W3CDTF">2023-06-29T07:28:47Z</dcterms:modified>
</cp:coreProperties>
</file>