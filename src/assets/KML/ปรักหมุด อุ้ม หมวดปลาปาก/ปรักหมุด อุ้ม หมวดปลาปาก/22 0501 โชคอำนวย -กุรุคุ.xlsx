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_HumNoi\OneDrive\เดสก์ท็อป\ปรักหมุด อุ้ม หมวดปลาปาก\"/>
    </mc:Choice>
  </mc:AlternateContent>
  <xr:revisionPtr revIDLastSave="0" documentId="13_ncr:1_{D4D0079F-FC98-47DD-A5F6-9CBEDC174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SV หมวดปลาปาก 22" sheetId="2" r:id="rId1"/>
    <sheet name="แผนที่ที่ไม่มีชื่อ- สาย 22" sheetId="1" r:id="rId2"/>
  </sheets>
  <calcPr calcId="181029"/>
</workbook>
</file>

<file path=xl/calcChain.xml><?xml version="1.0" encoding="utf-8"?>
<calcChain xmlns="http://schemas.openxmlformats.org/spreadsheetml/2006/main">
  <c r="O22" i="1" l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52" i="1"/>
  <c r="O547" i="1"/>
  <c r="O548" i="1"/>
  <c r="O549" i="1"/>
  <c r="O550" i="1"/>
  <c r="O55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28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9" i="1"/>
  <c r="O530" i="1"/>
  <c r="O531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69" i="1"/>
  <c r="O464" i="1"/>
  <c r="O465" i="1"/>
  <c r="O466" i="1"/>
  <c r="O467" i="1"/>
  <c r="O468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75" i="1"/>
  <c r="O376" i="1"/>
  <c r="O374" i="1"/>
  <c r="O372" i="1"/>
  <c r="O362" i="1"/>
  <c r="O363" i="1"/>
  <c r="O364" i="1"/>
  <c r="O365" i="1"/>
  <c r="O366" i="1"/>
  <c r="O367" i="1"/>
  <c r="O368" i="1"/>
  <c r="O369" i="1"/>
  <c r="O370" i="1"/>
  <c r="O371" i="1"/>
  <c r="O373" i="1"/>
  <c r="O349" i="1"/>
  <c r="O347" i="1"/>
  <c r="O348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N178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53" i="1"/>
  <c r="O132" i="1"/>
  <c r="O133" i="1"/>
  <c r="O134" i="1"/>
  <c r="O135" i="1"/>
  <c r="O136" i="1"/>
  <c r="O137" i="1"/>
  <c r="O138" i="1"/>
  <c r="O139" i="1"/>
  <c r="O140" i="1"/>
  <c r="O141" i="1"/>
  <c r="O131" i="1"/>
  <c r="O114" i="1"/>
  <c r="O115" i="1"/>
  <c r="O116" i="1"/>
  <c r="O117" i="1"/>
  <c r="O118" i="1"/>
  <c r="O119" i="1"/>
  <c r="O120" i="1"/>
  <c r="O121" i="1"/>
  <c r="O103" i="1"/>
  <c r="O104" i="1"/>
  <c r="O105" i="1"/>
  <c r="O106" i="1"/>
  <c r="O107" i="1"/>
  <c r="O108" i="1"/>
  <c r="O109" i="1"/>
  <c r="O110" i="1"/>
  <c r="O111" i="1"/>
  <c r="O112" i="1"/>
  <c r="O113" i="1"/>
  <c r="O101" i="1"/>
  <c r="O100" i="1"/>
  <c r="O102" i="1"/>
  <c r="H88" i="1"/>
  <c r="O97" i="1"/>
  <c r="O96" i="1"/>
  <c r="O91" i="1"/>
  <c r="O92" i="1"/>
  <c r="O90" i="1"/>
  <c r="O89" i="1"/>
  <c r="O93" i="1"/>
  <c r="O94" i="1"/>
  <c r="O95" i="1"/>
  <c r="O98" i="1"/>
  <c r="O99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7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50" i="1"/>
  <c r="O49" i="1"/>
  <c r="O48" i="1"/>
  <c r="O46" i="1"/>
  <c r="O47" i="1"/>
  <c r="O45" i="1"/>
  <c r="O44" i="1"/>
  <c r="N44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3" i="1"/>
  <c r="O12" i="1"/>
  <c r="O13" i="1"/>
  <c r="O14" i="1"/>
  <c r="O15" i="1"/>
  <c r="O16" i="1"/>
  <c r="O17" i="1"/>
  <c r="O18" i="1"/>
  <c r="O19" i="1"/>
  <c r="O20" i="1"/>
  <c r="O21" i="1"/>
  <c r="O11" i="1"/>
  <c r="O3" i="1"/>
  <c r="O4" i="1"/>
  <c r="O5" i="1"/>
  <c r="O6" i="1"/>
  <c r="O7" i="1"/>
  <c r="O8" i="1"/>
  <c r="O9" i="1"/>
  <c r="O10" i="1"/>
  <c r="O122" i="1"/>
  <c r="O123" i="1"/>
  <c r="O124" i="1"/>
  <c r="O125" i="1"/>
  <c r="O126" i="1"/>
  <c r="O127" i="1"/>
  <c r="O128" i="1"/>
  <c r="O129" i="1"/>
  <c r="O130" i="1"/>
  <c r="O142" i="1"/>
  <c r="O143" i="1"/>
  <c r="O144" i="1"/>
  <c r="O145" i="1"/>
  <c r="O146" i="1"/>
  <c r="O147" i="1"/>
  <c r="O148" i="1"/>
  <c r="O149" i="1"/>
  <c r="O150" i="1"/>
  <c r="O151" i="1"/>
  <c r="O152" i="1"/>
  <c r="O2" i="1"/>
  <c r="N56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7" i="1"/>
  <c r="N568" i="1"/>
  <c r="N552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28" i="1"/>
  <c r="N519" i="1"/>
  <c r="N520" i="1"/>
  <c r="N521" i="1"/>
  <c r="N522" i="1"/>
  <c r="N523" i="1"/>
  <c r="N524" i="1"/>
  <c r="N525" i="1"/>
  <c r="N526" i="1"/>
  <c r="N527" i="1"/>
  <c r="N529" i="1"/>
  <c r="N530" i="1"/>
  <c r="N531" i="1"/>
  <c r="N532" i="1"/>
  <c r="N533" i="1"/>
  <c r="N534" i="1"/>
  <c r="N535" i="1"/>
  <c r="N536" i="1"/>
  <c r="N537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75" i="1"/>
  <c r="N476" i="1"/>
  <c r="N477" i="1"/>
  <c r="N478" i="1"/>
  <c r="N479" i="1"/>
  <c r="N480" i="1"/>
  <c r="N481" i="1"/>
  <c r="N482" i="1"/>
  <c r="N483" i="1"/>
  <c r="N474" i="1"/>
  <c r="N470" i="1"/>
  <c r="N471" i="1"/>
  <c r="N472" i="1"/>
  <c r="N473" i="1"/>
  <c r="N46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74" i="1"/>
  <c r="N372" i="1"/>
  <c r="N363" i="1"/>
  <c r="N364" i="1"/>
  <c r="N365" i="1"/>
  <c r="N366" i="1"/>
  <c r="N367" i="1"/>
  <c r="N368" i="1"/>
  <c r="N369" i="1"/>
  <c r="N370" i="1"/>
  <c r="N371" i="1"/>
  <c r="N373" i="1"/>
  <c r="N375" i="1"/>
  <c r="N376" i="1"/>
  <c r="N377" i="1"/>
  <c r="N378" i="1"/>
  <c r="N379" i="1"/>
  <c r="N380" i="1"/>
  <c r="N381" i="1"/>
  <c r="N349" i="1"/>
  <c r="N347" i="1"/>
  <c r="N348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47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184" i="1"/>
  <c r="N185" i="1"/>
  <c r="N186" i="1"/>
  <c r="N187" i="1"/>
  <c r="N188" i="1"/>
  <c r="N189" i="1"/>
  <c r="N190" i="1"/>
  <c r="N176" i="1"/>
  <c r="N177" i="1"/>
  <c r="N179" i="1"/>
  <c r="N180" i="1"/>
  <c r="N181" i="1"/>
  <c r="N182" i="1"/>
  <c r="N183" i="1"/>
  <c r="N165" i="1"/>
  <c r="N166" i="1"/>
  <c r="N167" i="1"/>
  <c r="N168" i="1"/>
  <c r="N169" i="1"/>
  <c r="N170" i="1"/>
  <c r="N171" i="1"/>
  <c r="N172" i="1"/>
  <c r="N173" i="1"/>
  <c r="N174" i="1"/>
  <c r="N175" i="1"/>
  <c r="N154" i="1"/>
  <c r="N155" i="1"/>
  <c r="N156" i="1"/>
  <c r="N157" i="1"/>
  <c r="N158" i="1"/>
  <c r="N159" i="1"/>
  <c r="N160" i="1"/>
  <c r="N161" i="1"/>
  <c r="N162" i="1"/>
  <c r="N163" i="1"/>
  <c r="N164" i="1"/>
  <c r="N153" i="1"/>
  <c r="N145" i="1"/>
  <c r="N143" i="1"/>
  <c r="N144" i="1"/>
  <c r="N146" i="1"/>
  <c r="N147" i="1"/>
  <c r="N148" i="1"/>
  <c r="N149" i="1"/>
  <c r="N150" i="1"/>
  <c r="N151" i="1"/>
  <c r="N152" i="1"/>
  <c r="N142" i="1"/>
  <c r="N132" i="1"/>
  <c r="N133" i="1"/>
  <c r="N134" i="1"/>
  <c r="N135" i="1"/>
  <c r="N136" i="1"/>
  <c r="N137" i="1"/>
  <c r="N138" i="1"/>
  <c r="N139" i="1"/>
  <c r="N140" i="1"/>
  <c r="N141" i="1"/>
  <c r="N131" i="1"/>
  <c r="N127" i="1"/>
  <c r="N123" i="1"/>
  <c r="N124" i="1"/>
  <c r="N125" i="1"/>
  <c r="N126" i="1"/>
  <c r="N128" i="1"/>
  <c r="N129" i="1"/>
  <c r="N130" i="1"/>
  <c r="N122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03" i="1"/>
  <c r="N104" i="1"/>
  <c r="N105" i="1"/>
  <c r="N102" i="1"/>
  <c r="N99" i="1"/>
  <c r="N98" i="1"/>
  <c r="N97" i="1"/>
  <c r="N100" i="1"/>
  <c r="N101" i="1"/>
  <c r="N96" i="1"/>
  <c r="N95" i="1"/>
  <c r="N91" i="1"/>
  <c r="N92" i="1"/>
  <c r="N90" i="1"/>
  <c r="N89" i="1"/>
  <c r="N93" i="1"/>
  <c r="N94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70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51" i="1"/>
  <c r="N52" i="1"/>
  <c r="N53" i="1"/>
  <c r="N54" i="1"/>
  <c r="N55" i="1"/>
  <c r="N50" i="1"/>
  <c r="N48" i="1"/>
  <c r="N39" i="1"/>
  <c r="N40" i="1"/>
  <c r="N41" i="1"/>
  <c r="N42" i="1"/>
  <c r="N43" i="1"/>
  <c r="N45" i="1"/>
  <c r="N46" i="1"/>
  <c r="N47" i="1"/>
  <c r="N49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2" i="1"/>
  <c r="N12" i="1"/>
  <c r="N13" i="1"/>
  <c r="N14" i="1"/>
  <c r="N15" i="1"/>
  <c r="N16" i="1"/>
  <c r="N17" i="1"/>
  <c r="N18" i="1"/>
  <c r="N19" i="1"/>
  <c r="N20" i="1"/>
  <c r="N21" i="1"/>
  <c r="N11" i="1"/>
  <c r="N3" i="1"/>
  <c r="N4" i="1"/>
  <c r="N5" i="1"/>
  <c r="N6" i="1"/>
  <c r="N7" i="1"/>
  <c r="N8" i="1"/>
  <c r="N9" i="1"/>
  <c r="N10" i="1"/>
  <c r="N2" i="1"/>
  <c r="J372" i="1"/>
  <c r="J374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469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K369" i="1"/>
  <c r="K370" i="1"/>
  <c r="K371" i="1"/>
  <c r="K373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51" i="1"/>
  <c r="K352" i="1"/>
  <c r="K353" i="1"/>
  <c r="K354" i="1"/>
  <c r="K355" i="1"/>
  <c r="K356" i="1"/>
  <c r="K350" i="1"/>
  <c r="I349" i="1"/>
  <c r="K348" i="1"/>
  <c r="K347" i="1"/>
  <c r="K346" i="1"/>
  <c r="K336" i="1"/>
  <c r="K337" i="1"/>
  <c r="K338" i="1"/>
  <c r="K339" i="1"/>
  <c r="K340" i="1"/>
  <c r="K341" i="1"/>
  <c r="K342" i="1"/>
  <c r="K343" i="1"/>
  <c r="K344" i="1"/>
  <c r="K345" i="1"/>
  <c r="K327" i="1"/>
  <c r="K328" i="1"/>
  <c r="K329" i="1"/>
  <c r="K330" i="1"/>
  <c r="K331" i="1"/>
  <c r="K332" i="1"/>
  <c r="K333" i="1"/>
  <c r="K334" i="1"/>
  <c r="K335" i="1"/>
  <c r="K316" i="1"/>
  <c r="K317" i="1"/>
  <c r="K318" i="1"/>
  <c r="K319" i="1"/>
  <c r="K320" i="1"/>
  <c r="K321" i="1"/>
  <c r="K322" i="1"/>
  <c r="K323" i="1"/>
  <c r="K324" i="1"/>
  <c r="K325" i="1"/>
  <c r="K326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286" i="1"/>
  <c r="K287" i="1"/>
  <c r="K288" i="1"/>
  <c r="K289" i="1"/>
  <c r="K290" i="1"/>
  <c r="K291" i="1"/>
  <c r="K292" i="1"/>
  <c r="K293" i="1"/>
  <c r="K294" i="1"/>
  <c r="K295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48" i="1"/>
  <c r="K249" i="1"/>
  <c r="K250" i="1"/>
  <c r="K251" i="1"/>
  <c r="K252" i="1"/>
  <c r="K253" i="1"/>
  <c r="K254" i="1"/>
  <c r="K247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J185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54" i="1"/>
  <c r="K155" i="1"/>
  <c r="K156" i="1"/>
  <c r="K157" i="1"/>
  <c r="K158" i="1"/>
  <c r="K159" i="1"/>
  <c r="K160" i="1"/>
  <c r="K161" i="1"/>
  <c r="K162" i="1"/>
  <c r="K163" i="1"/>
  <c r="K153" i="1"/>
  <c r="K143" i="1"/>
  <c r="K144" i="1"/>
  <c r="K145" i="1"/>
  <c r="K146" i="1"/>
  <c r="K147" i="1"/>
  <c r="K148" i="1"/>
  <c r="K149" i="1"/>
  <c r="K150" i="1"/>
  <c r="K151" i="1"/>
  <c r="K152" i="1"/>
  <c r="K142" i="1"/>
  <c r="I137" i="1"/>
  <c r="I138" i="1"/>
  <c r="I139" i="1"/>
  <c r="I140" i="1"/>
  <c r="I141" i="1"/>
  <c r="I132" i="1"/>
  <c r="I133" i="1"/>
  <c r="I134" i="1"/>
  <c r="I135" i="1"/>
  <c r="I136" i="1"/>
  <c r="I131" i="1"/>
  <c r="I123" i="1"/>
  <c r="I124" i="1"/>
  <c r="I125" i="1"/>
  <c r="I126" i="1"/>
  <c r="I127" i="1"/>
  <c r="I128" i="1"/>
  <c r="I129" i="1"/>
  <c r="I130" i="1"/>
  <c r="I122" i="1"/>
  <c r="J121" i="1"/>
  <c r="J118" i="1"/>
  <c r="J119" i="1"/>
  <c r="J120" i="1"/>
  <c r="J116" i="1"/>
  <c r="J117" i="1"/>
  <c r="J111" i="1"/>
  <c r="J112" i="1"/>
  <c r="J113" i="1"/>
  <c r="J114" i="1"/>
  <c r="J115" i="1"/>
  <c r="J103" i="1"/>
  <c r="J104" i="1"/>
  <c r="J105" i="1"/>
  <c r="J106" i="1"/>
  <c r="J107" i="1"/>
  <c r="J108" i="1"/>
  <c r="J109" i="1"/>
  <c r="J110" i="1"/>
  <c r="J102" i="1"/>
  <c r="J101" i="1"/>
  <c r="J100" i="1"/>
  <c r="J97" i="1"/>
  <c r="J91" i="1"/>
  <c r="J92" i="1"/>
  <c r="J90" i="1"/>
  <c r="J70" i="1"/>
  <c r="J71" i="1"/>
  <c r="J62" i="1"/>
  <c r="J63" i="1"/>
  <c r="J64" i="1"/>
  <c r="J65" i="1"/>
  <c r="J66" i="1"/>
  <c r="J67" i="1"/>
  <c r="J68" i="1"/>
  <c r="J69" i="1"/>
  <c r="J55" i="1"/>
  <c r="J56" i="1"/>
  <c r="J57" i="1"/>
  <c r="J58" i="1"/>
  <c r="J59" i="1"/>
  <c r="J60" i="1"/>
  <c r="J61" i="1"/>
  <c r="J54" i="1"/>
  <c r="J51" i="1"/>
  <c r="J52" i="1"/>
  <c r="J53" i="1"/>
  <c r="J50" i="1"/>
  <c r="J49" i="1"/>
  <c r="J48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3" i="1"/>
  <c r="J94" i="1"/>
  <c r="J95" i="1"/>
  <c r="J96" i="1"/>
  <c r="J98" i="1"/>
  <c r="J99" i="1"/>
  <c r="J41" i="1"/>
  <c r="J42" i="1"/>
  <c r="J43" i="1"/>
  <c r="J44" i="1"/>
  <c r="J45" i="1"/>
  <c r="J46" i="1"/>
  <c r="J47" i="1"/>
  <c r="J36" i="1"/>
  <c r="J37" i="1"/>
  <c r="J38" i="1"/>
  <c r="J39" i="1"/>
  <c r="J40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2" i="1"/>
  <c r="J21" i="1"/>
  <c r="J12" i="1"/>
  <c r="J13" i="1"/>
  <c r="J14" i="1"/>
  <c r="J15" i="1"/>
  <c r="J16" i="1"/>
  <c r="J17" i="1"/>
  <c r="J18" i="1"/>
  <c r="J19" i="1"/>
  <c r="J20" i="1"/>
  <c r="J11" i="1"/>
  <c r="J3" i="1"/>
  <c r="J4" i="1"/>
  <c r="J5" i="1"/>
  <c r="J6" i="1"/>
  <c r="J7" i="1"/>
  <c r="J8" i="1"/>
  <c r="J9" i="1"/>
  <c r="J10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2" i="1"/>
</calcChain>
</file>

<file path=xl/sharedStrings.xml><?xml version="1.0" encoding="utf-8"?>
<sst xmlns="http://schemas.openxmlformats.org/spreadsheetml/2006/main" count="4141" uniqueCount="3003">
  <si>
    <t>WKT</t>
  </si>
  <si>
    <t>เธเธทเนเธญ</t>
  </si>
  <si>
    <t>เธเธณเธญเธเธดเธเธฒเธข</t>
  </si>
  <si>
    <t>POINT (104.416695 17.321257 0.0)</t>
  </si>
  <si>
    <t>LT1-SG-22-0501-198+490</t>
  </si>
  <si>
    <t>POINT (104.416984 17.321538 0.0)</t>
  </si>
  <si>
    <t>LT2-SG-22-0501-198+525</t>
  </si>
  <si>
    <t>POINT (104.417319 17.321595 185.24)</t>
  </si>
  <si>
    <t>LT3-SG-22-0501-198+560</t>
  </si>
  <si>
    <t>POINT (104.41766 17.321617 184.71)</t>
  </si>
  <si>
    <t>LT4-SG-22-0501-198+595</t>
  </si>
  <si>
    <t>POINT (104.417953 17.321637 0.0)</t>
  </si>
  <si>
    <t>LT5-SG-22-0501-198+630</t>
  </si>
  <si>
    <t>POINT (104.418277 17.321689 0.0)</t>
  </si>
  <si>
    <t>LT6-SG-22-0501-198+665</t>
  </si>
  <si>
    <t>POINT (104.418643 17.321684 0.0)</t>
  </si>
  <si>
    <t>LT7-SG-22-0501-198+700</t>
  </si>
  <si>
    <t>POINT (104.418982 17.321656 186.63)</t>
  </si>
  <si>
    <t>LT8-SG-22-0501-198+735</t>
  </si>
  <si>
    <t>POINT (104.419336 17.321622 0.0)</t>
  </si>
  <si>
    <t>LT9-SG-22-0501-198+770</t>
  </si>
  <si>
    <t>POINT (104.419722 17.321578 0.0)</t>
  </si>
  <si>
    <t>LT10-SG-22-0501-198+805</t>
  </si>
  <si>
    <t>POINT (104.419994 17.321463 0.0)</t>
  </si>
  <si>
    <t>LT11-SG-22-0501-198+840</t>
  </si>
  <si>
    <t>POINT (104.420335 17.32136 0.0)</t>
  </si>
  <si>
    <t>LT12-SG-22-0501-198+875</t>
  </si>
  <si>
    <t>POINT (104.420688 17.321269 0.0)</t>
  </si>
  <si>
    <t>LT13-SG-22-0501-198+910</t>
  </si>
  <si>
    <t>POINT (104.420958 17.321129 0.0)</t>
  </si>
  <si>
    <t>LT14-SG-22-0501-198+945</t>
  </si>
  <si>
    <t>POINT (104.421251 17.320969 0.0)</t>
  </si>
  <si>
    <t>LT15-SG-22-0501-198+980</t>
  </si>
  <si>
    <t>POINT (104.42156 17.320808 191.6)</t>
  </si>
  <si>
    <t>LT16-SG-22-0501-199+015</t>
  </si>
  <si>
    <t>POINT (104.42183 17.320633 192.49)</t>
  </si>
  <si>
    <t>LT17-SG-22-0501-199+050</t>
  </si>
  <si>
    <t>POINT (104.422116 17.320426 191.1)</t>
  </si>
  <si>
    <t>LT18-SG-22-0501-199+085</t>
  </si>
  <si>
    <t>POINT (104.422382 17.320254 190.74)</t>
  </si>
  <si>
    <t>LT19-SG-22-0501-199+120</t>
  </si>
  <si>
    <t>POINT (104.422728 17.320011 0.0)</t>
  </si>
  <si>
    <t>LT20-SG-22-0501-199+155</t>
  </si>
  <si>
    <t>POINT (104.427387 17.316691 0.0)</t>
  </si>
  <si>
    <t>LT/LT20-SG-22-0501-200+095</t>
  </si>
  <si>
    <t>POINT (104.427684 17.316536 0.0)</t>
  </si>
  <si>
    <t>LT/LT21-SG-22-0501-200+130</t>
  </si>
  <si>
    <t>POINT (104.428474 17.315989 0.0)</t>
  </si>
  <si>
    <t>LT/LT22-SG-22-0501-200+235</t>
  </si>
  <si>
    <t>POINT (104.428805 17.315768 0.0)</t>
  </si>
  <si>
    <t>LT/LT23-SG-22-0501-200+270</t>
  </si>
  <si>
    <t>POINT (104.429013 17.315607 0.0)</t>
  </si>
  <si>
    <t>LT/LT24-SG-22-0501-200+305</t>
  </si>
  <si>
    <t>POINT (104.429298 17.315396 0.0)</t>
  </si>
  <si>
    <t>LT/LT25-SG-22-0501-200+340</t>
  </si>
  <si>
    <t>POINT (104.429624 17.315157 0.0)</t>
  </si>
  <si>
    <t>LT/LT26-SG-22-0501-200+387</t>
  </si>
  <si>
    <t>POINT (104.429811 17.315028 0.0)</t>
  </si>
  <si>
    <t>LT/LT27-SG-22-0501-200+410</t>
  </si>
  <si>
    <t>POINT (104.430075 17.314768 0.0)</t>
  </si>
  <si>
    <t>LT/LT28-SG-22-0501-200+445</t>
  </si>
  <si>
    <t>POINT (104.430301 17.314605 0.0)</t>
  </si>
  <si>
    <t>LT/LT29-SG-22-0501-200+480</t>
  </si>
  <si>
    <t>POINT (104.430646 17.314397 0.0)</t>
  </si>
  <si>
    <t>LT/LT30-SG-22-0501-200+515</t>
  </si>
  <si>
    <t>POINT (104.430878 17.314248 0.0)</t>
  </si>
  <si>
    <t>LT/LT31-SG-22-0501-200+550</t>
  </si>
  <si>
    <t>POINT (104.431179 17.314037 0.0)</t>
  </si>
  <si>
    <t>LT/LT32-SG-22-0501-200+585</t>
  </si>
  <si>
    <t>POINT (104.431476 17.313839 0.0)</t>
  </si>
  <si>
    <t>LT/LT33-SG-22-0501-200+620</t>
  </si>
  <si>
    <t>POINT (104.431703 17.313677 0.0)</t>
  </si>
  <si>
    <t>LT/LT34-SG-22-0501-200+655</t>
  </si>
  <si>
    <t>POINT (104.431935 17.3135 0.0)</t>
  </si>
  <si>
    <t>LT/LT35-SG-22-0501-200+690</t>
  </si>
  <si>
    <t>POINT (104.432183 17.313317 0.0)</t>
  </si>
  <si>
    <t>LT/LT36-SG-22-0501-200+725</t>
  </si>
  <si>
    <t>POINT (104.432429 17.313148 0.0)</t>
  </si>
  <si>
    <t>LT/LT37-SG-22-0501-200+760</t>
  </si>
  <si>
    <t>POINT (104.432738 17.312916 0.0)</t>
  </si>
  <si>
    <t>LT/LT38-SG-22-0501-200+795</t>
  </si>
  <si>
    <t>POINT (104.432985 17.312747 0.0)</t>
  </si>
  <si>
    <t>LT/LT39-SG-22-0501-200+830</t>
  </si>
  <si>
    <t>POINT (104.433277 17.312534 0.0)</t>
  </si>
  <si>
    <t>LT/LT40-SG-22-0501-200+868</t>
  </si>
  <si>
    <t>POINT (104.503963 17.286135 0.0)</t>
  </si>
  <si>
    <t>LT/LT65-SG-22-0501-209+235</t>
  </si>
  <si>
    <t>POINT (104.504309 17.286138 0.0)</t>
  </si>
  <si>
    <t>POINT (104.504609 17.286166 0.0)</t>
  </si>
  <si>
    <t>LT/LT67-SG-22-0501-209+305</t>
  </si>
  <si>
    <t>POINT (104.505561 17.286195 0.0)</t>
  </si>
  <si>
    <t>LT/LT70-SG-22-0501-209+410</t>
  </si>
  <si>
    <t>POINT (104.505934 17.286236 0.0)</t>
  </si>
  <si>
    <t>LT/LT71-SG-22-0501-209+445</t>
  </si>
  <si>
    <t>POINT (104.504983 17.286063 184.84)</t>
  </si>
  <si>
    <t>LT68-SG-22-0501-209+340</t>
  </si>
  <si>
    <t>POINT (104.505289 17.286052 184.2)</t>
  </si>
  <si>
    <t>LT/LT69-SG-22-0501-209+375</t>
  </si>
  <si>
    <t>POINT (104.506276 17.286219 185.5)</t>
  </si>
  <si>
    <t>LT72-SG-22-0501-209+480</t>
  </si>
  <si>
    <t>POINT (104.506567 17.286222 0.0)</t>
  </si>
  <si>
    <t>LT73-SG-22-0501-209+515</t>
  </si>
  <si>
    <t>POINT (104.506884 17.286275 0.0)</t>
  </si>
  <si>
    <t>LT74-SG-22-0501-209+550</t>
  </si>
  <si>
    <t>POINT (104.507205 17.286324 189.66)</t>
  </si>
  <si>
    <t>LT75-SG-22-0501-209+585</t>
  </si>
  <si>
    <t>POINT (104.507512 17.286397 190.12)</t>
  </si>
  <si>
    <t>POINT (104.507835 17.286483 189.31)</t>
  </si>
  <si>
    <t>LT77-SG-22-0501-209+658</t>
  </si>
  <si>
    <t>POINT (104.508107 17.286558 189.55)</t>
  </si>
  <si>
    <t>LT78-SG-22-0501-209+690</t>
  </si>
  <si>
    <t>POINT (104.508454 17.286662 188.39)</t>
  </si>
  <si>
    <t>LT79-SG-22-0501-209+725</t>
  </si>
  <si>
    <t>POINT (104.508805 17.286761 187.17)</t>
  </si>
  <si>
    <t>LT80-SG-22-0501-209+760</t>
  </si>
  <si>
    <t>POINT (104.509126 17.28685 188.68)</t>
  </si>
  <si>
    <t>LT81-SG-22-0501-209+795</t>
  </si>
  <si>
    <t>POINT (104.509479 17.286944 0.0)</t>
  </si>
  <si>
    <t>LT82-SG-22-0501-209+833</t>
  </si>
  <si>
    <t>POINT (104.509793 17.287049 191.16)</t>
  </si>
  <si>
    <t>LT83-SG-22-0501-209+866</t>
  </si>
  <si>
    <t>POINT (104.510054 17.287108 191.04)</t>
  </si>
  <si>
    <t>POINT (104.510363 17.287191 190.71)</t>
  </si>
  <si>
    <t>POINT (104.510685 17.28729 190.67)</t>
  </si>
  <si>
    <t>LT86-SG-22-0501-209+970</t>
  </si>
  <si>
    <t>POINT (104.511004 17.287375 191.05)</t>
  </si>
  <si>
    <t>LT87-SG-22-0501-210-005</t>
  </si>
  <si>
    <t>POINT (104.486903 17.287011 190.13)</t>
  </si>
  <si>
    <t>LT41-SG-22-0501-207+417</t>
  </si>
  <si>
    <t>POINT (104.487236 17.287015 190.87)</t>
  </si>
  <si>
    <t>LT42-SG-22-0501-207+452</t>
  </si>
  <si>
    <t>POINT (104.487888 17.28691 192.67)</t>
  </si>
  <si>
    <t>LT43-SG-22-0501-207+522</t>
  </si>
  <si>
    <t>POINT (104.488252 17.286917 193.26)</t>
  </si>
  <si>
    <t>LT44-SG-22-0501-207+557</t>
  </si>
  <si>
    <t>POINT (104.488766 17.286951 193.26)</t>
  </si>
  <si>
    <t>LT/LT45-SG-22-0501-207+584</t>
  </si>
  <si>
    <t>POINT (104.488546 17.286988 0.0)</t>
  </si>
  <si>
    <t>LT/LT46-SG-22-0501-207+592</t>
  </si>
  <si>
    <t>POINT (104.48916 17.286933 0.0)</t>
  </si>
  <si>
    <t>LT/LT47-SG-22-0501-207+662</t>
  </si>
  <si>
    <t>POINT (104.489479 17.286908 192.05)</t>
  </si>
  <si>
    <t>LT/LT48-SG-22-0501-207+697</t>
  </si>
  <si>
    <t>POINT (104.489849 17.2869 191.26)</t>
  </si>
  <si>
    <t>LT/LT49-SG-22-0501-206+620</t>
  </si>
  <si>
    <t>POINT (104.490189 17.286886 192.03)</t>
  </si>
  <si>
    <t>LT/LT50-SG-22-0501-207+767</t>
  </si>
  <si>
    <t>POINT (104.490575 17.28686 192.84)</t>
  </si>
  <si>
    <t>LT/LT51-SG-22-0501-207+805</t>
  </si>
  <si>
    <t>POINT (104.490844 17.286834 193.78)</t>
  </si>
  <si>
    <t>LT/LT52-SG-22-0501-207+837</t>
  </si>
  <si>
    <t>POINT (104.491165 17.286826 194.09)</t>
  </si>
  <si>
    <t>LT/LT53-SG-22-0501-207+872</t>
  </si>
  <si>
    <t>POINT (104.491506 17.286813 192.85)</t>
  </si>
  <si>
    <t>LT/LT54-SG-22-0501-207+907</t>
  </si>
  <si>
    <t>POINT (104.491835 17.2868 190.92)</t>
  </si>
  <si>
    <t>LT/LT55-SG-22-0501-207+942</t>
  </si>
  <si>
    <t>POINT (104.492166 17.286782 190.08)</t>
  </si>
  <si>
    <t>POINT (104.492574 17.286807 190.42)</t>
  </si>
  <si>
    <t>LT/LT57-SG-22-0501-208+012</t>
  </si>
  <si>
    <t>POINT (104.492856 17.286778 189.85)</t>
  </si>
  <si>
    <t>LT/LT58-SG-22-0501-208+047</t>
  </si>
  <si>
    <t>POINT (104.49315 17.286738 189.86)</t>
  </si>
  <si>
    <t>LT/LT59-SG-22-0501-208+082</t>
  </si>
  <si>
    <t>POINT (104.493464 17.286719 191.21)</t>
  </si>
  <si>
    <t>LT/LT60-SG-22-0501-206+999</t>
  </si>
  <si>
    <t>POINT (104.493799 17.286694 192.98)</t>
  </si>
  <si>
    <t>LT/LT61-SG-22-0501-207+034</t>
  </si>
  <si>
    <t>POINT (104.494126 17.286679 193.09)</t>
  </si>
  <si>
    <t>LT/LT62-SG-22-0501-208+187</t>
  </si>
  <si>
    <t>POINT (104.49448 17.286666 191.19)</t>
  </si>
  <si>
    <t>LT/LT63-SG-22-0501-208+222</t>
  </si>
  <si>
    <t>POINT (104.494804 17.286676 0.0)</t>
  </si>
  <si>
    <t>LT/LT64-SG-22-0501-208+257</t>
  </si>
  <si>
    <t>POINT (104.511313 17.287456 191.84)</t>
  </si>
  <si>
    <t>LT88-SG-22-0501-208+921</t>
  </si>
  <si>
    <t>POINT (104.511617 17.287616 192.13)</t>
  </si>
  <si>
    <t>LT89-SG-22-0501-210+075</t>
  </si>
  <si>
    <t>POINT (104.511948 17.287638 190.79)</t>
  </si>
  <si>
    <t>LT90-SG-22-0501-210+110</t>
  </si>
  <si>
    <t>POINT (104.512264 17.287726 190.37)</t>
  </si>
  <si>
    <t>LT/LT91-SG-22-0501-210+145</t>
  </si>
  <si>
    <t>POINT (104.512603 17.287823 190.37)</t>
  </si>
  <si>
    <t>LT/LT92-SG-22-0501-210+180</t>
  </si>
  <si>
    <t>POINT (104.512899 17.287927 191.25)</t>
  </si>
  <si>
    <t>LT/LT93-SG-22-0501-210+215</t>
  </si>
  <si>
    <t>POINT (104.513229 17.287919 190.34)</t>
  </si>
  <si>
    <t>LT94-SG-22-0501-210+250</t>
  </si>
  <si>
    <t>POINT (104.513564 17.288007 188.95)</t>
  </si>
  <si>
    <t>LT95-SG-22-0501-210+285</t>
  </si>
  <si>
    <t>POINT (104.513818 17.288164 188.48)</t>
  </si>
  <si>
    <t>LT/LT96-SG-22-0501-209+193</t>
  </si>
  <si>
    <t>POINT (104.514204 17.288225 188.98)</t>
  </si>
  <si>
    <t>LT/LT97-SG-22-0501-209+235</t>
  </si>
  <si>
    <t>POINT (104.515187 17.288445 185.11)</t>
  </si>
  <si>
    <t>LT98-SG-22-0501-210+460</t>
  </si>
  <si>
    <t>POINT (104.515495 17.288535 184.77)</t>
  </si>
  <si>
    <t>LT99-SG-22-0501-210+495</t>
  </si>
  <si>
    <t>POINT (104.515837 17.288645 185.64)</t>
  </si>
  <si>
    <t>LT100-SG-22-0501-210+530</t>
  </si>
  <si>
    <t>POINT (104.51614 17.288693 186.4)</t>
  </si>
  <si>
    <t>LT101-SG-22-0501-210+565</t>
  </si>
  <si>
    <t>POINT (104.516432 17.288794 186.84)</t>
  </si>
  <si>
    <t>LT102-SG-22-0501-210+600</t>
  </si>
  <si>
    <t>POINT (104.516744 17.288911 187.26)</t>
  </si>
  <si>
    <t>LT103-SG-22-0501-210+635</t>
  </si>
  <si>
    <t>POINT (104.517028 17.289044 187.8)</t>
  </si>
  <si>
    <t>LT104-SG-22-0501-210+670</t>
  </si>
  <si>
    <t>POINT (104.517309 17.289202 188.87)</t>
  </si>
  <si>
    <t>LT105-SG-22-0501-210+705</t>
  </si>
  <si>
    <t>POINT (104.5176 17.289363 0.0)</t>
  </si>
  <si>
    <t>LT106-SG-22-0501-210+740</t>
  </si>
  <si>
    <t>POINT (104.517851 17.28956 188.32)</t>
  </si>
  <si>
    <t>LT107-SG-22-0501-210+775</t>
  </si>
  <si>
    <t>POINT (104.518102 17.289764 187.19)</t>
  </si>
  <si>
    <t>LT108-SG-22-0501-210+810</t>
  </si>
  <si>
    <t>POINT (104.518575 17.290204 0.0)</t>
  </si>
  <si>
    <t>LT110-SG-22-0501-210+880</t>
  </si>
  <si>
    <t>POINT (104.518788 17.290427 188.08)</t>
  </si>
  <si>
    <t>LT111-SG-22-0501-210+915</t>
  </si>
  <si>
    <t>POINT (104.518975 17.290613 188.5)</t>
  </si>
  <si>
    <t>LT112-SG-22-0501-210+950</t>
  </si>
  <si>
    <t>POINT (104.519214 17.290899 188.47)</t>
  </si>
  <si>
    <t>LT113-SG-22-0501-210+985</t>
  </si>
  <si>
    <t>POINT (104.519429 17.29116 188.08)</t>
  </si>
  <si>
    <t>LT114-SG-22-0501-211+020</t>
  </si>
  <si>
    <t>POINT (104.519664 17.291395 187.34)</t>
  </si>
  <si>
    <t>LT115-SG-22-0501-210+055</t>
  </si>
  <si>
    <t>POINT (104.519811 17.291554 0.0)</t>
  </si>
  <si>
    <t>POINT (104.52007 17.291838 0.0)</t>
  </si>
  <si>
    <t>LT117-SG-22-0501-211+125</t>
  </si>
  <si>
    <t>POINT (104.520274 17.292095 186.82)</t>
  </si>
  <si>
    <t>LT118-SG-22-0501-211+160</t>
  </si>
  <si>
    <t>POINT (104.520504 17.292333 185.9)</t>
  </si>
  <si>
    <t>LT119-SG-22-0501-211+195</t>
  </si>
  <si>
    <t>POINT (104.520698 17.292575 186.5)</t>
  </si>
  <si>
    <t>LT120-SG-22-0501-211+230</t>
  </si>
  <si>
    <t>POINT (104.416646 17.321489 184.31)</t>
  </si>
  <si>
    <t>RT1-SG-22-0501-198+490</t>
  </si>
  <si>
    <t>POINT (104.41696 17.321297 185.38)</t>
  </si>
  <si>
    <t>RT2-SG-22-0501-198+525</t>
  </si>
  <si>
    <t>POINT (104.417347 17.321357 185.08)</t>
  </si>
  <si>
    <t>RT3-SG-22-0501-198+560</t>
  </si>
  <si>
    <t>POINT (104.41772 17.321426 185.07)</t>
  </si>
  <si>
    <t>RT4-SG-22-0501-198+595</t>
  </si>
  <si>
    <t>POINT (104.418007 17.321417 185.9)</t>
  </si>
  <si>
    <t>RT5-SG-22-0501-198+630</t>
  </si>
  <si>
    <t>POINT (104.418307 17.32144 186.75)</t>
  </si>
  <si>
    <t>POINT (104.418636 17.321454 187.65)</t>
  </si>
  <si>
    <t>RT7-SG-22-0501-198+700</t>
  </si>
  <si>
    <t>POINT (104.418969 17.321423 188.13)</t>
  </si>
  <si>
    <t>RT8-SG-22-0501-198+735</t>
  </si>
  <si>
    <t>POINT (104.41933 17.321367 188.57)</t>
  </si>
  <si>
    <t>RT9-SG-22-0501-198+770</t>
  </si>
  <si>
    <t>POINT (104.419681 17.321308 188.52)</t>
  </si>
  <si>
    <t>RT10-SG-22-0501-198+805</t>
  </si>
  <si>
    <t>POINT (104.419954 17.321246 188.48)</t>
  </si>
  <si>
    <t>RT11-SG-22-0501-198+840</t>
  </si>
  <si>
    <t>POINT (104.420297 17.321146 189.31)</t>
  </si>
  <si>
    <t>RT12-SG-22-0501-198+875</t>
  </si>
  <si>
    <t>POINT (104.420582 17.321038 190.33)</t>
  </si>
  <si>
    <t>RT13-SG-22-0501-198+910</t>
  </si>
  <si>
    <t>POINT (104.420868 17.320915 190.33)</t>
  </si>
  <si>
    <t>RT14-SG-22-0501-198+945</t>
  </si>
  <si>
    <t>POINT (104.421176 17.320757 190.44)</t>
  </si>
  <si>
    <t>RT15-SG-22-0501-198+980</t>
  </si>
  <si>
    <t>POINT (104.421453 17.320599 191.56)</t>
  </si>
  <si>
    <t>RT16-SG-22-0501-199+015</t>
  </si>
  <si>
    <t>POINT (104.421703 17.320427 192.19)</t>
  </si>
  <si>
    <t>RT17-SG-22-0501-199+050</t>
  </si>
  <si>
    <t>POINT (104.421969 17.320224 191.07)</t>
  </si>
  <si>
    <t>RT18-SG-22-0501-199+085</t>
  </si>
  <si>
    <t>POINT (104.422366 17.320018 189.8)</t>
  </si>
  <si>
    <t>RT19-SG-22-0501-199+120</t>
  </si>
  <si>
    <t>POINT (104.422572 17.319812 189.89)</t>
  </si>
  <si>
    <t>RT20-SG-22-0501-199+155</t>
  </si>
  <si>
    <t>POINT (104.422846 17.319762 0.0)</t>
  </si>
  <si>
    <t>MD1-DB-22-0501-198+500</t>
  </si>
  <si>
    <t>POINT (104.423136 17.319558 192.21)</t>
  </si>
  <si>
    <t>POINT (104.423303 17.319429 0.0)</t>
  </si>
  <si>
    <t>MD3-DB-22-0501-198+570</t>
  </si>
  <si>
    <t>POINT (104.423596 17.319195 190.57)</t>
  </si>
  <si>
    <t>POINT (104.423867 17.319001 190.3)</t>
  </si>
  <si>
    <t>MD5-DB-22-0501-199+640</t>
  </si>
  <si>
    <t>POINT (104.424138 17.318806 190.33)</t>
  </si>
  <si>
    <t>MD6-DB-22-0501-199+675</t>
  </si>
  <si>
    <t>POINT (104.424399 17.318616 191.24)</t>
  </si>
  <si>
    <t>MD7-DB-22-0501-199+710</t>
  </si>
  <si>
    <t>POINT (104.424662 17.318466 192.73)</t>
  </si>
  <si>
    <t>MD8-DB-22-0501-199+745</t>
  </si>
  <si>
    <t>POINT (104.424921 17.318279 193.1)</t>
  </si>
  <si>
    <t>MD8-DB-22-0501-199+780</t>
  </si>
  <si>
    <t>POINT (104.425188 17.318087 193.93)</t>
  </si>
  <si>
    <t>MD8-DB-22-0501-199+815</t>
  </si>
  <si>
    <t>POINT (104.425438 17.317903 194.83)</t>
  </si>
  <si>
    <t>MD9-DB-22-0501-199+850</t>
  </si>
  <si>
    <t>POINT (104.425703 17.317699 194.68)</t>
  </si>
  <si>
    <t>MD10-DB-22-0501-199+885</t>
  </si>
  <si>
    <t>POINT (104.426016 17.317466 0.0)</t>
  </si>
  <si>
    <t>POINT (104.426228 17.317319 0.0)</t>
  </si>
  <si>
    <t>MD12-DB-22-0501-199+555</t>
  </si>
  <si>
    <t>POINT (104.426482 17.317134 0.0)</t>
  </si>
  <si>
    <t>MD13-DB-22-0501-199+990</t>
  </si>
  <si>
    <t>POINT (104.421535 17.320416 0.0)</t>
  </si>
  <si>
    <t>MD14-DB-22-0501-200+025</t>
  </si>
  <si>
    <t>POINT (104.427038 17.316731 0.0)</t>
  </si>
  <si>
    <t>MD15-DB-22-0501-200+060</t>
  </si>
  <si>
    <t>POINT (104.427273 17.31656 192.5)</t>
  </si>
  <si>
    <t>MD16-DB-22-0501-200+095</t>
  </si>
  <si>
    <t>POINT (104.427538 17.31637 0.0)</t>
  </si>
  <si>
    <t>MD17-DB-22-0501-200+130</t>
  </si>
  <si>
    <t>POINT (104.427804 17.316181 194.68)</t>
  </si>
  <si>
    <t>MD18-DB-22-0501-200+165</t>
  </si>
  <si>
    <t>POINT (104.42806 17.315987 195.02)</t>
  </si>
  <si>
    <t>MD19-DB-22-0501-200+200</t>
  </si>
  <si>
    <t>POINT (104.428325 17.315798 194.99)</t>
  </si>
  <si>
    <t>MD20-DB-22-0501-200+235</t>
  </si>
  <si>
    <t>POINT (104.428592 17.315607 194.56)</t>
  </si>
  <si>
    <t>MD21-DB-22-0501-200+270</t>
  </si>
  <si>
    <t>POINT (104.428855 17.315412 195.07)</t>
  </si>
  <si>
    <t>MD22-DB-22-0501-200+305</t>
  </si>
  <si>
    <t>POINT (104.429119 17.315219 196.03)</t>
  </si>
  <si>
    <t>MD23-DB-22-0501-200+340</t>
  </si>
  <si>
    <t>POINT (104.429383 17.315032 197.11)</t>
  </si>
  <si>
    <t>MD24-DB-22-0501-200+375</t>
  </si>
  <si>
    <t>POINT (104.429646 17.314843 197.52)</t>
  </si>
  <si>
    <t>MD25-DB-22-0501-200+410</t>
  </si>
  <si>
    <t>POINT (104.429927 17.314637 198.38)</t>
  </si>
  <si>
    <t>MD26-DB-22-0501-200+445</t>
  </si>
  <si>
    <t>POINT (104.4302 17.314438 199.42)</t>
  </si>
  <si>
    <t>MD26-DB-22-0501-200+480</t>
  </si>
  <si>
    <t>POINT (104.430493 17.314221 0.0)</t>
  </si>
  <si>
    <t>MD27-DB-22-0501-200+515</t>
  </si>
  <si>
    <t>POINT (104.430746 17.314049 198.78)</t>
  </si>
  <si>
    <t>MD28-DB-22-0501-200+550</t>
  </si>
  <si>
    <t>POINT (104.431044 17.313838 197.25)</t>
  </si>
  <si>
    <t>MD29-DB-22-0501-200+585</t>
  </si>
  <si>
    <t>POINT (104.431339 17.31363 198.7)</t>
  </si>
  <si>
    <t>MD30-DB-22-0501-200+620</t>
  </si>
  <si>
    <t>POINT (104.431557 17.313463 200.88)</t>
  </si>
  <si>
    <t>MD31-DB-22-0501-200+655</t>
  </si>
  <si>
    <t>POINT (104.431791 17.313302 201.71)</t>
  </si>
  <si>
    <t>POINT (104.432032 17.313131 201.12)</t>
  </si>
  <si>
    <t>MD32-DB-22-0501-200+690</t>
  </si>
  <si>
    <t>POINT (104.432269 17.312956 200.59)</t>
  </si>
  <si>
    <t>POINT (104.432598 17.312719 200.43)</t>
  </si>
  <si>
    <t>MD34-DB-22-0501-200+795</t>
  </si>
  <si>
    <t>POINT (104.432865 17.312535 200.3)</t>
  </si>
  <si>
    <t>MD35-DB-22-0501-200+830</t>
  </si>
  <si>
    <t>POINT (104.433134 17.312344 198.21)</t>
  </si>
  <si>
    <t>MD36-DB-22-0501-200+868</t>
  </si>
  <si>
    <t>POINT (104.433391 17.312142 196.95)</t>
  </si>
  <si>
    <t>MD37-DB-22-0501-200+900</t>
  </si>
  <si>
    <t>POINT (104.433646 17.311955 196.46)</t>
  </si>
  <si>
    <t>MD38-DB-22-0501-200+935</t>
  </si>
  <si>
    <t>POINT (104.434184 17.311584 196.67)</t>
  </si>
  <si>
    <t>MD40-DB-22-0501-201+005</t>
  </si>
  <si>
    <t>POINT (104.43405 17.311956 0.0)</t>
  </si>
  <si>
    <t>LT41-SG-22-0501-200+970</t>
  </si>
  <si>
    <t>POINT (104.433911 17.311768 196.67)</t>
  </si>
  <si>
    <t>MD39-DB-22-0501-200+970</t>
  </si>
  <si>
    <t>POINT (104.434676 17.311217 195.95)</t>
  </si>
  <si>
    <t>MD42-DB-22-0501-201+075</t>
  </si>
  <si>
    <t>POINT (104.4344 17.311418 195.35)</t>
  </si>
  <si>
    <t>MD41-DB-22-0501-201+040</t>
  </si>
  <si>
    <t>POINT (104.434928 17.311033 195.89)</t>
  </si>
  <si>
    <t>MD43-DB-22-0501-201+110</t>
  </si>
  <si>
    <t>POINT (104.435179 17.310848 196.9)</t>
  </si>
  <si>
    <t>MD44-DB-22-0501-201+145</t>
  </si>
  <si>
    <t>POINT (104.435449 17.310652 196.93)</t>
  </si>
  <si>
    <t>MD45-DB-22-0501-201+180</t>
  </si>
  <si>
    <t>POINT (104.435711 17.310463 197.42)</t>
  </si>
  <si>
    <t>MD46-DB-22-0501-201+215</t>
  </si>
  <si>
    <t>POINT (104.435973 17.310275 198.04)</t>
  </si>
  <si>
    <t>MD47-DB-22-0501-2201+250</t>
  </si>
  <si>
    <t>POINT (104.436234 17.310086 199.73)</t>
  </si>
  <si>
    <t>MD48-DB-22-0501-201+285</t>
  </si>
  <si>
    <t>POINT (104.436495 17.3099 199.69)</t>
  </si>
  <si>
    <t>MD49-DB-22-0501-201+320</t>
  </si>
  <si>
    <t>POINT (104.436736 17.309716 198.8)</t>
  </si>
  <si>
    <t>MD50-DB-22-0501-201+355</t>
  </si>
  <si>
    <t>POINT (104.436994 17.309523 198.6)</t>
  </si>
  <si>
    <t>MD51-DB-22-0501-201+390</t>
  </si>
  <si>
    <t>POINT (104.437244 17.30934 199.01)</t>
  </si>
  <si>
    <t>MD52-DB-22-0501-201+425</t>
  </si>
  <si>
    <t>POINT (104.437518 17.309138 199.77)</t>
  </si>
  <si>
    <t>MD53-DB-22-0501-201+460</t>
  </si>
  <si>
    <t>POINT (104.437788 17.308945 198.08)</t>
  </si>
  <si>
    <t>MD54-DB-22-0501-201+495</t>
  </si>
  <si>
    <t>POINT (104.438038 17.30881 196.51)</t>
  </si>
  <si>
    <t>MD55-DB-22-0501-201+530</t>
  </si>
  <si>
    <t>POINT (104.438293 17.308619 196.27)</t>
  </si>
  <si>
    <t>MD56-DB-22-0501-201+565</t>
  </si>
  <si>
    <t>POINT (104.438556 17.308423 196.66)</t>
  </si>
  <si>
    <t>MD57-DB-22-0501-201+600</t>
  </si>
  <si>
    <t>POINT (104.438843 17.308203 197.64)</t>
  </si>
  <si>
    <t>MD58-DB-22-0501-201+635</t>
  </si>
  <si>
    <t>POINT (104.4391 17.308027 198.24)</t>
  </si>
  <si>
    <t>MD59-DB-22-0501-201+670</t>
  </si>
  <si>
    <t>POINT (104.439364 17.307827 198.34)</t>
  </si>
  <si>
    <t>MD60-DB-22-0501-201+705</t>
  </si>
  <si>
    <t>POINT (104.439621 17.307635 197.09)</t>
  </si>
  <si>
    <t>MD61-DB-22-0501-201+740</t>
  </si>
  <si>
    <t>POINT (104.439871 17.307455 196.85)</t>
  </si>
  <si>
    <t>MD62-DB-22-0501-201+775</t>
  </si>
  <si>
    <t>POINT (104.440089 17.307289 0.0)</t>
  </si>
  <si>
    <t>MD63-DB-22-0501-201+810</t>
  </si>
  <si>
    <t>POINT (104.440352 17.307103 0.0)</t>
  </si>
  <si>
    <t>MD64-DB-22-0501-201+845</t>
  </si>
  <si>
    <t>POINT (104.44061 17.306921 199.86)</t>
  </si>
  <si>
    <t>MD65-DB-22-0501-201+880</t>
  </si>
  <si>
    <t>POINT (104.440823 17.306762 0.0)</t>
  </si>
  <si>
    <t>POINT (104.441097 17.306567 199.0)</t>
  </si>
  <si>
    <t>MD67-DB-22-0501-201+950</t>
  </si>
  <si>
    <t>POINT (104.441368 17.306371 198.35)</t>
  </si>
  <si>
    <t>MD68-DB-22-0501-201+985</t>
  </si>
  <si>
    <t>POINT (104.441631 17.30618 198.41)</t>
  </si>
  <si>
    <t>MD69-DB-22-0501-202+020</t>
  </si>
  <si>
    <t>POINT (104.441851 17.30601 199.62)</t>
  </si>
  <si>
    <t>MD70-DB-22-0501-202+055</t>
  </si>
  <si>
    <t>POINT (104.442113 17.305821 200.09)</t>
  </si>
  <si>
    <t>MD71-DB-22-0501-205+090</t>
  </si>
  <si>
    <t>POINT (104.442384 17.305637 198.4)</t>
  </si>
  <si>
    <t>MD72-DB-22-0501-202+125</t>
  </si>
  <si>
    <t>POINT (104.442568 17.305498 197.46)</t>
  </si>
  <si>
    <t>MD73-DB-22-0501-202+160</t>
  </si>
  <si>
    <t>POINT (104.44283 17.305309 0.0)</t>
  </si>
  <si>
    <t>MD74-DB-22-0501-202+195</t>
  </si>
  <si>
    <t>POINT (104.443103 17.305117 198.4)</t>
  </si>
  <si>
    <t>MD75-DB-22-0501-202+230</t>
  </si>
  <si>
    <t>POINT (104.443339 17.304938 197.87)</t>
  </si>
  <si>
    <t>MD76-DB-22-0501-202+265</t>
  </si>
  <si>
    <t>POINT (104.443596 17.304753 198.26)</t>
  </si>
  <si>
    <t>MD76-DB-22-0501-202+300</t>
  </si>
  <si>
    <t>POINT (104.443842 17.304575 197.93)</t>
  </si>
  <si>
    <t>MD77-DB-22-0501-202+335</t>
  </si>
  <si>
    <t>POINT (104.444062 17.304416 197.67)</t>
  </si>
  <si>
    <t>MD78-DB-22-0501-202+370</t>
  </si>
  <si>
    <t>POINT (104.444311 17.30424 197.49)</t>
  </si>
  <si>
    <t>MD79-DB-22-0501-202+405</t>
  </si>
  <si>
    <t>POINT (104.44453 17.304079 197.69)</t>
  </si>
  <si>
    <t>MD80-DB-22-0501-202+435</t>
  </si>
  <si>
    <t>POINT (104.444794 17.303882 197.81)</t>
  </si>
  <si>
    <t>MD81-DB-22-0501-202+465</t>
  </si>
  <si>
    <t>POINT (104.445045 17.303711 197.42)</t>
  </si>
  <si>
    <t>MD82-DB-22-0501-202+470</t>
  </si>
  <si>
    <t>POINT (104.445287 17.30353 197.69)</t>
  </si>
  <si>
    <t>MD83-DB-22-0501-202+505</t>
  </si>
  <si>
    <t>POINT (104.445512 17.303362 198.52)</t>
  </si>
  <si>
    <t>MD84-DB-22-0501-202+540</t>
  </si>
  <si>
    <t>POINT (104.445799 17.303155 198.21)</t>
  </si>
  <si>
    <t>MD85-DB-22-0501-202+575</t>
  </si>
  <si>
    <t>POINT (104.44604 17.302986 196.53)</t>
  </si>
  <si>
    <t>MD86-DB-22-0501-202+610</t>
  </si>
  <si>
    <t>POINT (104.446287 17.302806 196.15)</t>
  </si>
  <si>
    <t>MD87-DB-22-0501-202+645</t>
  </si>
  <si>
    <t>POINT (104.446536 17.302629 197.81)</t>
  </si>
  <si>
    <t>MD88-DB-22-0501-202+680</t>
  </si>
  <si>
    <t>POINT (104.446779 17.302451 198.89)</t>
  </si>
  <si>
    <t>MD89-DB-22-0501-202+715</t>
  </si>
  <si>
    <t>POINT (104.447021 17.302277 198.47)</t>
  </si>
  <si>
    <t>MD90-DB-22-0501-202+750</t>
  </si>
  <si>
    <t>POINT (104.447277 17.302092 197.63)</t>
  </si>
  <si>
    <t>MD91-DB-22-0501-202+785</t>
  </si>
  <si>
    <t>POINT (104.447528 17.301917 197.59)</t>
  </si>
  <si>
    <t>MD92-DB-22-0501-202+820</t>
  </si>
  <si>
    <t>POINT (104.447742 17.301762 198.35)</t>
  </si>
  <si>
    <t>MD93-DB-22-0501-202+855</t>
  </si>
  <si>
    <t>POINT (104.447882 17.301678 198.61)</t>
  </si>
  <si>
    <t>MD94-DB-22-0501-202+890</t>
  </si>
  <si>
    <t>POINT (104.448033 17.301583 0.0)</t>
  </si>
  <si>
    <t>MD95-DB-22-0501-202+925</t>
  </si>
  <si>
    <t>POINT (104.448263 17.301437 200.11)</t>
  </si>
  <si>
    <t>MD96-DB-22-0501-202+960</t>
  </si>
  <si>
    <t>POINT (104.448511 17.301294 0.0)</t>
  </si>
  <si>
    <t>MD97-DB-22-0501-202+995</t>
  </si>
  <si>
    <t>POINT (104.44877 17.301149 200.53)</t>
  </si>
  <si>
    <t>MD98-DB-22-0501-203+030</t>
  </si>
  <si>
    <t>POINT (104.449087 17.300985 199.39)</t>
  </si>
  <si>
    <t>MD99-DB-22-0501-203+065</t>
  </si>
  <si>
    <t>POINT (104.449416 17.300824 0.0)</t>
  </si>
  <si>
    <t>MD100-DB-22-0501-203+100</t>
  </si>
  <si>
    <t>POINT (104.449644 17.300723 199.25)</t>
  </si>
  <si>
    <t>MD101-DB-22-0501-203+135</t>
  </si>
  <si>
    <t>POINT (104.449955 17.300586 199.12)</t>
  </si>
  <si>
    <t>MD102-DB-22-0501-203+170</t>
  </si>
  <si>
    <t>POINT (104.450196 17.300487 198.96)</t>
  </si>
  <si>
    <t>MD103-DB-22-0501-203+205</t>
  </si>
  <si>
    <t>POINT (104.450496 17.300359 198.35)</t>
  </si>
  <si>
    <t>MD104-DB-22-0501-203+240</t>
  </si>
  <si>
    <t>POINT (104.450799 17.300244 196.8)</t>
  </si>
  <si>
    <t>MD105-DB-22-0501-203+275</t>
  </si>
  <si>
    <t>POINT (104.451075 17.300137 196.49)</t>
  </si>
  <si>
    <t>MD106-DB-22-0501-203+310</t>
  </si>
  <si>
    <t>POINT (104.451366 17.300026 197.15)</t>
  </si>
  <si>
    <t>POINT (104.451647 17.299917 197.93)</t>
  </si>
  <si>
    <t>MD107-DB-22-0501-203+380</t>
  </si>
  <si>
    <t>POINT (104.451957 17.2998 198.61)</t>
  </si>
  <si>
    <t>MD108-DB-22-0501-203+415</t>
  </si>
  <si>
    <t>POINT (104.452241 17.299689 199.94)</t>
  </si>
  <si>
    <t>POINT (104.452515 17.299585 199.64)</t>
  </si>
  <si>
    <t>POINT (104.452787 17.299475 197.83)</t>
  </si>
  <si>
    <t>MD111-DB-22-0501-203+520</t>
  </si>
  <si>
    <t>POINT (104.453083 17.299362 197.42)</t>
  </si>
  <si>
    <t>MD112-DB-22-0501-203+555</t>
  </si>
  <si>
    <t>POINT (104.453382 17.299247 197.29)</t>
  </si>
  <si>
    <t>MD113-DB-22-0501-203+590</t>
  </si>
  <si>
    <t>POINT (104.453663 17.299138 197.42)</t>
  </si>
  <si>
    <t>MD114-DB-22-0501-203+625</t>
  </si>
  <si>
    <t>POINT (104.453951 17.299031 197.45)</t>
  </si>
  <si>
    <t>MD115-DB-22-0501-203+660</t>
  </si>
  <si>
    <t>POINT (104.454244 17.298913 195.66)</t>
  </si>
  <si>
    <t>MD116-DB-22-0501-203+695</t>
  </si>
  <si>
    <t>POINT (104.454525 17.298804 193.82)</t>
  </si>
  <si>
    <t>MD117-DB-22-0501-203+730</t>
  </si>
  <si>
    <t>POINT (104.454832 17.298683 192.45)</t>
  </si>
  <si>
    <t>MD118-DB-22-0501-203+765</t>
  </si>
  <si>
    <t>POINT (104.455112 17.29857 192.02)</t>
  </si>
  <si>
    <t>MD119-DB-22-0501-203+800</t>
  </si>
  <si>
    <t>POINT (104.455401 17.298466 191.9)</t>
  </si>
  <si>
    <t>MD120-DB-22-0501-203+835</t>
  </si>
  <si>
    <t>POINT (104.455719 17.298341 192.14)</t>
  </si>
  <si>
    <t>MD121-DB-22-0501-203+870</t>
  </si>
  <si>
    <t>POINT (104.455971 17.298244 192.89)</t>
  </si>
  <si>
    <t>MD122-DB-22-0501-203+905</t>
  </si>
  <si>
    <t>POINT (104.456263 17.298129 193.62)</t>
  </si>
  <si>
    <t>MD123-DB-22-0501-203+940</t>
  </si>
  <si>
    <t>POINT (104.456542 17.298023 194.1)</t>
  </si>
  <si>
    <t>MD124-DB-22-0501-203+975</t>
  </si>
  <si>
    <t>POINT (104.456809 17.297921 193.93)</t>
  </si>
  <si>
    <t>MD125-DB-22-0501-204+010</t>
  </si>
  <si>
    <t>POINT (104.457097 17.297806 193.84)</t>
  </si>
  <si>
    <t>MD126-DB-22-0501-204+045</t>
  </si>
  <si>
    <t>POINT (104.457438 17.297677 194.85)</t>
  </si>
  <si>
    <t>MD127-DB-22-0501-204+080</t>
  </si>
  <si>
    <t>POINT (104.457701 17.297578 196.32)</t>
  </si>
  <si>
    <t>MD128-DB-22-0501-204+115</t>
  </si>
  <si>
    <t>POINT (104.457992 17.297466 197.37)</t>
  </si>
  <si>
    <t>MD129-DB-22-0501-204+150</t>
  </si>
  <si>
    <t>POINT (104.458262 17.29736 198.26)</t>
  </si>
  <si>
    <t>MD130-DB-22-0501-204+185</t>
  </si>
  <si>
    <t>POINT (104.458573 17.297242 199.53)</t>
  </si>
  <si>
    <t>MD131-DB-22-0501-204+220</t>
  </si>
  <si>
    <t>POINT (104.45887 17.297128 199.6)</t>
  </si>
  <si>
    <t>MD132-DB-22-0501-204+255</t>
  </si>
  <si>
    <t>POINT (104.45916 17.29701 196.91)</t>
  </si>
  <si>
    <t>MD133-DB-22-0501-204+290</t>
  </si>
  <si>
    <t>POINT (104.459432 17.296908 195.15)</t>
  </si>
  <si>
    <t>MD134-DB-22-0501-204+325</t>
  </si>
  <si>
    <t>POINT (104.459736 17.296791 194.4)</t>
  </si>
  <si>
    <t>MD135-DB-22-0501-204+360</t>
  </si>
  <si>
    <t>POINT (104.460033 17.296678 196.07)</t>
  </si>
  <si>
    <t>MD136-DB-22-0501-204+395</t>
  </si>
  <si>
    <t>POINT (104.460358 17.29655 196.18)</t>
  </si>
  <si>
    <t>MD137-DB-22-0501-204+430</t>
  </si>
  <si>
    <t>POINT (104.460669 17.296429 195.25)</t>
  </si>
  <si>
    <t>POINT (104.460932 17.296325 194.47)</t>
  </si>
  <si>
    <t>MD139-DB-22-0501-204+500</t>
  </si>
  <si>
    <t>POINT (104.461246 17.296206 193.13)</t>
  </si>
  <si>
    <t>MD140-DB-22-0501-204+535</t>
  </si>
  <si>
    <t>POINT (104.461559 17.29609 193.11)</t>
  </si>
  <si>
    <t>MD141-DB-22-0501-204+570</t>
  </si>
  <si>
    <t>POINT (104.461862 17.295967 193.12)</t>
  </si>
  <si>
    <t>MD142-DB-22-0501-204+605</t>
  </si>
  <si>
    <t>POINT (104.462173 17.295834 192.5)</t>
  </si>
  <si>
    <t>MD143-DB-22-0501-204+640</t>
  </si>
  <si>
    <t>POINT (104.462477 17.295714 193.03)</t>
  </si>
  <si>
    <t>MD144-DB-22-0501-204+675</t>
  </si>
  <si>
    <t>POINT (104.462781 17.295601 193.64)</t>
  </si>
  <si>
    <t>MD145-DB-22-0501-204+710</t>
  </si>
  <si>
    <t>POINT (104.463101 17.295476 190.84)</t>
  </si>
  <si>
    <t>MD146-DB-22-0501-204+745</t>
  </si>
  <si>
    <t>POINT (104.463415 17.295385 188.84)</t>
  </si>
  <si>
    <t>MD147-DB-22-0501-204+780</t>
  </si>
  <si>
    <t>POINT (104.463644 17.295301 189.89)</t>
  </si>
  <si>
    <t>MD148-DB-22-0501-204+815</t>
  </si>
  <si>
    <t>POINT (104.463963 17.295174 193.58)</t>
  </si>
  <si>
    <t>MD149-DB-22-0501-204+850</t>
  </si>
  <si>
    <t>POINT (104.464262 17.295056 194.09)</t>
  </si>
  <si>
    <t>MD150-DB-22-0501-204+885</t>
  </si>
  <si>
    <t>POINT (104.464567 17.294937 193.69)</t>
  </si>
  <si>
    <t>MD151-DB-22-0501-204+920</t>
  </si>
  <si>
    <t>POINT (104.464869 17.294809 194.66)</t>
  </si>
  <si>
    <t>MD152-DB-22-0501-204+955</t>
  </si>
  <si>
    <t>POINT (104.465175 17.294694 194.79)</t>
  </si>
  <si>
    <t>MD153-DB-22-0501-204+990</t>
  </si>
  <si>
    <t>POINT (104.465472 17.294577 196.02)</t>
  </si>
  <si>
    <t>MD154-DB-22-0501-205+025</t>
  </si>
  <si>
    <t>POINT (104.465823 17.294447 196.97)</t>
  </si>
  <si>
    <t>MD155-DB-22-0501-205+060</t>
  </si>
  <si>
    <t>POINT (104.466107 17.294338 196.61)</t>
  </si>
  <si>
    <t>MD156-DB-22-0501-205+095</t>
  </si>
  <si>
    <t>POINT (104.466408 17.294223 196.32)</t>
  </si>
  <si>
    <t>MD157-DB-22-0501-205+130</t>
  </si>
  <si>
    <t>POINT (104.466712 17.294107 196.89)</t>
  </si>
  <si>
    <t>MD158-DB-22-0501-205+165</t>
  </si>
  <si>
    <t>POINT (104.467019 17.293983 198.46)</t>
  </si>
  <si>
    <t>MD159-DB-22-0501-205+200</t>
  </si>
  <si>
    <t>POINT (104.46733 17.29386 198.83)</t>
  </si>
  <si>
    <t>MD160-DB-22-0501-205+235</t>
  </si>
  <si>
    <t>POINT (104.467631 17.293743 198.2)</t>
  </si>
  <si>
    <t>MD161-DB-22-0501-205+270</t>
  </si>
  <si>
    <t>POINT (104.467938 17.293626 197.8)</t>
  </si>
  <si>
    <t>MD162-DB-22-0501-205+270</t>
  </si>
  <si>
    <t>POINT (104.468236 17.293508 196.58)</t>
  </si>
  <si>
    <t>MD163-DB-22-0501-205+305</t>
  </si>
  <si>
    <t>POINT (104.468543 17.293392 196.07)</t>
  </si>
  <si>
    <t>MD164-DB-22-0501-205+340</t>
  </si>
  <si>
    <t>POINT (104.468846 17.293273 195.13)</t>
  </si>
  <si>
    <t>MD165-DB-22-0501-205+375</t>
  </si>
  <si>
    <t>POINT (104.469153 17.293158 192.44)</t>
  </si>
  <si>
    <t>MD166-DB-22-0501-205+410</t>
  </si>
  <si>
    <t>POINT (104.469459 17.293043 192.3)</t>
  </si>
  <si>
    <t>MD167-DB-22-0501-205+445</t>
  </si>
  <si>
    <t>POINT (104.469767 17.292915 193.01)</t>
  </si>
  <si>
    <t>MD168-DB-22-0501-205+480</t>
  </si>
  <si>
    <t>POINT (104.470071 17.292801 193.36)</t>
  </si>
  <si>
    <t>MD169-DB-22-0501-205+515</t>
  </si>
  <si>
    <t>POINT (104.470385 17.292681 193.42)</t>
  </si>
  <si>
    <t>MD170-DB-22-0501-205+550</t>
  </si>
  <si>
    <t>POINT (104.506483 17.282757 193.95)</t>
  </si>
  <si>
    <t>MD171-DB-22-0501-205+585</t>
  </si>
  <si>
    <t>POINT (104.470971 17.292446 193.28)</t>
  </si>
  <si>
    <t>MD172-DB-22-0501-205+620</t>
  </si>
  <si>
    <t>POINT (104.479481 17.289155 192.34)</t>
  </si>
  <si>
    <t>MD173-DB-22-0501-206+595</t>
  </si>
  <si>
    <t>POINT (104.47969 17.289073 192.02)</t>
  </si>
  <si>
    <t>MD174-DB-22-0501-206+620</t>
  </si>
  <si>
    <t>POINT (104.479959 17.288965 192.42)</t>
  </si>
  <si>
    <t>MD175-DB-22-0501-206+650</t>
  </si>
  <si>
    <t>POINT (104.480281 17.288833 192.64)</t>
  </si>
  <si>
    <t>MD176-DB-22-0501-206+685</t>
  </si>
  <si>
    <t>POINT (104.480585 17.288709 190.86)</t>
  </si>
  <si>
    <t>MD177-DB-22-0501-206+720</t>
  </si>
  <si>
    <t>POINT (104.480895 17.288593 190.11)</t>
  </si>
  <si>
    <t>MD178-DB-22-0501-206+755</t>
  </si>
  <si>
    <t>POINT (104.481222 17.288468 189.82)</t>
  </si>
  <si>
    <t>POINT (104.481495 17.28839 189.46)</t>
  </si>
  <si>
    <t>MD180-DB-22-0501-206+822</t>
  </si>
  <si>
    <t>POINT (104.481824 17.28827 189.05)</t>
  </si>
  <si>
    <t>MD181-DB-22-0501-206+857</t>
  </si>
  <si>
    <t>POINT (104.482124 17.288153 188.16)</t>
  </si>
  <si>
    <t>MD182-DB-22-0501-206+892</t>
  </si>
  <si>
    <t>POINT (104.482428 17.288036 186.06)</t>
  </si>
  <si>
    <t>MD183-DB-22-0501-206+927</t>
  </si>
  <si>
    <t>POINT (104.482731 17.287913 184.81)</t>
  </si>
  <si>
    <t>MD184-DB-22-0501-206+962</t>
  </si>
  <si>
    <t>POINT (104.483026 17.287796 184.44)</t>
  </si>
  <si>
    <t>MD185-DB-22-0501-206+997</t>
  </si>
  <si>
    <t>POINT (104.483356 17.287668 184.6)</t>
  </si>
  <si>
    <t>MD186-DB-22-0501-207+032</t>
  </si>
  <si>
    <t>POINT (104.483688 17.287548 185.04)</t>
  </si>
  <si>
    <t>MD187-DB-22-0501-207+067</t>
  </si>
  <si>
    <t>POINT (104.484001 17.287443 185.53)</t>
  </si>
  <si>
    <t>MD188-DB-22-0501-207+102</t>
  </si>
  <si>
    <t>POINT (104.484319 17.287344 186.84)</t>
  </si>
  <si>
    <t>MD189-DB-22-0501-207+137</t>
  </si>
  <si>
    <t>POINT (104.484631 17.287252 188.55)</t>
  </si>
  <si>
    <t>MD190-DB-22-0501-207+172</t>
  </si>
  <si>
    <t>POINT (104.484953 17.287166 190.15)</t>
  </si>
  <si>
    <t>MD191-DB-22-0501-207+207</t>
  </si>
  <si>
    <t>POINT (104.485267 17.287091 188.82)</t>
  </si>
  <si>
    <t>MD192-DB-22-0501-207+242</t>
  </si>
  <si>
    <t>POINT (104.485604 17.287025 187.6)</t>
  </si>
  <si>
    <t>MD193-DB-22-0501-207+277</t>
  </si>
  <si>
    <t>POINT (104.485914 17.286966 187.93)</t>
  </si>
  <si>
    <t>MD194-DB-22-0501-207+312</t>
  </si>
  <si>
    <t>POINT (104.48624 17.286909 189.39)</t>
  </si>
  <si>
    <t>MD195-DB-22-0501-207+347</t>
  </si>
  <si>
    <t>POINT (104.48657 17.286863 190.32)</t>
  </si>
  <si>
    <t>POINT (104.486891 17.286829 190.95)</t>
  </si>
  <si>
    <t>MD197-DB-22-0501-207+417</t>
  </si>
  <si>
    <t>POINT (104.48722 17.286801 191.72)</t>
  </si>
  <si>
    <t>POINT (104.487546 17.286773 191.84)</t>
  </si>
  <si>
    <t>MD199-DB-22-0501-207+487</t>
  </si>
  <si>
    <t>POINT (104.487878 17.286756 192.65)</t>
  </si>
  <si>
    <t>MD200-DB-22-0501-207+522</t>
  </si>
  <si>
    <t>POINT (104.487882 17.286584 192.68)</t>
  </si>
  <si>
    <t>RT21-SG-22-0501-207+522</t>
  </si>
  <si>
    <t>POINT (104.488201 17.286734 193.34)</t>
  </si>
  <si>
    <t>MD201-DB-22-0501-207+557</t>
  </si>
  <si>
    <t>POINT (104.488526 17.286714 193.27)</t>
  </si>
  <si>
    <t>MD202-DB-22-0501-207+592</t>
  </si>
  <si>
    <t>POINT (104.48886 17.286698 193.26)</t>
  </si>
  <si>
    <t>MD203-DB-22-0501-207+627</t>
  </si>
  <si>
    <t>POINT (104.489183 17.286682 192.38)</t>
  </si>
  <si>
    <t>MD204-DB-22-0501-207+662</t>
  </si>
  <si>
    <t>POINT (104.489517 17.286668 191.91)</t>
  </si>
  <si>
    <t>MD205-DB-22-0501-207+697</t>
  </si>
  <si>
    <t>POINT (104.489841 17.286654 191.56)</t>
  </si>
  <si>
    <t>MD206-DB-22-0501-207+732</t>
  </si>
  <si>
    <t>POINT (104.490172 17.286636 192.15)</t>
  </si>
  <si>
    <t>MD207-DB-22-0501-207+767</t>
  </si>
  <si>
    <t>POINT (104.490502 17.286621 191.53)</t>
  </si>
  <si>
    <t>POINT (104.490826 17.286601 192.64)</t>
  </si>
  <si>
    <t>MD209-DB-22-0501-207+837</t>
  </si>
  <si>
    <t>POINT (104.491152 17.286585 192.51)</t>
  </si>
  <si>
    <t>MD210-DB-22-0501-207+872</t>
  </si>
  <si>
    <t>POINT (104.491493 17.286569 191.27)</t>
  </si>
  <si>
    <t>MD211-DB-22-0501-207+907</t>
  </si>
  <si>
    <t>POINT (104.491823 17.286557 189.71)</t>
  </si>
  <si>
    <t>MD212-DB-22-0501-207+942</t>
  </si>
  <si>
    <t>POINT (104.492152 17.286543 188.41)</t>
  </si>
  <si>
    <t>MD213-DB-22-0501-207+977</t>
  </si>
  <si>
    <t>POINT (104.492481 17.286524 189.11)</t>
  </si>
  <si>
    <t>MD214-DB-22-0501-208+012</t>
  </si>
  <si>
    <t>POINT (104.492802 17.286507 189.26)</t>
  </si>
  <si>
    <t>MD215-DB-22-0501-208+047</t>
  </si>
  <si>
    <t>POINT (104.493133 17.286485 189.54)</t>
  </si>
  <si>
    <t>MD216-DB-22-0501-208+082</t>
  </si>
  <si>
    <t>POINT (104.493462 17.286471 190.74)</t>
  </si>
  <si>
    <t>MD217-DB-22-0501-208+117</t>
  </si>
  <si>
    <t>POINT (104.493789 17.286451 191.68)</t>
  </si>
  <si>
    <t>MD218-DB-22-0501-208+152</t>
  </si>
  <si>
    <t>POINT (104.494123 17.286434 190.98)</t>
  </si>
  <si>
    <t>MD219-DB-22-0501-208+187</t>
  </si>
  <si>
    <t>POINT (104.494446 17.286418 191.09)</t>
  </si>
  <si>
    <t>MD220-DB-22-0501-208+222</t>
  </si>
  <si>
    <t>POINT (104.494781 17.286401 190.72)</t>
  </si>
  <si>
    <t>MD221-DB-22-0501-208+257</t>
  </si>
  <si>
    <t>POINT (104.495107 17.286387 189.94)</t>
  </si>
  <si>
    <t>MD222-DB-22-0501-208+292</t>
  </si>
  <si>
    <t>POINT (104.49512 17.286538 189.82)</t>
  </si>
  <si>
    <t>LT65-SG-22-0501-208+292</t>
  </si>
  <si>
    <t>POINT (104.495439 17.286371 189.55)</t>
  </si>
  <si>
    <t>MD223-DB-22-0501-208+327</t>
  </si>
  <si>
    <t>POINT (104.495458 17.286527 189.24)</t>
  </si>
  <si>
    <t>LT66-SG-22-0501-208+327</t>
  </si>
  <si>
    <t>POINT (104.495768 17.286354 189.78)</t>
  </si>
  <si>
    <t>MD224-DB-22-0501-208+362</t>
  </si>
  <si>
    <t>POINT (104.496097 17.286331 189.47)</t>
  </si>
  <si>
    <t>MD225-DB-22-0501-208+397</t>
  </si>
  <si>
    <t>POINT (104.496422 17.286318 189.15)</t>
  </si>
  <si>
    <t>MD226-DB-22-0501-208+432</t>
  </si>
  <si>
    <t>POINT (104.496758 17.2863 190.16)</t>
  </si>
  <si>
    <t>MD227-DB-22-0501-208+467</t>
  </si>
  <si>
    <t>POINT (104.497079 17.286278 188.9)</t>
  </si>
  <si>
    <t>MD228-DB-22-0501-208+502</t>
  </si>
  <si>
    <t>POINT (104.497412 17.28627 186.49)</t>
  </si>
  <si>
    <t>MD229-DB-22-0501-208+537</t>
  </si>
  <si>
    <t>POINT (104.497743 17.286255 185.46)</t>
  </si>
  <si>
    <t>MD230-DB-22-0501-208+572</t>
  </si>
  <si>
    <t>POINT (104.498076 17.286234 186.4)</t>
  </si>
  <si>
    <t>MD231-DB-22-0501-208+607</t>
  </si>
  <si>
    <t>POINT (104.498402 17.286209 185.95)</t>
  </si>
  <si>
    <t>MD232-DB-22-0501-208+642</t>
  </si>
  <si>
    <t>POINT (104.498727 17.286185 184.64)</t>
  </si>
  <si>
    <t>POINT (104.499058 17.286168 183.6)</t>
  </si>
  <si>
    <t>MD234-DB-22-0501-208+712</t>
  </si>
  <si>
    <t>POINT (104.499384 17.286152 184.23)</t>
  </si>
  <si>
    <t>MD235-DB-22-0501-208+747</t>
  </si>
  <si>
    <t>POINT (104.499707 17.286131 186.19)</t>
  </si>
  <si>
    <t>MD236-DB-22-0501-208+782</t>
  </si>
  <si>
    <t>POINT (104.500023 17.286146 185.03)</t>
  </si>
  <si>
    <t>MD237-DB-22-0501-208+815</t>
  </si>
  <si>
    <t>POINT (104.500357 17.286134 183.21)</t>
  </si>
  <si>
    <t>MD238-DB-22-0501-208+850</t>
  </si>
  <si>
    <t>POINT (104.500689 17.286118 180.83)</t>
  </si>
  <si>
    <t>MD239-DB-22-0501-208+885</t>
  </si>
  <si>
    <t>POINT (104.501016 17.286096 181.14)</t>
  </si>
  <si>
    <t>MD240-DB-22-0501-208+920</t>
  </si>
  <si>
    <t>POINT (104.501342 17.286073 181.35)</t>
  </si>
  <si>
    <t>MD241-DB-22-0501-208+955</t>
  </si>
  <si>
    <t>POINT (104.501666 17.286063 180.52)</t>
  </si>
  <si>
    <t>MD242-DB-22-0501-208+990</t>
  </si>
  <si>
    <t>POINT (104.502008 17.286037 179.78)</t>
  </si>
  <si>
    <t>MD243-DB-22-0501-209+025</t>
  </si>
  <si>
    <t>POINT (104.502334 17.286018 180.95)</t>
  </si>
  <si>
    <t>MD244-DB-22-0501-209+060</t>
  </si>
  <si>
    <t>POINT (104.502662 17.285998 181.02)</t>
  </si>
  <si>
    <t>MD245-DB-22-0501-209+095</t>
  </si>
  <si>
    <t>POINT (104.502994 17.285988 180.81)</t>
  </si>
  <si>
    <t>MD246-DB-22-0501-209+130</t>
  </si>
  <si>
    <t>POINT (104.503321 17.28597 181.32)</t>
  </si>
  <si>
    <t>MD247-DB-22-0501-209+165</t>
  </si>
  <si>
    <t>POINT (104.50365 17.285949 179.68)</t>
  </si>
  <si>
    <t>MD248-DB-22-0501-209+200</t>
  </si>
  <si>
    <t>POINT (104.503975 17.285934 178.98)</t>
  </si>
  <si>
    <t>MD249-DB-22-0501-209+235</t>
  </si>
  <si>
    <t>POINT (104.504301 17.285921 180.23)</t>
  </si>
  <si>
    <t>MD250-DB-22-0501-209+270</t>
  </si>
  <si>
    <t>POINT (104.504631 17.285904 182.31)</t>
  </si>
  <si>
    <t>MD251-DB-22-0501-209+305</t>
  </si>
  <si>
    <t>POINT (104.504962 17.285884 184.55)</t>
  </si>
  <si>
    <t>MD252-DB-22-0501-209+340</t>
  </si>
  <si>
    <t>POINT (104.505293 17.285881 184.52)</t>
  </si>
  <si>
    <t>MD253-DB-22-0501-209+375</t>
  </si>
  <si>
    <t>POINT (104.505621 17.28589 183.16)</t>
  </si>
  <si>
    <t>MD254-DB-22-0501-209+410</t>
  </si>
  <si>
    <t>POINT (104.505948 17.285913 184.06)</t>
  </si>
  <si>
    <t>MD255-DB-22-0501-209+445</t>
  </si>
  <si>
    <t>POINT (104.506274 17.285934 185.35)</t>
  </si>
  <si>
    <t>MD256-DB-22-0501-209+480</t>
  </si>
  <si>
    <t>POINT (104.506605 17.285976 186.52)</t>
  </si>
  <si>
    <t>MD257-DB-22-0501-209+515</t>
  </si>
  <si>
    <t>POINT (104.506927 17.286028 187.46)</t>
  </si>
  <si>
    <t>MD258-DB-22-0501-209+550</t>
  </si>
  <si>
    <t>POINT (104.507265 17.286103 189.22)</t>
  </si>
  <si>
    <t>MD259-DB-22-0501-209+585</t>
  </si>
  <si>
    <t>POINT (104.507582 17.28618 189.15)</t>
  </si>
  <si>
    <t>MD260-DB-22-0501-209+520</t>
  </si>
  <si>
    <t>POINT (104.507889 17.286243 188.69)</t>
  </si>
  <si>
    <t>MD261-DB-22-0501-209+655</t>
  </si>
  <si>
    <t>POINT (104.508207 17.286334 188.8)</t>
  </si>
  <si>
    <t>MD262-DB-22-0501-209+690</t>
  </si>
  <si>
    <t>POINT (104.50853 17.286422 187.79)</t>
  </si>
  <si>
    <t>MD263-DB-22-0501-209+725</t>
  </si>
  <si>
    <t>POINT (104.508878 17.286511 187.07)</t>
  </si>
  <si>
    <t>MD264-DB-22-0501-209+760</t>
  </si>
  <si>
    <t>POINT (104.509193 17.286591 188.78)</t>
  </si>
  <si>
    <t>MD265-DB-22-0501-209+795</t>
  </si>
  <si>
    <t>POINT (104.509511 17.286678 191.14)</t>
  </si>
  <si>
    <t>MD266-DB-22-0501-209+830</t>
  </si>
  <si>
    <t>POINT (104.509829 17.286765 191.23)</t>
  </si>
  <si>
    <t>MD267-DB-22-0501-209+865</t>
  </si>
  <si>
    <t>POINT (104.510143 17.286854 190.3)</t>
  </si>
  <si>
    <t>MD268-DB-22-0501-209+900</t>
  </si>
  <si>
    <t>POINT (104.510433 17.286968 189.4)</t>
  </si>
  <si>
    <t>MD269-DB-22-0501-209+935</t>
  </si>
  <si>
    <t>POINT (104.510749 17.287053 190.47)</t>
  </si>
  <si>
    <t>MD270-DB-22-0501-209+970</t>
  </si>
  <si>
    <t>POINT (104.511064 17.287139 191.29)</t>
  </si>
  <si>
    <t>MD271-DB-22-0501-210-005</t>
  </si>
  <si>
    <t>POINT (104.511378 17.287227 191.61)</t>
  </si>
  <si>
    <t>MD272-DB-22-0501-210+040</t>
  </si>
  <si>
    <t>POINT (104.511695 17.287355 191.32)</t>
  </si>
  <si>
    <t>MD273-DB-22-0501-210+075</t>
  </si>
  <si>
    <t>POINT (104.512018 17.287392 190.35)</t>
  </si>
  <si>
    <t>MD274-DB-22-0501-210+110</t>
  </si>
  <si>
    <t>POINT (104.512328 17.287487 190.32)</t>
  </si>
  <si>
    <t>MD275-DB-22-0501-210+145</t>
  </si>
  <si>
    <t>POINT (104.512653 17.287579 190.51)</t>
  </si>
  <si>
    <t>MD276-DB-22-0501-210+180</t>
  </si>
  <si>
    <t>POINT (104.51297 17.287666 190.76)</t>
  </si>
  <si>
    <t>MD277-DB-22-0501-210+215</t>
  </si>
  <si>
    <t>POINT (104.513284 17.287752 190.32)</t>
  </si>
  <si>
    <t>MD278-DB-22-0501-210+250</t>
  </si>
  <si>
    <t>POINT (104.513599 17.287843 189.87)</t>
  </si>
  <si>
    <t>MD279-DB-22-0501-210+285</t>
  </si>
  <si>
    <t>POINT (104.513919 17.287931 190.61)</t>
  </si>
  <si>
    <t>MD280-DB-22-0501-210+320</t>
  </si>
  <si>
    <t>POINT (104.514233 17.288022 189.31)</t>
  </si>
  <si>
    <t>MD281-DB-22-0501-210+355</t>
  </si>
  <si>
    <t>POINT (104.514584 17.288127 185.36)</t>
  </si>
  <si>
    <t>MD282-DB-22-0501-210+390</t>
  </si>
  <si>
    <t>POINT (104.514912 17.288219 185.05)</t>
  </si>
  <si>
    <t>MD283-DB-22-0501-210+425</t>
  </si>
  <si>
    <t>POINT (104.521006 17.29272 188.33)</t>
  </si>
  <si>
    <t>MD284-DB-22-0501-211+265</t>
  </si>
  <si>
    <t>POINT (104.521292 17.29303 189.67)</t>
  </si>
  <si>
    <t>MD285-DB-22-0501-211+300</t>
  </si>
  <si>
    <t>POINT (104.521523 17.293303 185.27)</t>
  </si>
  <si>
    <t>MD286-DB-22-0501-211+335</t>
  </si>
  <si>
    <t>POINT (104.521765 17.293561 183.36)</t>
  </si>
  <si>
    <t>MD287-DB-22-0501-211+370</t>
  </si>
  <si>
    <t>POINT (104.521999 17.293822 183.41)</t>
  </si>
  <si>
    <t>MD288-DB-22-0501-211+405</t>
  </si>
  <si>
    <t>POINT (104.522234 17.294082 182.34)</t>
  </si>
  <si>
    <t>MD289-DB-22-0501-211+440</t>
  </si>
  <si>
    <t>POINT (104.522466 17.294342 182.58)</t>
  </si>
  <si>
    <t>MD290-DB-22-0501-211+475</t>
  </si>
  <si>
    <t>POINT (104.522642 17.294589 183.77)</t>
  </si>
  <si>
    <t>MS291-SB-22-0501-211+510</t>
  </si>
  <si>
    <t>POINT (104.522875 17.294848 184.97)</t>
  </si>
  <si>
    <t>MD292-DB-22-0501-211+545</t>
  </si>
  <si>
    <t>POINT (104.523111 17.295113 183.2)</t>
  </si>
  <si>
    <t>MD293-DB-22-0501-211+580</t>
  </si>
  <si>
    <t>POINT (104.523344 17.295376 180.67)</t>
  </si>
  <si>
    <t>MD294-DB-22-0501-211+615</t>
  </si>
  <si>
    <t>POINT (104.5236 17.295646 180.4)</t>
  </si>
  <si>
    <t>MD295-DB-22-0501-211+650</t>
  </si>
  <si>
    <t>POINT (104.523842 17.295903 182.59)</t>
  </si>
  <si>
    <t>MD296-DB-22-0501-211+685</t>
  </si>
  <si>
    <t>POINT (104.524131 17.296204 183.98)</t>
  </si>
  <si>
    <t>MD297-DB-22-0501-211+720</t>
  </si>
  <si>
    <t>POINT (104.531325 17.301792 180.29)</t>
  </si>
  <si>
    <t>MD298-DB-22-0501-212+705</t>
  </si>
  <si>
    <t>POINT (104.531587 17.301984 179.06)</t>
  </si>
  <si>
    <t>MD299-DB-22-0501-212+740</t>
  </si>
  <si>
    <t>POINT (104.531838 17.302184 178.72)</t>
  </si>
  <si>
    <t>MD300-DB-22-0501-212+775</t>
  </si>
  <si>
    <t>POINT (104.532092 17.302368 179.75)</t>
  </si>
  <si>
    <t>MD301-DB-22-0501-212+810</t>
  </si>
  <si>
    <t>POINT (104.532363 17.302571 178.92)</t>
  </si>
  <si>
    <t>MD302-DB-22-0501-212+845</t>
  </si>
  <si>
    <t>POINT (104.532615 17.302765 175.88)</t>
  </si>
  <si>
    <t>MD303-DB-22-0501-212+880</t>
  </si>
  <si>
    <t>POINT (104.532869 17.302961 175.33)</t>
  </si>
  <si>
    <t>MD304-DB-22-0501-212+915</t>
  </si>
  <si>
    <t>POINT (104.5332 17.30321 176.56)</t>
  </si>
  <si>
    <t>MD305-DB-22-0501-212+950</t>
  </si>
  <si>
    <t>POINT (104.533499 17.30342 178.05)</t>
  </si>
  <si>
    <t>MD306-DB-22-0501-212+985</t>
  </si>
  <si>
    <t>POINT (104.533784 17.303629 178.24)</t>
  </si>
  <si>
    <t>MD307-DB-22-0501-213+020</t>
  </si>
  <si>
    <t>POINT (104.534068 17.303832 177.62)</t>
  </si>
  <si>
    <t>MD308-DB-22-0501-213+055</t>
  </si>
  <si>
    <t>POINT (104.534349 17.304043 177.47)</t>
  </si>
  <si>
    <t>MD309-DB-22-0501-213+090</t>
  </si>
  <si>
    <t>POINT (104.534658 17.304281 176.94)</t>
  </si>
  <si>
    <t>MD310-DB-22-0501-213+125</t>
  </si>
  <si>
    <t>POINT (104.534857 17.304472 176.32)</t>
  </si>
  <si>
    <t>MD311-DB-22-0501-213+155</t>
  </si>
  <si>
    <t>POINT (104.535137 17.304684 176.79)</t>
  </si>
  <si>
    <t>MD312-DB-22-0501-213+190</t>
  </si>
  <si>
    <t>POINT (104.53542 17.304895 178.06)</t>
  </si>
  <si>
    <t>MD313-DB-22-0501-213+225</t>
  </si>
  <si>
    <t>POINT (104.535706 17.305097 178.63)</t>
  </si>
  <si>
    <t>MD314-DB-22-0501-213+260</t>
  </si>
  <si>
    <t>POINT (104.535992 17.305295 179.09)</t>
  </si>
  <si>
    <t>MD315-DB-22-0501-213+295</t>
  </si>
  <si>
    <t>POINT (104.536291 17.30552 180.24)</t>
  </si>
  <si>
    <t>MD316-DB-22-0501-213+330</t>
  </si>
  <si>
    <t>POINT (104.536628 17.305772 178.41)</t>
  </si>
  <si>
    <t>MD317-DB-22-0501-213+365</t>
  </si>
  <si>
    <t>POINT (104.488153 17.286577 193.36)</t>
  </si>
  <si>
    <t>RT22-SG-22-0501-207+557</t>
  </si>
  <si>
    <t>POINT (104.488511 17.286469 193.59)</t>
  </si>
  <si>
    <t>RT23-SG-22-0501-207+592</t>
  </si>
  <si>
    <t>POINT (104.488924 17.286446 192.39)</t>
  </si>
  <si>
    <t>RT24-SG-22-0501-207+594</t>
  </si>
  <si>
    <t>POINT (104.489185 17.286439 191.72)</t>
  </si>
  <si>
    <t>RT25-SG-22-0501-207+662</t>
  </si>
  <si>
    <t>POINT (104.489496 17.286428 191.99)</t>
  </si>
  <si>
    <t>RT25-SG-22-0501-207+697</t>
  </si>
  <si>
    <t>POINT (104.489891 17.286397 191.36)</t>
  </si>
  <si>
    <t>POINT (104.49015 17.286382 191.4)</t>
  </si>
  <si>
    <t>POINT (104.490462 17.286403 191.29)</t>
  </si>
  <si>
    <t>RT28-SG-22-0501-207+802</t>
  </si>
  <si>
    <t>POINT (104.490815 17.286353 191.35)</t>
  </si>
  <si>
    <t>RT29-SG-22-0501-207+837</t>
  </si>
  <si>
    <t>POINT (104.491134 17.286351 191.04)</t>
  </si>
  <si>
    <t>RT30-SG-22-0501-207+872</t>
  </si>
  <si>
    <t>POINT (104.49148 17.286413 190.55)</t>
  </si>
  <si>
    <t>RT31-SG-22-0501-207+907</t>
  </si>
  <si>
    <t>POINT (104.491813 17.286389 189.46)</t>
  </si>
  <si>
    <t>RT31-SG-22-0501-207+942</t>
  </si>
  <si>
    <t>POINT (104.492137 17.286278 187.89)</t>
  </si>
  <si>
    <t>RT32-SG-22-0501-207+977</t>
  </si>
  <si>
    <t>POINT (104.492465 17.286308 188.18)</t>
  </si>
  <si>
    <t>RT33-SG-22-0501-208+012</t>
  </si>
  <si>
    <t>POINT (104.492815 17.286346 189.17)</t>
  </si>
  <si>
    <t>RT34-SG-22-0501-208+048</t>
  </si>
  <si>
    <t>POINT (104.503942 17.285766 179.79)</t>
  </si>
  <si>
    <t>POINT (104.504282 17.285694 180.64)</t>
  </si>
  <si>
    <t>RT36-SG-22-0501-209+270</t>
  </si>
  <si>
    <t>POINT (104.504627 17.285641 181.43)</t>
  </si>
  <si>
    <t>RT37-SG-22-0501-209+305</t>
  </si>
  <si>
    <t>POINT (104.504965 17.285723 183.95)</t>
  </si>
  <si>
    <t>RT38-SG-22-0501-209+340</t>
  </si>
  <si>
    <t>POINT (104.505292 17.28573 184.3)</t>
  </si>
  <si>
    <t>RT39-SG-22-0501-209+375</t>
  </si>
  <si>
    <t>POINT (104.505636 17.285638 183.99)</t>
  </si>
  <si>
    <t>RT40-SG-22-0501-209+410</t>
  </si>
  <si>
    <t>POINT (104.505978 17.285656 184.37)</t>
  </si>
  <si>
    <t>RT41-SG-22-0501-209+445</t>
  </si>
  <si>
    <t>POINT (104.506305 17.285677 186.12)</t>
  </si>
  <si>
    <t>RT42-SG-22-0501-209+480</t>
  </si>
  <si>
    <t>POINT (104.506657 17.28572 187.83)</t>
  </si>
  <si>
    <t>RT43-SG-22-0501-209+515</t>
  </si>
  <si>
    <t>POINT (104.506991 17.285779 188.48)</t>
  </si>
  <si>
    <t>RT44-SG-22-0501-209+550</t>
  </si>
  <si>
    <t>POINT (104.507295 17.28584 189.36)</t>
  </si>
  <si>
    <t>RT45-SG-22-0501-209+585</t>
  </si>
  <si>
    <t>POINT (104.507636 17.285917 189.37)</t>
  </si>
  <si>
    <t>RT46-SG-22-0501-209+520</t>
  </si>
  <si>
    <t>POINT (104.507964 17.286025 188.32)</t>
  </si>
  <si>
    <t>RT47-SG-22-0501-209+655</t>
  </si>
  <si>
    <t>POINT (104.508308 17.28609 189.11)</t>
  </si>
  <si>
    <t>RT48-SG-22-0501-209+690</t>
  </si>
  <si>
    <t>POINT (104.508608 17.286183 188.92)</t>
  </si>
  <si>
    <t>RT49-SG-22-0501-209+725</t>
  </si>
  <si>
    <t>POINT (104.509006 17.286302 189.06)</t>
  </si>
  <si>
    <t>RT50-SG-22-0501-209+763</t>
  </si>
  <si>
    <t>POINT (104.509236 17.286356 190.04)</t>
  </si>
  <si>
    <t>RT51-SG-22-0501-209+795</t>
  </si>
  <si>
    <t>POINT (104.509534 17.286476 191.25)</t>
  </si>
  <si>
    <t>RT52-SG-22-0501-209+830</t>
  </si>
  <si>
    <t>POINT (104.50985 17.28656 190.83)</t>
  </si>
  <si>
    <t>RT53-SG-22-0501-209+865</t>
  </si>
  <si>
    <t>POINT (104.510194 17.286637 189.83)</t>
  </si>
  <si>
    <t>RT54-SG-22-0501-209+900</t>
  </si>
  <si>
    <t>POINT (104.510498 17.286722 189.83)</t>
  </si>
  <si>
    <t>RT55-SG-22-0501-209+935</t>
  </si>
  <si>
    <t>POINT (104.510823 17.286799 191.57)</t>
  </si>
  <si>
    <t>RT56-SG-22-0501-209+970</t>
  </si>
  <si>
    <t>POINT (104.511134 17.286873 192.43)</t>
  </si>
  <si>
    <t>RT57-SG-22-0501-210+005</t>
  </si>
  <si>
    <t>POINT (104.511469 17.286982 192.68)</t>
  </si>
  <si>
    <t>RT58-SG-22-0501-210+040</t>
  </si>
  <si>
    <t>POINT (104.511738 17.287095 191.43)</t>
  </si>
  <si>
    <t>RT59-SG-22-0501-210+075</t>
  </si>
  <si>
    <t>POINT (104.512057 17.287191 190.43)</t>
  </si>
  <si>
    <t>RT60-SG-22-0501-210+110</t>
  </si>
  <si>
    <t>POINT (104.512368 17.287284 190.32)</t>
  </si>
  <si>
    <t>RT61-SG-22-0501-210+145</t>
  </si>
  <si>
    <t>POINT (104.512688 17.287363 189.95)</t>
  </si>
  <si>
    <t>RT62-SG-22-0501-210+180</t>
  </si>
  <si>
    <t>POINT (104.513014 17.287429 190.06)</t>
  </si>
  <si>
    <t>RT63-SG-22-0501-210+215</t>
  </si>
  <si>
    <t>POINT (104.513328 17.287597 190.32)</t>
  </si>
  <si>
    <t>RT64-SG-33-0501-210+250</t>
  </si>
  <si>
    <t>POINT (104.513641 17.28768 190.33)</t>
  </si>
  <si>
    <t>RT65-SG-22-0501-210+285</t>
  </si>
  <si>
    <t>POINT (104.513967 17.287689 191.06)</t>
  </si>
  <si>
    <t>RT66-SG-22-0501-210+320</t>
  </si>
  <si>
    <t>POINT (104.514259 17.287804 190.1)</t>
  </si>
  <si>
    <t>RT67-SG-22-0501-210+355</t>
  </si>
  <si>
    <t>POINT (104.515277 17.288161 185.65)</t>
  </si>
  <si>
    <t>RT68-SG-22-0501-210+460</t>
  </si>
  <si>
    <t>POINT (104.515576 17.28826 184.96)</t>
  </si>
  <si>
    <t>RT69-SG-22-0501-210+495</t>
  </si>
  <si>
    <t>POINT (104.515893 17.288358 185.24)</t>
  </si>
  <si>
    <t>RT70-SG-22-0501-210+530</t>
  </si>
  <si>
    <t>POINT (104.516202 17.288511 185.48)</t>
  </si>
  <si>
    <t>RT71-SG-22-0501-210+565</t>
  </si>
  <si>
    <t>POINT (104.516533 17.288581 185.29)</t>
  </si>
  <si>
    <t>RT71-SG-22-0501-210+600</t>
  </si>
  <si>
    <t>POINT (104.516837 17.288693 185.37)</t>
  </si>
  <si>
    <t>RT72-SG-22-0501-210+635</t>
  </si>
  <si>
    <t>POINT (104.517142 17.288841 186.02)</t>
  </si>
  <si>
    <t>RT73-SG-22-0501-210+670</t>
  </si>
  <si>
    <t>POINT (104.517444 17.289 186.79)</t>
  </si>
  <si>
    <t>RT74-SG-22-0501-210+705</t>
  </si>
  <si>
    <t>POINT (104.517723 17.28918 187.41)</t>
  </si>
  <si>
    <t>RT75-SG-22-0501-210+740</t>
  </si>
  <si>
    <t>POINT (104.51801 17.28938 187.46)</t>
  </si>
  <si>
    <t>RT76-SG-22-0501-210+775</t>
  </si>
  <si>
    <t>POINT (104.518263 17.28958 187.23)</t>
  </si>
  <si>
    <t>RT76-SG-22-0501-210+810</t>
  </si>
  <si>
    <t>POINT (104.518353 17.289983 186.62)</t>
  </si>
  <si>
    <t>LT109-SG-22-0501-210+845</t>
  </si>
  <si>
    <t>POINT (104.518518 17.289795 187.23)</t>
  </si>
  <si>
    <t>RT77-SG-22-0501-210+845</t>
  </si>
  <si>
    <t>POINT (104.518759 17.290031 187.78)</t>
  </si>
  <si>
    <t>RT78-SG-22-0501-210+880</t>
  </si>
  <si>
    <t>POINT (104.518978 17.290264 189.4)</t>
  </si>
  <si>
    <t>RT79-SG-22-0501-210+915</t>
  </si>
  <si>
    <t>POINT (104.519199 17.290512 189.16)</t>
  </si>
  <si>
    <t>RT80-SG-22-0501-210+950</t>
  </si>
  <si>
    <t>POINT (104.51941 17.29076 188.18)</t>
  </si>
  <si>
    <t>RT81-SG-22-0501-210+985</t>
  </si>
  <si>
    <t>POINT (104.51964 17.291014 188.18)</t>
  </si>
  <si>
    <t>RT82-SG-22-0501-211+020</t>
  </si>
  <si>
    <t>POINT (104.519844 17.291258 188.53)</t>
  </si>
  <si>
    <t>RT83-SG-22-0501-210+055</t>
  </si>
  <si>
    <t>POINT (104.520044 17.291458 188.88)</t>
  </si>
  <si>
    <t>RT84-SG-22-0501-210+085</t>
  </si>
  <si>
    <t>POINT (104.52026 17.291697 188.16)</t>
  </si>
  <si>
    <t>RT85-SG-22-0501-211+090</t>
  </si>
  <si>
    <t>POINT (104.520464 17.291933 187.29)</t>
  </si>
  <si>
    <t>RT86-SG-22-0501-211+160</t>
  </si>
  <si>
    <t>POINT (104.520683 17.292169 187.26)</t>
  </si>
  <si>
    <t>RT87-SG-22-0501-211+195</t>
  </si>
  <si>
    <t>POINT (104.520889 17.29241 187.73)</t>
  </si>
  <si>
    <t>RT88-SG-22-0501-211+230</t>
  </si>
  <si>
    <t>POINT (104.536956 17.305881 177.17)</t>
  </si>
  <si>
    <t>RT89-SG-22-0501-213+248</t>
  </si>
  <si>
    <t>POINT (104.537223 17.306084 176.36)</t>
  </si>
  <si>
    <t>RT90-SG-22-0501-213+283</t>
  </si>
  <si>
    <t>POINT (104.537483 17.306283 175.34)</t>
  </si>
  <si>
    <t>RT91-SG-22-0501-213+318</t>
  </si>
  <si>
    <t>POINT (104.537728 17.306462 175.19)</t>
  </si>
  <si>
    <t>RT92-SG-22-0501-213+353</t>
  </si>
  <si>
    <t>POINT (104.537989 17.306659 175.23)</t>
  </si>
  <si>
    <t>RT93-SG-22-0501-213+388</t>
  </si>
  <si>
    <t>POINT (104.538245 17.306854 176.12)</t>
  </si>
  <si>
    <t>RT94-SG-22-0501-213+425</t>
  </si>
  <si>
    <t>POINT (104.538511 17.307047 176.4)</t>
  </si>
  <si>
    <t>RT95-SG-22-0501-213+458</t>
  </si>
  <si>
    <t>POINT (104.538763 17.307239 174.79)</t>
  </si>
  <si>
    <t>RT96-SG-22-0501-213+493</t>
  </si>
  <si>
    <t>POINT (104.539005 17.30742 174.79)</t>
  </si>
  <si>
    <t>RT97-SG-22-0501-213+528</t>
  </si>
  <si>
    <t>POINT (104.539274 17.30763 174.77)</t>
  </si>
  <si>
    <t>RT98-SG-22-0501-213+563</t>
  </si>
  <si>
    <t>POINT (104.53953 17.307815 174.11)</t>
  </si>
  <si>
    <t>RT99-SG-22-0501-213+598</t>
  </si>
  <si>
    <t>POINT (104.539789 17.307996 173.43)</t>
  </si>
  <si>
    <t>POINT (104.540047 17.308201 172.29)</t>
  </si>
  <si>
    <t>RT101-SG-22-0501-213+668</t>
  </si>
  <si>
    <t>POINT (104.5403 17.308394 171.08)</t>
  </si>
  <si>
    <t>RT102-SG-22-0501-213+703</t>
  </si>
  <si>
    <t>POINT (104.540569 17.308589 170.15)</t>
  </si>
  <si>
    <t>RT103-SG-22-0501-213+738</t>
  </si>
  <si>
    <t>POINT (104.540824 17.308781 167.9)</t>
  </si>
  <si>
    <t>RT104-SG-22-0501-213+773</t>
  </si>
  <si>
    <t>POINT (104.541081 17.308977 167.13)</t>
  </si>
  <si>
    <t>RT105-SG-22-0501-213+808</t>
  </si>
  <si>
    <t>POINT (104.541336 17.309166 168.1)</t>
  </si>
  <si>
    <t>RT106-SG-22-0501-213+843</t>
  </si>
  <si>
    <t>POINT (104.541598 17.309357 167.92)</t>
  </si>
  <si>
    <t>RT107-SG-22-0501-213+878</t>
  </si>
  <si>
    <t>POINT (104.541858 17.309551 167.0)</t>
  </si>
  <si>
    <t>RT109-SG-22-0501-213+913</t>
  </si>
  <si>
    <t>POINT (104.542111 17.309743 166.13)</t>
  </si>
  <si>
    <t>RT110-SG-22-0501-213+948</t>
  </si>
  <si>
    <t>POINT (104.542374 17.309942 165.9)</t>
  </si>
  <si>
    <t>RT111-SG-22-0501-213+983</t>
  </si>
  <si>
    <t>POINT (104.542903 17.310335 166.03)</t>
  </si>
  <si>
    <t>RT112-SG-22-0501-214+053</t>
  </si>
  <si>
    <t>POINT (104.54312 17.310504 165.67)</t>
  </si>
  <si>
    <t>RT113-SG-22-0501-214+083</t>
  </si>
  <si>
    <t>POINT (104.543416 17.31072 165.91)</t>
  </si>
  <si>
    <t>RT114-SG-22-0501-214+123</t>
  </si>
  <si>
    <t>POINT (104.536801 17.306067 178.25)</t>
  </si>
  <si>
    <t>POINT (104.537064 17.306262 177.37)</t>
  </si>
  <si>
    <t>LT122-SG-22-0501-213+283</t>
  </si>
  <si>
    <t>POINT (104.537323 17.306453 176.51)</t>
  </si>
  <si>
    <t>LT123-SG-22-0501-213+318</t>
  </si>
  <si>
    <t>POINT (104.537576 17.306655 174.94)</t>
  </si>
  <si>
    <t>LT124-SG-22-0501-213+353</t>
  </si>
  <si>
    <t>POINT (104.537835 17.306848 174.41)</t>
  </si>
  <si>
    <t>LT125-SG-22-0501-213+388</t>
  </si>
  <si>
    <t>POINT (104.538094 17.307036 175.4)</t>
  </si>
  <si>
    <t>LT126-SG-22-0501-213+425</t>
  </si>
  <si>
    <t>POINT (104.538351 17.307232 176.11)</t>
  </si>
  <si>
    <t>LT127-SG-22-0501-213+458</t>
  </si>
  <si>
    <t>POINT (104.538605 17.307419 175.67)</t>
  </si>
  <si>
    <t>LT128-SG-22-0501-213+493</t>
  </si>
  <si>
    <t>POINT (104.538871 17.307614 174.84)</t>
  </si>
  <si>
    <t>LT129-SG-22-0501-213+528</t>
  </si>
  <si>
    <t>POINT (104.539124 17.307814 174.35)</t>
  </si>
  <si>
    <t>LT130-SG-22-0501-213+563</t>
  </si>
  <si>
    <t>POINT (104.53938 17.307996 173.45)</t>
  </si>
  <si>
    <t>LT131-SG-22-0501-213+598</t>
  </si>
  <si>
    <t>POINT (104.539645 17.308197 172.81)</t>
  </si>
  <si>
    <t>LT132-SG-22-0501-213+633</t>
  </si>
  <si>
    <t>POINT (104.539896 17.308386 171.73)</t>
  </si>
  <si>
    <t>LT133-SG-22-0501-213+668</t>
  </si>
  <si>
    <t>POINT (104.540131 17.308555 170.85)</t>
  </si>
  <si>
    <t>LT134-SG-22-0501-213+703</t>
  </si>
  <si>
    <t>POINT (104.54041 17.30877 169.57)</t>
  </si>
  <si>
    <t>LT135-SG-22-0501-213+738</t>
  </si>
  <si>
    <t>POINT (104.540673 17.308966 168.2)</t>
  </si>
  <si>
    <t>LT136-SG-22-0501-213+773</t>
  </si>
  <si>
    <t>POINT (104.540928 17.309161 167.26)</t>
  </si>
  <si>
    <t>LT137-SG-22-0501-213+808</t>
  </si>
  <si>
    <t>POINT (104.541115 17.309293 167.71)</t>
  </si>
  <si>
    <t>LT138-SG-22-0501-213+834</t>
  </si>
  <si>
    <t>POINT (104.541456 17.309554 168.83)</t>
  </si>
  <si>
    <t>LT139-SG-22-0501-213+879</t>
  </si>
  <si>
    <t>POINT (104.541712 17.309743 167.77)</t>
  </si>
  <si>
    <t>LT140-SG-22-0501-213+914</t>
  </si>
  <si>
    <t>POINT (104.541961 17.309922 166.16)</t>
  </si>
  <si>
    <t>LT141-SG-22-0501-213+948</t>
  </si>
  <si>
    <t>POINT (104.54222 17.310124 165.57)</t>
  </si>
  <si>
    <t>LT142-SG-22-0501-213+983</t>
  </si>
  <si>
    <t>POINT (104.542481 17.310311 166.05)</t>
  </si>
  <si>
    <t>LT143-SG-22-0501-214+018</t>
  </si>
  <si>
    <t>POINT (104.542736 17.310511 165.4)</t>
  </si>
  <si>
    <t>LT144-SG-22-0501-214+053</t>
  </si>
  <si>
    <t>POINT (104.542991 17.310705 165.63)</t>
  </si>
  <si>
    <t>LT145-SG-22-0501-214+083</t>
  </si>
  <si>
    <t>POINT (104.543255 17.310901 166.19)</t>
  </si>
  <si>
    <t>LT146-SG-22-0501-214+123</t>
  </si>
  <si>
    <t>LT85-SG-22-0501-209+935</t>
  </si>
  <si>
    <t>LT76-SG-22-0501-209+520</t>
  </si>
  <si>
    <t>LT116-SG-22-0501-210+090</t>
  </si>
  <si>
    <t>MD107-DB-22-0501-203+345</t>
  </si>
  <si>
    <t>MD138-DB-22-0501-204+465</t>
  </si>
  <si>
    <t>MD179-DB-22-0501-206+790</t>
  </si>
  <si>
    <t>MD196-DB-22-0501-207+382</t>
  </si>
  <si>
    <t>MD198-DB-22-0501-207+452</t>
  </si>
  <si>
    <t>MD208-DB-22-0501-207+802</t>
  </si>
  <si>
    <t>RT100-SG-22-0501-213+633</t>
  </si>
  <si>
    <t>LT/LT56-SG-22-0501-207+977</t>
  </si>
  <si>
    <t>RT6-SG-22-198+665</t>
  </si>
  <si>
    <t>MD2-DB-22-0501-198+535</t>
  </si>
  <si>
    <t>MD4-DB-22-0501-199+605</t>
  </si>
  <si>
    <t>MD11-DB-22-0501-199+920</t>
  </si>
  <si>
    <t>MD66-DB-22-0501-201+915</t>
  </si>
  <si>
    <t>RT26-SG-22-0501-207+735</t>
  </si>
  <si>
    <t>RT27-SG-22-0501-207+767</t>
  </si>
  <si>
    <t>RT35-SG-22-0501-208+060</t>
  </si>
  <si>
    <t>LT84-SG-22-0501-209+900</t>
  </si>
  <si>
    <t>MD110-DB-22-0501-203+485</t>
  </si>
  <si>
    <t>ประเภทโคมไฟ</t>
  </si>
  <si>
    <t>ทิศทางที่ตั้ง (LT/RT/MD)</t>
  </si>
  <si>
    <t>สถานะ</t>
  </si>
  <si>
    <t>ชนิดของหลอดไฟ</t>
  </si>
  <si>
    <t>ตู้คอนโทรล</t>
  </si>
  <si>
    <t>วันที่ก่อสร้าง</t>
  </si>
  <si>
    <t>สัญญาที่</t>
  </si>
  <si>
    <t>สายทาง</t>
  </si>
  <si>
    <t>ตอนควบคุม</t>
  </si>
  <si>
    <t>กม.</t>
  </si>
  <si>
    <t>วันที่ซ่อมครั้งล่าสุด</t>
  </si>
  <si>
    <t>สาเหตุการเสียหาย</t>
  </si>
  <si>
    <t>วิธีการซ่อม</t>
  </si>
  <si>
    <t>หมายเหตุ</t>
  </si>
  <si>
    <t>Lat</t>
  </si>
  <si>
    <t>Long</t>
  </si>
  <si>
    <t xml:space="preserve"> 17.3212</t>
  </si>
  <si>
    <t xml:space="preserve"> 17.3215</t>
  </si>
  <si>
    <t xml:space="preserve"> 17.3216</t>
  </si>
  <si>
    <t xml:space="preserve"> 17.3214</t>
  </si>
  <si>
    <t xml:space="preserve"> 17.3213</t>
  </si>
  <si>
    <t xml:space="preserve"> 17.3211</t>
  </si>
  <si>
    <t xml:space="preserve"> 17.3209</t>
  </si>
  <si>
    <t>17.3208</t>
  </si>
  <si>
    <t>17.3206</t>
  </si>
  <si>
    <t xml:space="preserve"> 17.3204</t>
  </si>
  <si>
    <t xml:space="preserve"> 17.3202</t>
  </si>
  <si>
    <t xml:space="preserve"> 17.3200</t>
  </si>
  <si>
    <t xml:space="preserve"> 17.3166</t>
  </si>
  <si>
    <t xml:space="preserve"> 17.3165</t>
  </si>
  <si>
    <t xml:space="preserve"> 17.3159</t>
  </si>
  <si>
    <t xml:space="preserve"> 17.3157</t>
  </si>
  <si>
    <t xml:space="preserve"> 17.3156</t>
  </si>
  <si>
    <t xml:space="preserve"> 17.3153</t>
  </si>
  <si>
    <t xml:space="preserve"> 17.3151</t>
  </si>
  <si>
    <t xml:space="preserve"> 17.3150</t>
  </si>
  <si>
    <t xml:space="preserve"> 17.3147</t>
  </si>
  <si>
    <t xml:space="preserve"> 17.3146</t>
  </si>
  <si>
    <t xml:space="preserve"> 17.3143</t>
  </si>
  <si>
    <t xml:space="preserve"> 17.3142</t>
  </si>
  <si>
    <t xml:space="preserve"> 17.3140</t>
  </si>
  <si>
    <t xml:space="preserve"> 17.3138</t>
  </si>
  <si>
    <t xml:space="preserve"> 17.3136</t>
  </si>
  <si>
    <t xml:space="preserve"> 17.3135</t>
  </si>
  <si>
    <t xml:space="preserve"> 17.3133</t>
  </si>
  <si>
    <t xml:space="preserve"> 17.3131</t>
  </si>
  <si>
    <t xml:space="preserve"> 17.3129</t>
  </si>
  <si>
    <t xml:space="preserve"> 17.3127</t>
  </si>
  <si>
    <t xml:space="preserve"> 17.3125</t>
  </si>
  <si>
    <t xml:space="preserve"> 17.2861</t>
  </si>
  <si>
    <t xml:space="preserve"> 17.2862</t>
  </si>
  <si>
    <t xml:space="preserve"> 17.2860</t>
  </si>
  <si>
    <t xml:space="preserve"> 17.2863</t>
  </si>
  <si>
    <t xml:space="preserve"> 17.2864</t>
  </si>
  <si>
    <t xml:space="preserve"> 17.2865</t>
  </si>
  <si>
    <t xml:space="preserve"> 17.2866</t>
  </si>
  <si>
    <t xml:space="preserve"> 17.2867</t>
  </si>
  <si>
    <t xml:space="preserve"> 17.2868</t>
  </si>
  <si>
    <t xml:space="preserve"> 17.2869</t>
  </si>
  <si>
    <t xml:space="preserve"> 17.2870</t>
  </si>
  <si>
    <t xml:space="preserve"> 17.2871</t>
  </si>
  <si>
    <t xml:space="preserve"> 17.2872</t>
  </si>
  <si>
    <t xml:space="preserve"> 17.2873</t>
  </si>
  <si>
    <t>17.2869</t>
  </si>
  <si>
    <t>17.2867</t>
  </si>
  <si>
    <t>17.2866</t>
  </si>
  <si>
    <t xml:space="preserve"> 17.2874</t>
  </si>
  <si>
    <t xml:space="preserve"> 17.2876</t>
  </si>
  <si>
    <t xml:space="preserve"> 17.2877</t>
  </si>
  <si>
    <t xml:space="preserve"> 17.2878</t>
  </si>
  <si>
    <t xml:space="preserve"> 17.2879</t>
  </si>
  <si>
    <t xml:space="preserve"> 17.2880</t>
  </si>
  <si>
    <t xml:space="preserve"> 17.2881</t>
  </si>
  <si>
    <t xml:space="preserve"> 17.2882</t>
  </si>
  <si>
    <t xml:space="preserve"> 17.2884</t>
  </si>
  <si>
    <t xml:space="preserve"> 17.2885</t>
  </si>
  <si>
    <t xml:space="preserve"> 17.2886</t>
  </si>
  <si>
    <t>17.2886</t>
  </si>
  <si>
    <t xml:space="preserve"> 17.2887</t>
  </si>
  <si>
    <t xml:space="preserve"> 17.2889</t>
  </si>
  <si>
    <t xml:space="preserve"> 17.2890</t>
  </si>
  <si>
    <t xml:space="preserve"> 17.2892</t>
  </si>
  <si>
    <t>17.2893</t>
  </si>
  <si>
    <t xml:space="preserve"> 17.2895</t>
  </si>
  <si>
    <t xml:space="preserve"> 17.2897</t>
  </si>
  <si>
    <t xml:space="preserve"> 17.2902</t>
  </si>
  <si>
    <t xml:space="preserve"> 17.2904</t>
  </si>
  <si>
    <t xml:space="preserve"> 17.2906</t>
  </si>
  <si>
    <t xml:space="preserve"> 17.2908</t>
  </si>
  <si>
    <t xml:space="preserve"> 17.2911</t>
  </si>
  <si>
    <t xml:space="preserve"> 17.2913</t>
  </si>
  <si>
    <t xml:space="preserve"> 17.2915</t>
  </si>
  <si>
    <t>17.2918</t>
  </si>
  <si>
    <t xml:space="preserve"> 17.2920</t>
  </si>
  <si>
    <t xml:space="preserve"> 17.2923</t>
  </si>
  <si>
    <t xml:space="preserve"> 17.2925</t>
  </si>
  <si>
    <t>17.3212</t>
  </si>
  <si>
    <t>17.3214</t>
  </si>
  <si>
    <t>17.3213</t>
  </si>
  <si>
    <t xml:space="preserve"> 17.3210</t>
  </si>
  <si>
    <t xml:space="preserve"> 17.3207</t>
  </si>
  <si>
    <t xml:space="preserve"> 17.3205</t>
  </si>
  <si>
    <t xml:space="preserve"> 17.3198</t>
  </si>
  <si>
    <t xml:space="preserve"> 17.3197</t>
  </si>
  <si>
    <t xml:space="preserve"> 17.3195</t>
  </si>
  <si>
    <t xml:space="preserve"> 17.3194</t>
  </si>
  <si>
    <t xml:space="preserve"> 17.3191</t>
  </si>
  <si>
    <t xml:space="preserve"> 17.3190</t>
  </si>
  <si>
    <t xml:space="preserve"> 17.3188</t>
  </si>
  <si>
    <t xml:space="preserve"> 17.3186</t>
  </si>
  <si>
    <t xml:space="preserve"> 17.3184</t>
  </si>
  <si>
    <t xml:space="preserve"> 17.3182</t>
  </si>
  <si>
    <t xml:space="preserve"> 17.3180</t>
  </si>
  <si>
    <t xml:space="preserve"> 17.3179</t>
  </si>
  <si>
    <t xml:space="preserve"> 17.3176</t>
  </si>
  <si>
    <t xml:space="preserve"> 17.3174</t>
  </si>
  <si>
    <t xml:space="preserve"> 17.3173</t>
  </si>
  <si>
    <t xml:space="preserve"> 17.3171</t>
  </si>
  <si>
    <t xml:space="preserve"> 17.3167</t>
  </si>
  <si>
    <t xml:space="preserve"> 17.3163</t>
  </si>
  <si>
    <t xml:space="preserve"> 17.3161</t>
  </si>
  <si>
    <t>17.3159</t>
  </si>
  <si>
    <t xml:space="preserve"> 17.3154</t>
  </si>
  <si>
    <t xml:space="preserve"> 17.3152</t>
  </si>
  <si>
    <t xml:space="preserve"> 17.3148</t>
  </si>
  <si>
    <t>17.3144</t>
  </si>
  <si>
    <t xml:space="preserve"> 17.3134</t>
  </si>
  <si>
    <t xml:space="preserve"> 17.3123</t>
  </si>
  <si>
    <t xml:space="preserve"> 17.3121</t>
  </si>
  <si>
    <t xml:space="preserve"> 17.3119</t>
  </si>
  <si>
    <t xml:space="preserve"> 17.3115</t>
  </si>
  <si>
    <t>17.3119</t>
  </si>
  <si>
    <t xml:space="preserve"> 17.3117</t>
  </si>
  <si>
    <t xml:space="preserve"> 17.3112</t>
  </si>
  <si>
    <t>17.3114</t>
  </si>
  <si>
    <t xml:space="preserve"> 17.3110</t>
  </si>
  <si>
    <t xml:space="preserve"> 17.3108</t>
  </si>
  <si>
    <t xml:space="preserve"> 17.3106</t>
  </si>
  <si>
    <t xml:space="preserve"> 17.3104</t>
  </si>
  <si>
    <t xml:space="preserve"> 17.3102</t>
  </si>
  <si>
    <t xml:space="preserve"> 17.3100</t>
  </si>
  <si>
    <t xml:space="preserve"> 17.3099</t>
  </si>
  <si>
    <t xml:space="preserve"> 17.3097</t>
  </si>
  <si>
    <t xml:space="preserve"> 17.3095</t>
  </si>
  <si>
    <t xml:space="preserve"> 17.3093</t>
  </si>
  <si>
    <t xml:space="preserve"> 17.3091</t>
  </si>
  <si>
    <t xml:space="preserve"> 17.3089</t>
  </si>
  <si>
    <t xml:space="preserve"> 17.3088</t>
  </si>
  <si>
    <t xml:space="preserve"> 17.3086</t>
  </si>
  <si>
    <t xml:space="preserve"> 17.3084</t>
  </si>
  <si>
    <t xml:space="preserve"> 17.3082</t>
  </si>
  <si>
    <t>17.3080</t>
  </si>
  <si>
    <t xml:space="preserve"> 17.3078</t>
  </si>
  <si>
    <t xml:space="preserve"> 17.3076</t>
  </si>
  <si>
    <t xml:space="preserve"> 17.3074</t>
  </si>
  <si>
    <t xml:space="preserve"> 17.3072</t>
  </si>
  <si>
    <t xml:space="preserve"> 17.3071</t>
  </si>
  <si>
    <t>17.3069</t>
  </si>
  <si>
    <t xml:space="preserve"> 17.3067</t>
  </si>
  <si>
    <t xml:space="preserve"> 17.3065</t>
  </si>
  <si>
    <t xml:space="preserve"> 17.3063</t>
  </si>
  <si>
    <t xml:space="preserve"> 17.3061</t>
  </si>
  <si>
    <t xml:space="preserve"> 17.3060</t>
  </si>
  <si>
    <t xml:space="preserve"> 17.3058</t>
  </si>
  <si>
    <t xml:space="preserve"> 17.3056</t>
  </si>
  <si>
    <t xml:space="preserve"> 17.3054</t>
  </si>
  <si>
    <t>17.3053</t>
  </si>
  <si>
    <t xml:space="preserve"> 17.3051</t>
  </si>
  <si>
    <t xml:space="preserve"> 17.3049</t>
  </si>
  <si>
    <t xml:space="preserve"> 17.3047</t>
  </si>
  <si>
    <t xml:space="preserve"> 17.3045</t>
  </si>
  <si>
    <t xml:space="preserve"> 17.3044</t>
  </si>
  <si>
    <t xml:space="preserve"> 17.3042</t>
  </si>
  <si>
    <t>17.3040</t>
  </si>
  <si>
    <t xml:space="preserve"> 17.3038</t>
  </si>
  <si>
    <t xml:space="preserve"> 17.3037</t>
  </si>
  <si>
    <t xml:space="preserve"> 17.3035</t>
  </si>
  <si>
    <t xml:space="preserve"> 17.3033</t>
  </si>
  <si>
    <t xml:space="preserve"> 17.3031</t>
  </si>
  <si>
    <t>17.3029</t>
  </si>
  <si>
    <t xml:space="preserve"> 17.3028</t>
  </si>
  <si>
    <t xml:space="preserve"> 17.3026</t>
  </si>
  <si>
    <t xml:space="preserve"> 17.3024</t>
  </si>
  <si>
    <t xml:space="preserve"> 17.3022</t>
  </si>
  <si>
    <t xml:space="preserve"> 17.3020</t>
  </si>
  <si>
    <t xml:space="preserve"> 17.3019</t>
  </si>
  <si>
    <t xml:space="preserve"> 17.3017</t>
  </si>
  <si>
    <t xml:space="preserve"> 17.3016</t>
  </si>
  <si>
    <t xml:space="preserve"> 17.3015</t>
  </si>
  <si>
    <t xml:space="preserve"> 17.3014</t>
  </si>
  <si>
    <t xml:space="preserve"> 17.3012</t>
  </si>
  <si>
    <t>17.3011</t>
  </si>
  <si>
    <t xml:space="preserve"> 17.3009</t>
  </si>
  <si>
    <t xml:space="preserve"> 17.3008</t>
  </si>
  <si>
    <t xml:space="preserve"> 17.3007</t>
  </si>
  <si>
    <t xml:space="preserve"> 17.3005</t>
  </si>
  <si>
    <t xml:space="preserve"> 17.3004</t>
  </si>
  <si>
    <t xml:space="preserve"> 17.3003</t>
  </si>
  <si>
    <t xml:space="preserve"> 17.3002</t>
  </si>
  <si>
    <t xml:space="preserve"> 17.3001</t>
  </si>
  <si>
    <t xml:space="preserve"> 17.3000</t>
  </si>
  <si>
    <t xml:space="preserve"> 17.2999</t>
  </si>
  <si>
    <t xml:space="preserve"> 17.2998</t>
  </si>
  <si>
    <t xml:space="preserve"> 17.2996</t>
  </si>
  <si>
    <t xml:space="preserve"> 17.2995</t>
  </si>
  <si>
    <t xml:space="preserve"> 17.2994</t>
  </si>
  <si>
    <t xml:space="preserve"> 17.2993</t>
  </si>
  <si>
    <t xml:space="preserve"> 17.2992</t>
  </si>
  <si>
    <t xml:space="preserve"> 17.2991</t>
  </si>
  <si>
    <t xml:space="preserve"> 17.2990</t>
  </si>
  <si>
    <t xml:space="preserve"> 17.2989</t>
  </si>
  <si>
    <t xml:space="preserve"> 17.2988</t>
  </si>
  <si>
    <t xml:space="preserve"> 17.2986</t>
  </si>
  <si>
    <t xml:space="preserve"> 17.2985</t>
  </si>
  <si>
    <t xml:space="preserve"> 17.2984</t>
  </si>
  <si>
    <t xml:space="preserve"> 17.2983</t>
  </si>
  <si>
    <t xml:space="preserve"> 17.2982</t>
  </si>
  <si>
    <t xml:space="preserve"> 17.2981</t>
  </si>
  <si>
    <t xml:space="preserve"> 17.2980</t>
  </si>
  <si>
    <t xml:space="preserve"> 17.2979</t>
  </si>
  <si>
    <t xml:space="preserve"> 17.2978</t>
  </si>
  <si>
    <t xml:space="preserve"> 17.2976</t>
  </si>
  <si>
    <t xml:space="preserve"> 17.2975</t>
  </si>
  <si>
    <t xml:space="preserve"> 17.2974</t>
  </si>
  <si>
    <t xml:space="preserve"> 17.2973</t>
  </si>
  <si>
    <t xml:space="preserve"> 17.2972</t>
  </si>
  <si>
    <t>17.2971</t>
  </si>
  <si>
    <t>17.2970</t>
  </si>
  <si>
    <t xml:space="preserve"> 17.2969</t>
  </si>
  <si>
    <t xml:space="preserve"> 17.2967</t>
  </si>
  <si>
    <t xml:space="preserve"> 17.2966</t>
  </si>
  <si>
    <t xml:space="preserve"> 17.2965</t>
  </si>
  <si>
    <t xml:space="preserve"> 17.2964</t>
  </si>
  <si>
    <t xml:space="preserve"> 17.2963</t>
  </si>
  <si>
    <t xml:space="preserve"> 17.2962</t>
  </si>
  <si>
    <t xml:space="preserve"> 17.2960</t>
  </si>
  <si>
    <t xml:space="preserve"> 17.2959</t>
  </si>
  <si>
    <t xml:space="preserve"> 17.2958</t>
  </si>
  <si>
    <t xml:space="preserve"> 17.2957</t>
  </si>
  <si>
    <t xml:space="preserve"> 17.2956</t>
  </si>
  <si>
    <t xml:space="preserve"> 17.2954</t>
  </si>
  <si>
    <t xml:space="preserve"> 17.2953</t>
  </si>
  <si>
    <t xml:space="preserve"> 17.2951</t>
  </si>
  <si>
    <t xml:space="preserve"> 17.2950</t>
  </si>
  <si>
    <t xml:space="preserve"> 17.2949</t>
  </si>
  <si>
    <t xml:space="preserve"> 17.2948</t>
  </si>
  <si>
    <t xml:space="preserve"> 17.2946</t>
  </si>
  <si>
    <t xml:space="preserve"> 17.2945</t>
  </si>
  <si>
    <t xml:space="preserve"> 17.2944</t>
  </si>
  <si>
    <t xml:space="preserve"> 17.2943</t>
  </si>
  <si>
    <t xml:space="preserve"> 17.2942</t>
  </si>
  <si>
    <t xml:space="preserve"> 17.2941</t>
  </si>
  <si>
    <t xml:space="preserve"> 17.2939</t>
  </si>
  <si>
    <t>17.2938</t>
  </si>
  <si>
    <t xml:space="preserve"> 17.2937</t>
  </si>
  <si>
    <t xml:space="preserve"> 17.2936</t>
  </si>
  <si>
    <t xml:space="preserve"> 17.2935</t>
  </si>
  <si>
    <t xml:space="preserve"> 17.2933</t>
  </si>
  <si>
    <t xml:space="preserve"> 17.2932</t>
  </si>
  <si>
    <t xml:space="preserve"> 17.2931</t>
  </si>
  <si>
    <t xml:space="preserve"> 17.2930</t>
  </si>
  <si>
    <t xml:space="preserve"> 17.2929</t>
  </si>
  <si>
    <t xml:space="preserve"> 17.2928</t>
  </si>
  <si>
    <t xml:space="preserve"> 17.2926</t>
  </si>
  <si>
    <t xml:space="preserve"> 17.2827</t>
  </si>
  <si>
    <t xml:space="preserve"> 17.2924</t>
  </si>
  <si>
    <t xml:space="preserve"> 17.2891</t>
  </si>
  <si>
    <t>17.2890</t>
  </si>
  <si>
    <t xml:space="preserve"> 17.2888</t>
  </si>
  <si>
    <t xml:space="preserve"> 17.2883</t>
  </si>
  <si>
    <t xml:space="preserve"> 17.2875</t>
  </si>
  <si>
    <t>17.2868</t>
  </si>
  <si>
    <t>17.2865</t>
  </si>
  <si>
    <t xml:space="preserve"> 17.2859</t>
  </si>
  <si>
    <t>17.2859</t>
  </si>
  <si>
    <t xml:space="preserve"> 17.2858</t>
  </si>
  <si>
    <t>17.2864</t>
  </si>
  <si>
    <t>17.2876</t>
  </si>
  <si>
    <t xml:space="preserve"> 17.2927</t>
  </si>
  <si>
    <t xml:space="preserve"> 17.2938</t>
  </si>
  <si>
    <t xml:space="preserve"> 17.2940</t>
  </si>
  <si>
    <t>17.2956</t>
  </si>
  <si>
    <t xml:space="preserve"> 17.3021</t>
  </si>
  <si>
    <t xml:space="preserve"> 17.3023</t>
  </si>
  <si>
    <t xml:space="preserve"> 17.3025</t>
  </si>
  <si>
    <t xml:space="preserve"> 17.3027</t>
  </si>
  <si>
    <t xml:space="preserve"> 17.3029</t>
  </si>
  <si>
    <t>17.3032</t>
  </si>
  <si>
    <t xml:space="preserve"> 17.3034</t>
  </si>
  <si>
    <t xml:space="preserve"> 17.3036</t>
  </si>
  <si>
    <t xml:space="preserve"> 17.3040</t>
  </si>
  <si>
    <t xml:space="preserve"> 17.3046</t>
  </si>
  <si>
    <t>17.3048</t>
  </si>
  <si>
    <t xml:space="preserve"> 17.3050</t>
  </si>
  <si>
    <t xml:space="preserve"> 17.3052</t>
  </si>
  <si>
    <t xml:space="preserve"> 17.3055</t>
  </si>
  <si>
    <t xml:space="preserve"> 17.3057</t>
  </si>
  <si>
    <t>17.2863</t>
  </si>
  <si>
    <t xml:space="preserve"> 17.2857</t>
  </si>
  <si>
    <t xml:space="preserve"> 17.2856</t>
  </si>
  <si>
    <t xml:space="preserve"> 17.289 </t>
  </si>
  <si>
    <t xml:space="preserve"> 17.2899</t>
  </si>
  <si>
    <t xml:space="preserve"> 17.2900</t>
  </si>
  <si>
    <t xml:space="preserve"> 17.2905</t>
  </si>
  <si>
    <t>17.2907</t>
  </si>
  <si>
    <t>17.2910</t>
  </si>
  <si>
    <t xml:space="preserve"> 17.2912</t>
  </si>
  <si>
    <t xml:space="preserve"> 17.2914</t>
  </si>
  <si>
    <t>17.2916</t>
  </si>
  <si>
    <t xml:space="preserve"> 17.2919</t>
  </si>
  <si>
    <t xml:space="preserve"> 17.2921</t>
  </si>
  <si>
    <t xml:space="preserve"> 17.3062</t>
  </si>
  <si>
    <t xml:space="preserve"> 17.3064</t>
  </si>
  <si>
    <t xml:space="preserve"> 17.3066</t>
  </si>
  <si>
    <t xml:space="preserve"> 17.3068</t>
  </si>
  <si>
    <t xml:space="preserve"> 17.3070</t>
  </si>
  <si>
    <t>17.3078</t>
  </si>
  <si>
    <t xml:space="preserve"> 17.3079</t>
  </si>
  <si>
    <t>17.3083</t>
  </si>
  <si>
    <t xml:space="preserve"> 17.3085</t>
  </si>
  <si>
    <t xml:space="preserve"> 17.3087</t>
  </si>
  <si>
    <t xml:space="preserve"> 17.3103</t>
  </si>
  <si>
    <t>17.3105</t>
  </si>
  <si>
    <t xml:space="preserve"> 17.3107</t>
  </si>
  <si>
    <t>17.3079</t>
  </si>
  <si>
    <t xml:space="preserve"> 17.3081</t>
  </si>
  <si>
    <t xml:space="preserve"> 17.3083</t>
  </si>
  <si>
    <t>17.3087</t>
  </si>
  <si>
    <t xml:space="preserve"> 17.3092</t>
  </si>
  <si>
    <t>17.3101</t>
  </si>
  <si>
    <t xml:space="preserve"> 17.3105</t>
  </si>
  <si>
    <t xml:space="preserve"> 17.3109</t>
  </si>
  <si>
    <t>104.4166</t>
  </si>
  <si>
    <t>104.4169</t>
  </si>
  <si>
    <t>104.4173</t>
  </si>
  <si>
    <t>104.4179</t>
  </si>
  <si>
    <t>104.4182</t>
  </si>
  <si>
    <t>104.4186</t>
  </si>
  <si>
    <t>104.4189</t>
  </si>
  <si>
    <t>104.4193</t>
  </si>
  <si>
    <t>104.4197</t>
  </si>
  <si>
    <t>104.4199</t>
  </si>
  <si>
    <t>104.4203</t>
  </si>
  <si>
    <t>104.4206</t>
  </si>
  <si>
    <t>104.4209</t>
  </si>
  <si>
    <t>104.4212</t>
  </si>
  <si>
    <t>104.4215</t>
  </si>
  <si>
    <t>104.4218</t>
  </si>
  <si>
    <t>104.4221</t>
  </si>
  <si>
    <t>104.4223</t>
  </si>
  <si>
    <t>104.4227</t>
  </si>
  <si>
    <t>104.4273</t>
  </si>
  <si>
    <t>104.4276</t>
  </si>
  <si>
    <t>104.4284</t>
  </si>
  <si>
    <t>104.4288</t>
  </si>
  <si>
    <t>104.4290</t>
  </si>
  <si>
    <t>104.4292</t>
  </si>
  <si>
    <t>104.4296</t>
  </si>
  <si>
    <t>104.4298</t>
  </si>
  <si>
    <t>104.4300</t>
  </si>
  <si>
    <t>104.4303</t>
  </si>
  <si>
    <t>104.4306</t>
  </si>
  <si>
    <t>104.4308</t>
  </si>
  <si>
    <t>104.4311</t>
  </si>
  <si>
    <t>104.4314</t>
  </si>
  <si>
    <t>104.4317</t>
  </si>
  <si>
    <t>104.4319</t>
  </si>
  <si>
    <t>104.4321</t>
  </si>
  <si>
    <t>104.4324</t>
  </si>
  <si>
    <t>104.4327</t>
  </si>
  <si>
    <t>104.4329</t>
  </si>
  <si>
    <t>104.4332</t>
  </si>
  <si>
    <t>104.5039</t>
  </si>
  <si>
    <t>104.5043</t>
  </si>
  <si>
    <t>104.5046</t>
  </si>
  <si>
    <t>104.5055</t>
  </si>
  <si>
    <t>104.5059</t>
  </si>
  <si>
    <t>104.5049</t>
  </si>
  <si>
    <t>104.5052</t>
  </si>
  <si>
    <t>104.5062</t>
  </si>
  <si>
    <t>104.5065</t>
  </si>
  <si>
    <t>104.5068</t>
  </si>
  <si>
    <t>104.5072</t>
  </si>
  <si>
    <t>104.5075</t>
  </si>
  <si>
    <t>104.5078</t>
  </si>
  <si>
    <t>104.5081</t>
  </si>
  <si>
    <t>104.5084</t>
  </si>
  <si>
    <t>104.5088</t>
  </si>
  <si>
    <t>104.5091</t>
  </si>
  <si>
    <t>104.5094</t>
  </si>
  <si>
    <t>104.5097</t>
  </si>
  <si>
    <t>104.5100</t>
  </si>
  <si>
    <t>104.5103</t>
  </si>
  <si>
    <t>104.5106</t>
  </si>
  <si>
    <t>104.5110</t>
  </si>
  <si>
    <t>104.4869</t>
  </si>
  <si>
    <t>104.4872</t>
  </si>
  <si>
    <t>104.4878</t>
  </si>
  <si>
    <t>104.4882</t>
  </si>
  <si>
    <t>104.4887</t>
  </si>
  <si>
    <t>104.4885</t>
  </si>
  <si>
    <t>104.4891</t>
  </si>
  <si>
    <t>104.4894</t>
  </si>
  <si>
    <t>104.4898</t>
  </si>
  <si>
    <t>104.4901</t>
  </si>
  <si>
    <t>104.4905</t>
  </si>
  <si>
    <t>104.4908</t>
  </si>
  <si>
    <t>104.4911</t>
  </si>
  <si>
    <t>104.4915</t>
  </si>
  <si>
    <t>104.4918</t>
  </si>
  <si>
    <t>104.4921</t>
  </si>
  <si>
    <t>104.4925</t>
  </si>
  <si>
    <t>104.4928</t>
  </si>
  <si>
    <t>104.4931</t>
  </si>
  <si>
    <t>104.4934</t>
  </si>
  <si>
    <t>104.4937</t>
  </si>
  <si>
    <t>104.4941</t>
  </si>
  <si>
    <t>104.4944</t>
  </si>
  <si>
    <t>104.4948</t>
  </si>
  <si>
    <t>104.5113</t>
  </si>
  <si>
    <t>104.5116</t>
  </si>
  <si>
    <t>104.5119</t>
  </si>
  <si>
    <t>104.5122</t>
  </si>
  <si>
    <t>104.5126</t>
  </si>
  <si>
    <t>104.5128</t>
  </si>
  <si>
    <t>104.5132</t>
  </si>
  <si>
    <t>104.5135</t>
  </si>
  <si>
    <t>104.5138</t>
  </si>
  <si>
    <t>104.5142</t>
  </si>
  <si>
    <t>104.5151</t>
  </si>
  <si>
    <t>104.5154</t>
  </si>
  <si>
    <t>104.5158</t>
  </si>
  <si>
    <t>104.5161</t>
  </si>
  <si>
    <t>104.5164</t>
  </si>
  <si>
    <t>104.5167</t>
  </si>
  <si>
    <t>104.5170</t>
  </si>
  <si>
    <t>104.5173</t>
  </si>
  <si>
    <t>104.5176</t>
  </si>
  <si>
    <t>104.5178</t>
  </si>
  <si>
    <t>104.5181</t>
  </si>
  <si>
    <t>104.5185</t>
  </si>
  <si>
    <t>104.5187</t>
  </si>
  <si>
    <t>104.5189</t>
  </si>
  <si>
    <t>104.5192</t>
  </si>
  <si>
    <t>104.5194</t>
  </si>
  <si>
    <t>104.5196</t>
  </si>
  <si>
    <t>104.5198</t>
  </si>
  <si>
    <t>104.5200</t>
  </si>
  <si>
    <t>104.5202</t>
  </si>
  <si>
    <t>104.5205</t>
  </si>
  <si>
    <t>104.5206</t>
  </si>
  <si>
    <t>104.4177</t>
  </si>
  <si>
    <t>104.4180</t>
  </si>
  <si>
    <t>104.4183</t>
  </si>
  <si>
    <t>104.4196</t>
  </si>
  <si>
    <t>104.4202</t>
  </si>
  <si>
    <t>104.4205</t>
  </si>
  <si>
    <t>104.4208</t>
  </si>
  <si>
    <t>104.4211</t>
  </si>
  <si>
    <t>104.4214</t>
  </si>
  <si>
    <t>104.4217</t>
  </si>
  <si>
    <t>104.4219</t>
  </si>
  <si>
    <t>104.4225</t>
  </si>
  <si>
    <t>104.4228</t>
  </si>
  <si>
    <t>104.4231</t>
  </si>
  <si>
    <t>104.4233</t>
  </si>
  <si>
    <t>104.4235</t>
  </si>
  <si>
    <t>104.4238</t>
  </si>
  <si>
    <t>104.4241</t>
  </si>
  <si>
    <t>104.4243</t>
  </si>
  <si>
    <t>104.4246</t>
  </si>
  <si>
    <t>104.4249</t>
  </si>
  <si>
    <t>104.4251</t>
  </si>
  <si>
    <t>104.4254</t>
  </si>
  <si>
    <t>104.4257</t>
  </si>
  <si>
    <t>104.4260</t>
  </si>
  <si>
    <t>104.4262</t>
  </si>
  <si>
    <t>104.4264</t>
  </si>
  <si>
    <t>104.4270</t>
  </si>
  <si>
    <t>104.4272</t>
  </si>
  <si>
    <t>104.4275</t>
  </si>
  <si>
    <t>104.4278</t>
  </si>
  <si>
    <t>104.4280</t>
  </si>
  <si>
    <t>104.4283</t>
  </si>
  <si>
    <t>104.4285</t>
  </si>
  <si>
    <t>104.4291</t>
  </si>
  <si>
    <t>104.4293</t>
  </si>
  <si>
    <t>104.4299</t>
  </si>
  <si>
    <t>104.4302</t>
  </si>
  <si>
    <t>104.4304</t>
  </si>
  <si>
    <t>104.4307</t>
  </si>
  <si>
    <t>104.4310</t>
  </si>
  <si>
    <t>104.4313</t>
  </si>
  <si>
    <t>104.4315</t>
  </si>
  <si>
    <t>104.4320</t>
  </si>
  <si>
    <t>104.4322</t>
  </si>
  <si>
    <t>104.4325</t>
  </si>
  <si>
    <t>104.4328</t>
  </si>
  <si>
    <t>104.4331</t>
  </si>
  <si>
    <t>104.4333</t>
  </si>
  <si>
    <t>104.4336</t>
  </si>
  <si>
    <t>104.4341</t>
  </si>
  <si>
    <t>104.4340</t>
  </si>
  <si>
    <t>104.4339</t>
  </si>
  <si>
    <t>104.4346</t>
  </si>
  <si>
    <t>104.4344</t>
  </si>
  <si>
    <t>104.4349</t>
  </si>
  <si>
    <t>104.4351</t>
  </si>
  <si>
    <t>104.4354</t>
  </si>
  <si>
    <t>104.4357</t>
  </si>
  <si>
    <t>104.4359</t>
  </si>
  <si>
    <t>104.4362</t>
  </si>
  <si>
    <t>104.4364</t>
  </si>
  <si>
    <t>104.4367</t>
  </si>
  <si>
    <t>104.4369</t>
  </si>
  <si>
    <t>104.4372</t>
  </si>
  <si>
    <t>104.4375</t>
  </si>
  <si>
    <t>104.4377</t>
  </si>
  <si>
    <t>104.4380</t>
  </si>
  <si>
    <t>104.4382</t>
  </si>
  <si>
    <t>104.4385</t>
  </si>
  <si>
    <t>104.4388</t>
  </si>
  <si>
    <t>104.4391</t>
  </si>
  <si>
    <t>104.4393</t>
  </si>
  <si>
    <t>104.4396</t>
  </si>
  <si>
    <t>104.4398</t>
  </si>
  <si>
    <t>104.4400</t>
  </si>
  <si>
    <t>104.4403</t>
  </si>
  <si>
    <t>104.4406</t>
  </si>
  <si>
    <t>104.4408</t>
  </si>
  <si>
    <t>104.4410</t>
  </si>
  <si>
    <t>104.4413</t>
  </si>
  <si>
    <t>104.4416</t>
  </si>
  <si>
    <t>104.4418</t>
  </si>
  <si>
    <t>104.4421</t>
  </si>
  <si>
    <t>104.4423</t>
  </si>
  <si>
    <t>104.4425</t>
  </si>
  <si>
    <t>104.4428</t>
  </si>
  <si>
    <t>104.4431</t>
  </si>
  <si>
    <t>104.4433</t>
  </si>
  <si>
    <t>104.4435</t>
  </si>
  <si>
    <t>104.4438</t>
  </si>
  <si>
    <t>104.4440</t>
  </si>
  <si>
    <t>104.4443</t>
  </si>
  <si>
    <t>104.4445</t>
  </si>
  <si>
    <t>104.4447</t>
  </si>
  <si>
    <t>104.4450</t>
  </si>
  <si>
    <t>104.4452</t>
  </si>
  <si>
    <t>104.4455</t>
  </si>
  <si>
    <t>104.4457</t>
  </si>
  <si>
    <t>104.4460</t>
  </si>
  <si>
    <t>104.4462</t>
  </si>
  <si>
    <t>104.4465</t>
  </si>
  <si>
    <t>104.4467</t>
  </si>
  <si>
    <t>104.4470</t>
  </si>
  <si>
    <t>104.4472</t>
  </si>
  <si>
    <t>104.4475</t>
  </si>
  <si>
    <t>104.4477</t>
  </si>
  <si>
    <t>104.4478</t>
  </si>
  <si>
    <t>104.4480</t>
  </si>
  <si>
    <t>104.4482</t>
  </si>
  <si>
    <t>104.4485</t>
  </si>
  <si>
    <t>104.4487</t>
  </si>
  <si>
    <t>104.4490</t>
  </si>
  <si>
    <t>104.4494</t>
  </si>
  <si>
    <t>104.4496</t>
  </si>
  <si>
    <t>104.4499</t>
  </si>
  <si>
    <t>104.4501</t>
  </si>
  <si>
    <t>104.4504</t>
  </si>
  <si>
    <t>104.4507</t>
  </si>
  <si>
    <t>104.4510</t>
  </si>
  <si>
    <t>104.4513</t>
  </si>
  <si>
    <t>104.4516</t>
  </si>
  <si>
    <t>104.4519</t>
  </si>
  <si>
    <t>104.4522</t>
  </si>
  <si>
    <t>104.4525</t>
  </si>
  <si>
    <t>104.4527</t>
  </si>
  <si>
    <t>104.4530</t>
  </si>
  <si>
    <t>104.4533</t>
  </si>
  <si>
    <t>104.4536</t>
  </si>
  <si>
    <t>104.4539</t>
  </si>
  <si>
    <t>104.4542</t>
  </si>
  <si>
    <t>104.4545</t>
  </si>
  <si>
    <t>104.4548</t>
  </si>
  <si>
    <t>104.4551</t>
  </si>
  <si>
    <t>104.4554</t>
  </si>
  <si>
    <t>104.4557</t>
  </si>
  <si>
    <t>104.4559</t>
  </si>
  <si>
    <t>104.4562</t>
  </si>
  <si>
    <t>104.4565</t>
  </si>
  <si>
    <t>104.4568</t>
  </si>
  <si>
    <t>104.4570</t>
  </si>
  <si>
    <t>104.4574</t>
  </si>
  <si>
    <t>104.4577</t>
  </si>
  <si>
    <t>104.4579</t>
  </si>
  <si>
    <t>104.4582</t>
  </si>
  <si>
    <t>104.4585</t>
  </si>
  <si>
    <t>104.4588</t>
  </si>
  <si>
    <t>104.4591</t>
  </si>
  <si>
    <t>104.4594</t>
  </si>
  <si>
    <t>104.4597</t>
  </si>
  <si>
    <t>104.4600</t>
  </si>
  <si>
    <t>104.4603</t>
  </si>
  <si>
    <t>104.4606</t>
  </si>
  <si>
    <t>104.4609</t>
  </si>
  <si>
    <t>104.4612</t>
  </si>
  <si>
    <t>104.4615</t>
  </si>
  <si>
    <t>104.4618</t>
  </si>
  <si>
    <t>104.4621</t>
  </si>
  <si>
    <t>104.4624</t>
  </si>
  <si>
    <t>104.4627</t>
  </si>
  <si>
    <t>104.4631</t>
  </si>
  <si>
    <t>104.4634</t>
  </si>
  <si>
    <t>104.4636</t>
  </si>
  <si>
    <t>104.4639</t>
  </si>
  <si>
    <t>104.4642</t>
  </si>
  <si>
    <t>104.4645</t>
  </si>
  <si>
    <t>104.4648</t>
  </si>
  <si>
    <t>104.4651</t>
  </si>
  <si>
    <t>104.4654</t>
  </si>
  <si>
    <t>104.4658</t>
  </si>
  <si>
    <t>104.4661</t>
  </si>
  <si>
    <t>104.4664</t>
  </si>
  <si>
    <t>104.4667</t>
  </si>
  <si>
    <t>104.4670</t>
  </si>
  <si>
    <t>104.4673</t>
  </si>
  <si>
    <t>104.4676</t>
  </si>
  <si>
    <t>104.4679</t>
  </si>
  <si>
    <t>104.4682</t>
  </si>
  <si>
    <t>104.4685</t>
  </si>
  <si>
    <t>104.4688</t>
  </si>
  <si>
    <t>104.4691</t>
  </si>
  <si>
    <t>104.4694</t>
  </si>
  <si>
    <t>104.4697</t>
  </si>
  <si>
    <t>104.4700</t>
  </si>
  <si>
    <t>104.4703</t>
  </si>
  <si>
    <t>104.5064</t>
  </si>
  <si>
    <t>104.4709</t>
  </si>
  <si>
    <t>104.4794</t>
  </si>
  <si>
    <t>104.4796</t>
  </si>
  <si>
    <t>104.4799</t>
  </si>
  <si>
    <t>104.4802</t>
  </si>
  <si>
    <t>104.4805</t>
  </si>
  <si>
    <t>104.4808</t>
  </si>
  <si>
    <t>104.4812</t>
  </si>
  <si>
    <t>104.4814</t>
  </si>
  <si>
    <t>104.4818</t>
  </si>
  <si>
    <t>104.4821</t>
  </si>
  <si>
    <t>104.4824</t>
  </si>
  <si>
    <t>104.4827</t>
  </si>
  <si>
    <t>104.4830</t>
  </si>
  <si>
    <t>104.4833</t>
  </si>
  <si>
    <t>104.4836</t>
  </si>
  <si>
    <t>104.4840</t>
  </si>
  <si>
    <t>104.4843</t>
  </si>
  <si>
    <t>104.4846</t>
  </si>
  <si>
    <t>104.4849</t>
  </si>
  <si>
    <t>104.4852</t>
  </si>
  <si>
    <t>104.4856</t>
  </si>
  <si>
    <t>104.4859</t>
  </si>
  <si>
    <t>104.4862</t>
  </si>
  <si>
    <t>104.4865</t>
  </si>
  <si>
    <t>104.4868</t>
  </si>
  <si>
    <t>104.4875</t>
  </si>
  <si>
    <t>104.4888</t>
  </si>
  <si>
    <t>104.4895</t>
  </si>
  <si>
    <t>104.4914</t>
  </si>
  <si>
    <t>104.4924</t>
  </si>
  <si>
    <t>104.4947</t>
  </si>
  <si>
    <t>104.4951</t>
  </si>
  <si>
    <t>104.4954</t>
  </si>
  <si>
    <t>104.4957</t>
  </si>
  <si>
    <t>104.4960</t>
  </si>
  <si>
    <t>104.4964</t>
  </si>
  <si>
    <t>104.4967</t>
  </si>
  <si>
    <t>104.4970</t>
  </si>
  <si>
    <t>104.4974</t>
  </si>
  <si>
    <t>104.4977</t>
  </si>
  <si>
    <t>104.4980</t>
  </si>
  <si>
    <t>104.4984</t>
  </si>
  <si>
    <t>104.4987</t>
  </si>
  <si>
    <t>104.4990</t>
  </si>
  <si>
    <t>104.4993</t>
  </si>
  <si>
    <t>104.4997</t>
  </si>
  <si>
    <t>104.5000</t>
  </si>
  <si>
    <t>104.5003</t>
  </si>
  <si>
    <t>104.5006</t>
  </si>
  <si>
    <t>104.5010</t>
  </si>
  <si>
    <t>104.5013</t>
  </si>
  <si>
    <t>104.5016</t>
  </si>
  <si>
    <t>104.5020</t>
  </si>
  <si>
    <t>104.5023</t>
  </si>
  <si>
    <t>104.5026</t>
  </si>
  <si>
    <t>104.5029</t>
  </si>
  <si>
    <t>104.5033</t>
  </si>
  <si>
    <t>104.5036</t>
  </si>
  <si>
    <t>104.5056</t>
  </si>
  <si>
    <t>104.5066</t>
  </si>
  <si>
    <t>104.5069</t>
  </si>
  <si>
    <t>104.5082</t>
  </si>
  <si>
    <t>104.5085</t>
  </si>
  <si>
    <t>104.5095</t>
  </si>
  <si>
    <t>104.5098</t>
  </si>
  <si>
    <t>104.5101</t>
  </si>
  <si>
    <t>104.5104</t>
  </si>
  <si>
    <t>104.5107</t>
  </si>
  <si>
    <t>104.5120</t>
  </si>
  <si>
    <t>104.5123</t>
  </si>
  <si>
    <t>104.5129</t>
  </si>
  <si>
    <t>104.5139</t>
  </si>
  <si>
    <t>104.5145</t>
  </si>
  <si>
    <t>104.5149</t>
  </si>
  <si>
    <t>104.5210</t>
  </si>
  <si>
    <t>104.5212</t>
  </si>
  <si>
    <t>104.5215</t>
  </si>
  <si>
    <t>104.5217</t>
  </si>
  <si>
    <t>104.5219</t>
  </si>
  <si>
    <t>104.5222</t>
  </si>
  <si>
    <t>104.5224</t>
  </si>
  <si>
    <t>104.5226</t>
  </si>
  <si>
    <t>104.5228</t>
  </si>
  <si>
    <t>104.5231</t>
  </si>
  <si>
    <t>104.5233</t>
  </si>
  <si>
    <t>104.5236</t>
  </si>
  <si>
    <t>104.5238</t>
  </si>
  <si>
    <t>104.5241</t>
  </si>
  <si>
    <t>104.5313</t>
  </si>
  <si>
    <t>104.5315</t>
  </si>
  <si>
    <t>104.5318</t>
  </si>
  <si>
    <t>104.5320</t>
  </si>
  <si>
    <t>104.5323</t>
  </si>
  <si>
    <t>104.5326</t>
  </si>
  <si>
    <t>104.5328</t>
  </si>
  <si>
    <t>104.5332</t>
  </si>
  <si>
    <t>104.5334</t>
  </si>
  <si>
    <t>104.5337</t>
  </si>
  <si>
    <t>104.5340</t>
  </si>
  <si>
    <t>104.5343</t>
  </si>
  <si>
    <t>104.5346</t>
  </si>
  <si>
    <t>104.5348</t>
  </si>
  <si>
    <t>104.5351</t>
  </si>
  <si>
    <t>104.5354</t>
  </si>
  <si>
    <t>104.5357</t>
  </si>
  <si>
    <t>104.5359</t>
  </si>
  <si>
    <t>104.5362</t>
  </si>
  <si>
    <t>104.5366</t>
  </si>
  <si>
    <t>104.4881</t>
  </si>
  <si>
    <t>104.4889</t>
  </si>
  <si>
    <t>104.4904</t>
  </si>
  <si>
    <t>104.5042</t>
  </si>
  <si>
    <t>104.5063</t>
  </si>
  <si>
    <t>104.5076</t>
  </si>
  <si>
    <t>104.5079</t>
  </si>
  <si>
    <t>104.5083</t>
  </si>
  <si>
    <t>104.5086</t>
  </si>
  <si>
    <t>104.5090</t>
  </si>
  <si>
    <t>104.5092</t>
  </si>
  <si>
    <t>104.5108</t>
  </si>
  <si>
    <t>104.5111</t>
  </si>
  <si>
    <t>104.5114</t>
  </si>
  <si>
    <t>104.5117</t>
  </si>
  <si>
    <t>104.5130</t>
  </si>
  <si>
    <t>104.5133</t>
  </si>
  <si>
    <t>104.5136</t>
  </si>
  <si>
    <t>104.5152</t>
  </si>
  <si>
    <t>104.5155</t>
  </si>
  <si>
    <t>104.5162</t>
  </si>
  <si>
    <t>104.5165</t>
  </si>
  <si>
    <t>104.5168</t>
  </si>
  <si>
    <t>104.5171</t>
  </si>
  <si>
    <t>104.5174</t>
  </si>
  <si>
    <t>104.5177</t>
  </si>
  <si>
    <t>104.5180</t>
  </si>
  <si>
    <t>104.5182</t>
  </si>
  <si>
    <t>104.5183</t>
  </si>
  <si>
    <t>104.5191</t>
  </si>
  <si>
    <t>104.5204</t>
  </si>
  <si>
    <t>104.5208</t>
  </si>
  <si>
    <t>104.5369</t>
  </si>
  <si>
    <t>104.5372</t>
  </si>
  <si>
    <t>104.5374</t>
  </si>
  <si>
    <t>104.5377</t>
  </si>
  <si>
    <t>104.5379</t>
  </si>
  <si>
    <t>104.5382</t>
  </si>
  <si>
    <t>104.5385</t>
  </si>
  <si>
    <t>104.5387</t>
  </si>
  <si>
    <t>104.5390</t>
  </si>
  <si>
    <t>104.5392</t>
  </si>
  <si>
    <t>104.5395</t>
  </si>
  <si>
    <t>104.5397</t>
  </si>
  <si>
    <t>104.5400</t>
  </si>
  <si>
    <t>104.5403</t>
  </si>
  <si>
    <t>104.5405</t>
  </si>
  <si>
    <t>104.5408</t>
  </si>
  <si>
    <t>104.5410</t>
  </si>
  <si>
    <t>104.5413</t>
  </si>
  <si>
    <t>104.5415</t>
  </si>
  <si>
    <t>104.5418</t>
  </si>
  <si>
    <t>104.5421</t>
  </si>
  <si>
    <t>104.5423</t>
  </si>
  <si>
    <t>104.5429</t>
  </si>
  <si>
    <t>104.5431</t>
  </si>
  <si>
    <t>104.5434</t>
  </si>
  <si>
    <t>104.5368</t>
  </si>
  <si>
    <t>104.5370</t>
  </si>
  <si>
    <t>104.5373</t>
  </si>
  <si>
    <t>104.5375</t>
  </si>
  <si>
    <t>104.5378</t>
  </si>
  <si>
    <t>104.5380</t>
  </si>
  <si>
    <t>104.5383</t>
  </si>
  <si>
    <t>104.5386</t>
  </si>
  <si>
    <t>104.5388</t>
  </si>
  <si>
    <t>104.5391</t>
  </si>
  <si>
    <t>104.5393</t>
  </si>
  <si>
    <t>104.5396</t>
  </si>
  <si>
    <t>104.5398</t>
  </si>
  <si>
    <t>104.5401</t>
  </si>
  <si>
    <t>104.5404</t>
  </si>
  <si>
    <t>104.5406</t>
  </si>
  <si>
    <t>104.5409</t>
  </si>
  <si>
    <t>104.5411</t>
  </si>
  <si>
    <t>104.5414</t>
  </si>
  <si>
    <t>104.5417</t>
  </si>
  <si>
    <t>104.5419</t>
  </si>
  <si>
    <t>104.5422</t>
  </si>
  <si>
    <t>104.5424</t>
  </si>
  <si>
    <t>104.5427</t>
  </si>
  <si>
    <t>104.5432</t>
  </si>
  <si>
    <t>LT121-SG-22-0501-213+233</t>
  </si>
  <si>
    <t>198+490</t>
  </si>
  <si>
    <t>198+525</t>
  </si>
  <si>
    <t>198+560</t>
  </si>
  <si>
    <t>198+595</t>
  </si>
  <si>
    <t>198+630</t>
  </si>
  <si>
    <t>198+665</t>
  </si>
  <si>
    <t>198+700</t>
  </si>
  <si>
    <t>198+735</t>
  </si>
  <si>
    <t>198+770</t>
  </si>
  <si>
    <t>198+805</t>
  </si>
  <si>
    <t>198+840</t>
  </si>
  <si>
    <t>198+875</t>
  </si>
  <si>
    <t>198+910</t>
  </si>
  <si>
    <t>198+945</t>
  </si>
  <si>
    <t>198+980</t>
  </si>
  <si>
    <t>199+015</t>
  </si>
  <si>
    <t>199+050</t>
  </si>
  <si>
    <t>199+085</t>
  </si>
  <si>
    <t>199+120</t>
  </si>
  <si>
    <t>199+155</t>
  </si>
  <si>
    <t>200+095</t>
  </si>
  <si>
    <t>200+130</t>
  </si>
  <si>
    <t>200+235</t>
  </si>
  <si>
    <t>200+270</t>
  </si>
  <si>
    <t>200+305</t>
  </si>
  <si>
    <t>200+340</t>
  </si>
  <si>
    <t>200+387</t>
  </si>
  <si>
    <t>200+410</t>
  </si>
  <si>
    <t>200+445</t>
  </si>
  <si>
    <t>200+480</t>
  </si>
  <si>
    <t>200+515</t>
  </si>
  <si>
    <t>200+550</t>
  </si>
  <si>
    <t>200+585</t>
  </si>
  <si>
    <t>200+620</t>
  </si>
  <si>
    <t>200+655</t>
  </si>
  <si>
    <t>200+690</t>
  </si>
  <si>
    <t>200+725</t>
  </si>
  <si>
    <t>200+760</t>
  </si>
  <si>
    <t>200+795</t>
  </si>
  <si>
    <t>200+830</t>
  </si>
  <si>
    <t>200+868</t>
  </si>
  <si>
    <t>209+235</t>
  </si>
  <si>
    <t>209+270</t>
  </si>
  <si>
    <t>209+305</t>
  </si>
  <si>
    <t>209+410</t>
  </si>
  <si>
    <t>209+445</t>
  </si>
  <si>
    <t>209+340</t>
  </si>
  <si>
    <t>209+375</t>
  </si>
  <si>
    <t>209+480</t>
  </si>
  <si>
    <t>209+515</t>
  </si>
  <si>
    <t>209+550</t>
  </si>
  <si>
    <t>209+585</t>
  </si>
  <si>
    <t>209+520</t>
  </si>
  <si>
    <t>209+658</t>
  </si>
  <si>
    <t>209+690</t>
  </si>
  <si>
    <t>209+725</t>
  </si>
  <si>
    <t>209+760</t>
  </si>
  <si>
    <t>209+795</t>
  </si>
  <si>
    <t>209+833</t>
  </si>
  <si>
    <t>209+866</t>
  </si>
  <si>
    <t>209+900</t>
  </si>
  <si>
    <t>209+935</t>
  </si>
  <si>
    <t>209+970</t>
  </si>
  <si>
    <t>210-005</t>
  </si>
  <si>
    <t>207+417</t>
  </si>
  <si>
    <t>207+452</t>
  </si>
  <si>
    <t>207+522</t>
  </si>
  <si>
    <t>207+557</t>
  </si>
  <si>
    <t>207+584</t>
  </si>
  <si>
    <t>207+592</t>
  </si>
  <si>
    <t>207+662</t>
  </si>
  <si>
    <t>207+697</t>
  </si>
  <si>
    <t>206+620</t>
  </si>
  <si>
    <t>207+767</t>
  </si>
  <si>
    <t>207+805</t>
  </si>
  <si>
    <t>207+837</t>
  </si>
  <si>
    <t>207+872</t>
  </si>
  <si>
    <t>207+907</t>
  </si>
  <si>
    <t>207+942</t>
  </si>
  <si>
    <t>207+977</t>
  </si>
  <si>
    <t>208+012</t>
  </si>
  <si>
    <t>208+047</t>
  </si>
  <si>
    <t>208+082</t>
  </si>
  <si>
    <t>206+999</t>
  </si>
  <si>
    <t>207+034</t>
  </si>
  <si>
    <t>208+187</t>
  </si>
  <si>
    <t>208+222</t>
  </si>
  <si>
    <t>208+257</t>
  </si>
  <si>
    <t>208+921</t>
  </si>
  <si>
    <t>210+075</t>
  </si>
  <si>
    <t>210+110</t>
  </si>
  <si>
    <t>210+145</t>
  </si>
  <si>
    <t>210+180</t>
  </si>
  <si>
    <t>210+215</t>
  </si>
  <si>
    <t>210+250</t>
  </si>
  <si>
    <t>210+285</t>
  </si>
  <si>
    <t>209+193</t>
  </si>
  <si>
    <t>210+460</t>
  </si>
  <si>
    <t>210+495</t>
  </si>
  <si>
    <t>210+530</t>
  </si>
  <si>
    <t>210+565</t>
  </si>
  <si>
    <t>210+600</t>
  </si>
  <si>
    <t>210+635</t>
  </si>
  <si>
    <t>210+670</t>
  </si>
  <si>
    <t>210+705</t>
  </si>
  <si>
    <t>210+740</t>
  </si>
  <si>
    <t>210+775</t>
  </si>
  <si>
    <t>210+810</t>
  </si>
  <si>
    <t>210+880</t>
  </si>
  <si>
    <t>210+915</t>
  </si>
  <si>
    <t>210+950</t>
  </si>
  <si>
    <t>210+985</t>
  </si>
  <si>
    <t>211+020</t>
  </si>
  <si>
    <t>210+055</t>
  </si>
  <si>
    <t>210+090</t>
  </si>
  <si>
    <t>211+125</t>
  </si>
  <si>
    <t>211+160</t>
  </si>
  <si>
    <t>211+195</t>
  </si>
  <si>
    <t>211+230</t>
  </si>
  <si>
    <t>198+500</t>
  </si>
  <si>
    <t>198+535</t>
  </si>
  <si>
    <t>198+570</t>
  </si>
  <si>
    <t>199+605</t>
  </si>
  <si>
    <t>199+640</t>
  </si>
  <si>
    <t>199+675</t>
  </si>
  <si>
    <t>199+710</t>
  </si>
  <si>
    <t>199+745</t>
  </si>
  <si>
    <t>199+780</t>
  </si>
  <si>
    <t>199+815</t>
  </si>
  <si>
    <t>199+850</t>
  </si>
  <si>
    <t>199+885</t>
  </si>
  <si>
    <t>199+920</t>
  </si>
  <si>
    <t>199+555</t>
  </si>
  <si>
    <t>199+990</t>
  </si>
  <si>
    <t>200+025</t>
  </si>
  <si>
    <t>200+060</t>
  </si>
  <si>
    <t>200+165</t>
  </si>
  <si>
    <t>200+200</t>
  </si>
  <si>
    <t>200+375</t>
  </si>
  <si>
    <t>200+900</t>
  </si>
  <si>
    <t>200+935</t>
  </si>
  <si>
    <t>201+005</t>
  </si>
  <si>
    <t>200+970</t>
  </si>
  <si>
    <t>201+075</t>
  </si>
  <si>
    <t>201+040</t>
  </si>
  <si>
    <t>201+110</t>
  </si>
  <si>
    <t>201+145</t>
  </si>
  <si>
    <t>201+180</t>
  </si>
  <si>
    <t>201+215</t>
  </si>
  <si>
    <t>2201+25</t>
  </si>
  <si>
    <t>201+285</t>
  </si>
  <si>
    <t>201+320</t>
  </si>
  <si>
    <t>201+355</t>
  </si>
  <si>
    <t>201+390</t>
  </si>
  <si>
    <t>201+425</t>
  </si>
  <si>
    <t>201+460</t>
  </si>
  <si>
    <t>201+495</t>
  </si>
  <si>
    <t>201+530</t>
  </si>
  <si>
    <t>201+565</t>
  </si>
  <si>
    <t>201+600</t>
  </si>
  <si>
    <t>201+635</t>
  </si>
  <si>
    <t>201+670</t>
  </si>
  <si>
    <t>201+705</t>
  </si>
  <si>
    <t>201+740</t>
  </si>
  <si>
    <t>201+775</t>
  </si>
  <si>
    <t>201+810</t>
  </si>
  <si>
    <t>201+845</t>
  </si>
  <si>
    <t>201+880</t>
  </si>
  <si>
    <t>201+915</t>
  </si>
  <si>
    <t>201+950</t>
  </si>
  <si>
    <t>201+985</t>
  </si>
  <si>
    <t>202+020</t>
  </si>
  <si>
    <t>202+055</t>
  </si>
  <si>
    <t>205+090</t>
  </si>
  <si>
    <t>202+125</t>
  </si>
  <si>
    <t>202+160</t>
  </si>
  <si>
    <t>202+195</t>
  </si>
  <si>
    <t>202+230</t>
  </si>
  <si>
    <t>202+265</t>
  </si>
  <si>
    <t>202+300</t>
  </si>
  <si>
    <t>202+335</t>
  </si>
  <si>
    <t>202+370</t>
  </si>
  <si>
    <t>202+405</t>
  </si>
  <si>
    <t>202+435</t>
  </si>
  <si>
    <t>202+465</t>
  </si>
  <si>
    <t>202+470</t>
  </si>
  <si>
    <t>202+505</t>
  </si>
  <si>
    <t>202+540</t>
  </si>
  <si>
    <t>202+575</t>
  </si>
  <si>
    <t>202+610</t>
  </si>
  <si>
    <t>202+645</t>
  </si>
  <si>
    <t>202+680</t>
  </si>
  <si>
    <t>202+715</t>
  </si>
  <si>
    <t>202+750</t>
  </si>
  <si>
    <t>202+785</t>
  </si>
  <si>
    <t>202+820</t>
  </si>
  <si>
    <t>202+855</t>
  </si>
  <si>
    <t>202+890</t>
  </si>
  <si>
    <t>202+925</t>
  </si>
  <si>
    <t>202+960</t>
  </si>
  <si>
    <t>202+995</t>
  </si>
  <si>
    <t>203+030</t>
  </si>
  <si>
    <t>203+065</t>
  </si>
  <si>
    <t>203+100</t>
  </si>
  <si>
    <t>203+135</t>
  </si>
  <si>
    <t>203+170</t>
  </si>
  <si>
    <t>203+205</t>
  </si>
  <si>
    <t>203+240</t>
  </si>
  <si>
    <t>203+275</t>
  </si>
  <si>
    <t>203+310</t>
  </si>
  <si>
    <t>203+345</t>
  </si>
  <si>
    <t>203+380</t>
  </si>
  <si>
    <t>203+415</t>
  </si>
  <si>
    <t>203+50</t>
  </si>
  <si>
    <t>203+485</t>
  </si>
  <si>
    <t>203+520</t>
  </si>
  <si>
    <t>203+555</t>
  </si>
  <si>
    <t>203+590</t>
  </si>
  <si>
    <t>203+625</t>
  </si>
  <si>
    <t>203+660</t>
  </si>
  <si>
    <t>203+695</t>
  </si>
  <si>
    <t>203+730</t>
  </si>
  <si>
    <t>203+765</t>
  </si>
  <si>
    <t>203+800</t>
  </si>
  <si>
    <t>203+835</t>
  </si>
  <si>
    <t>203+870</t>
  </si>
  <si>
    <t>203+905</t>
  </si>
  <si>
    <t>203+940</t>
  </si>
  <si>
    <t>203+975</t>
  </si>
  <si>
    <t>204+010</t>
  </si>
  <si>
    <t>204+045</t>
  </si>
  <si>
    <t>204+080</t>
  </si>
  <si>
    <t>204+115</t>
  </si>
  <si>
    <t>204+150</t>
  </si>
  <si>
    <t>204+185</t>
  </si>
  <si>
    <t>204+220</t>
  </si>
  <si>
    <t>204+255</t>
  </si>
  <si>
    <t>204+290</t>
  </si>
  <si>
    <t>204+325</t>
  </si>
  <si>
    <t>204+360</t>
  </si>
  <si>
    <t>204+395</t>
  </si>
  <si>
    <t>204+430</t>
  </si>
  <si>
    <t>204+465</t>
  </si>
  <si>
    <t>204+500</t>
  </si>
  <si>
    <t>204+535</t>
  </si>
  <si>
    <t>204+570</t>
  </si>
  <si>
    <t>204+605</t>
  </si>
  <si>
    <t>204+640</t>
  </si>
  <si>
    <t>204+675</t>
  </si>
  <si>
    <t>204+710</t>
  </si>
  <si>
    <t>204+745</t>
  </si>
  <si>
    <t>204+780</t>
  </si>
  <si>
    <t>204+815</t>
  </si>
  <si>
    <t>204+850</t>
  </si>
  <si>
    <t>204+885</t>
  </si>
  <si>
    <t>204+920</t>
  </si>
  <si>
    <t>204+955</t>
  </si>
  <si>
    <t>204+990</t>
  </si>
  <si>
    <t>205+025</t>
  </si>
  <si>
    <t>205+060</t>
  </si>
  <si>
    <t>205+095</t>
  </si>
  <si>
    <t>205+130</t>
  </si>
  <si>
    <t>205+165</t>
  </si>
  <si>
    <t>205+200</t>
  </si>
  <si>
    <t>205+235</t>
  </si>
  <si>
    <t>205+270</t>
  </si>
  <si>
    <t>205+305</t>
  </si>
  <si>
    <t>205+340</t>
  </si>
  <si>
    <t>205+375</t>
  </si>
  <si>
    <t>205+410</t>
  </si>
  <si>
    <t>205+445</t>
  </si>
  <si>
    <t>205+480</t>
  </si>
  <si>
    <t>205+515</t>
  </si>
  <si>
    <t>205+550</t>
  </si>
  <si>
    <t>205+585</t>
  </si>
  <si>
    <t>205+620</t>
  </si>
  <si>
    <t>206+595</t>
  </si>
  <si>
    <t>206+650</t>
  </si>
  <si>
    <t>206+685</t>
  </si>
  <si>
    <t>206+720</t>
  </si>
  <si>
    <t>206+755</t>
  </si>
  <si>
    <t>206+790</t>
  </si>
  <si>
    <t>206+822</t>
  </si>
  <si>
    <t>206+857</t>
  </si>
  <si>
    <t>206+892</t>
  </si>
  <si>
    <t>206+927</t>
  </si>
  <si>
    <t>206+962</t>
  </si>
  <si>
    <t>206+997</t>
  </si>
  <si>
    <t>207+032</t>
  </si>
  <si>
    <t>207+067</t>
  </si>
  <si>
    <t>207+102</t>
  </si>
  <si>
    <t>207+137</t>
  </si>
  <si>
    <t>207+172</t>
  </si>
  <si>
    <t>207+207</t>
  </si>
  <si>
    <t>207+242</t>
  </si>
  <si>
    <t>207+277</t>
  </si>
  <si>
    <t>207+312</t>
  </si>
  <si>
    <t>207+347</t>
  </si>
  <si>
    <t>207+382</t>
  </si>
  <si>
    <t>207+487</t>
  </si>
  <si>
    <t>207+627</t>
  </si>
  <si>
    <t>207+732</t>
  </si>
  <si>
    <t>207+802</t>
  </si>
  <si>
    <t>208+117</t>
  </si>
  <si>
    <t>208+152</t>
  </si>
  <si>
    <t>208+292</t>
  </si>
  <si>
    <t>208+327</t>
  </si>
  <si>
    <t>208+362</t>
  </si>
  <si>
    <t>208+397</t>
  </si>
  <si>
    <t>208+432</t>
  </si>
  <si>
    <t>208+467</t>
  </si>
  <si>
    <t>208+502</t>
  </si>
  <si>
    <t>208+537</t>
  </si>
  <si>
    <t>208+572</t>
  </si>
  <si>
    <t>208+607</t>
  </si>
  <si>
    <t>208+642</t>
  </si>
  <si>
    <t>-208+67</t>
  </si>
  <si>
    <t>208+712</t>
  </si>
  <si>
    <t>208+747</t>
  </si>
  <si>
    <t>208+782</t>
  </si>
  <si>
    <t>208+815</t>
  </si>
  <si>
    <t>208+850</t>
  </si>
  <si>
    <t>208+885</t>
  </si>
  <si>
    <t>208+920</t>
  </si>
  <si>
    <t>208+955</t>
  </si>
  <si>
    <t>208+990</t>
  </si>
  <si>
    <t>209+025</t>
  </si>
  <si>
    <t>209+060</t>
  </si>
  <si>
    <t>209+095</t>
  </si>
  <si>
    <t>209+130</t>
  </si>
  <si>
    <t>209+165</t>
  </si>
  <si>
    <t>209+200</t>
  </si>
  <si>
    <t>209+655</t>
  </si>
  <si>
    <t>209+830</t>
  </si>
  <si>
    <t>209+865</t>
  </si>
  <si>
    <t>210+040</t>
  </si>
  <si>
    <t>210+320</t>
  </si>
  <si>
    <t>210+355</t>
  </si>
  <si>
    <t>210+390</t>
  </si>
  <si>
    <t>210+425</t>
  </si>
  <si>
    <t>211+265</t>
  </si>
  <si>
    <t>211+300</t>
  </si>
  <si>
    <t>211+335</t>
  </si>
  <si>
    <t>211+370</t>
  </si>
  <si>
    <t>211+405</t>
  </si>
  <si>
    <t>211+440</t>
  </si>
  <si>
    <t>211+475</t>
  </si>
  <si>
    <t>211+510</t>
  </si>
  <si>
    <t>211+545</t>
  </si>
  <si>
    <t>211+580</t>
  </si>
  <si>
    <t>211+615</t>
  </si>
  <si>
    <t>211+650</t>
  </si>
  <si>
    <t>211+685</t>
  </si>
  <si>
    <t>211+720</t>
  </si>
  <si>
    <t>212+705</t>
  </si>
  <si>
    <t>212+740</t>
  </si>
  <si>
    <t>212+775</t>
  </si>
  <si>
    <t>212+810</t>
  </si>
  <si>
    <t>212+845</t>
  </si>
  <si>
    <t>212+880</t>
  </si>
  <si>
    <t>212+915</t>
  </si>
  <si>
    <t>212+950</t>
  </si>
  <si>
    <t>212+985</t>
  </si>
  <si>
    <t>213+020</t>
  </si>
  <si>
    <t>213+055</t>
  </si>
  <si>
    <t>213+090</t>
  </si>
  <si>
    <t>213+125</t>
  </si>
  <si>
    <t>213+155</t>
  </si>
  <si>
    <t>213+190</t>
  </si>
  <si>
    <t>213+225</t>
  </si>
  <si>
    <t>213+260</t>
  </si>
  <si>
    <t>213+295</t>
  </si>
  <si>
    <t>213+330</t>
  </si>
  <si>
    <t>213+365</t>
  </si>
  <si>
    <t>207+594</t>
  </si>
  <si>
    <t>207+735</t>
  </si>
  <si>
    <t>208+048</t>
  </si>
  <si>
    <t>208+060</t>
  </si>
  <si>
    <t>209+763</t>
  </si>
  <si>
    <t>210+005</t>
  </si>
  <si>
    <t>210+845</t>
  </si>
  <si>
    <t>210+085</t>
  </si>
  <si>
    <t>211+090</t>
  </si>
  <si>
    <t>213+248</t>
  </si>
  <si>
    <t>213+283</t>
  </si>
  <si>
    <t>213+318</t>
  </si>
  <si>
    <t>213+353</t>
  </si>
  <si>
    <t>213+388</t>
  </si>
  <si>
    <t>213+425</t>
  </si>
  <si>
    <t>213+458</t>
  </si>
  <si>
    <t>213+493</t>
  </si>
  <si>
    <t>213+528</t>
  </si>
  <si>
    <t>213+563</t>
  </si>
  <si>
    <t>213+598</t>
  </si>
  <si>
    <t>213+633</t>
  </si>
  <si>
    <t>213+668</t>
  </si>
  <si>
    <t>213+703</t>
  </si>
  <si>
    <t>213+738</t>
  </si>
  <si>
    <t>213+773</t>
  </si>
  <si>
    <t>213+808</t>
  </si>
  <si>
    <t>213+843</t>
  </si>
  <si>
    <t>213+878</t>
  </si>
  <si>
    <t>213+913</t>
  </si>
  <si>
    <t>213+948</t>
  </si>
  <si>
    <t>213+983</t>
  </si>
  <si>
    <t>214+053</t>
  </si>
  <si>
    <t>214+083</t>
  </si>
  <si>
    <t>214+123</t>
  </si>
  <si>
    <t>213+233</t>
  </si>
  <si>
    <t>213+834</t>
  </si>
  <si>
    <t>213+879</t>
  </si>
  <si>
    <t>213+914</t>
  </si>
  <si>
    <t>214+018</t>
  </si>
  <si>
    <t>LT/LT66-SG-22-0501-209+270</t>
  </si>
  <si>
    <t>MD33-DB-22-0501-200+725</t>
  </si>
  <si>
    <t>MD109-DB-22-0501-203+500</t>
  </si>
  <si>
    <t>MD233-DB-22-0501-208+677</t>
  </si>
  <si>
    <t>SG</t>
  </si>
  <si>
    <t>DB</t>
  </si>
  <si>
    <t>SB</t>
  </si>
  <si>
    <t>LT1</t>
  </si>
  <si>
    <t>LT2</t>
  </si>
  <si>
    <t>LT3</t>
  </si>
  <si>
    <t>LT4</t>
  </si>
  <si>
    <t>LT5</t>
  </si>
  <si>
    <t>LT6</t>
  </si>
  <si>
    <t>LT7</t>
  </si>
  <si>
    <t>LT8</t>
  </si>
  <si>
    <t>LT9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</si>
  <si>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</si>
  <si>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</si>
  <si>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</si>
  <si>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</si>
  <si>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</si>
  <si>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</si>
  <si>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</si>
  <si>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</si>
  <si>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</si>
  <si>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</si>
  <si>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</si>
  <si>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LT/LT20</t>
  </si>
  <si>
    <t>LT/LT21</t>
  </si>
  <si>
    <t>LT/LT22</t>
  </si>
  <si>
    <t>LT/LT23</t>
  </si>
  <si>
    <t>LT/LT24</t>
  </si>
  <si>
    <t>LT/LT25</t>
  </si>
  <si>
    <t>LT/LT26</t>
  </si>
  <si>
    <t>LT/LT27</t>
  </si>
  <si>
    <t>LT/LT28</t>
  </si>
  <si>
    <t>LT/LT29</t>
  </si>
  <si>
    <t>LT/LT30</t>
  </si>
  <si>
    <t>LT/LT31</t>
  </si>
  <si>
    <t>LT/LT32</t>
  </si>
  <si>
    <t>LT/LT33</t>
  </si>
  <si>
    <t>LT/LT34</t>
  </si>
  <si>
    <t>LT/LT35</t>
  </si>
  <si>
    <t>LT/LT36</t>
  </si>
  <si>
    <t>LT/LT37</t>
  </si>
  <si>
    <t>LT/LT38</t>
  </si>
  <si>
    <t>LT/LT39</t>
  </si>
  <si>
    <t>LT/LT40</t>
  </si>
  <si>
    <t>LT/LT65</t>
  </si>
  <si>
    <t>LT/LT66</t>
  </si>
  <si>
    <t>LT/LT67</t>
  </si>
  <si>
    <t>LT/LT70</t>
  </si>
  <si>
    <t>LT/LT71</t>
  </si>
  <si>
    <t>LT68</t>
  </si>
  <si>
    <t>LT/LT69</t>
  </si>
  <si>
    <t>LT72</t>
  </si>
  <si>
    <t>LT73</t>
  </si>
  <si>
    <t>LT74</t>
  </si>
  <si>
    <t>LT75</t>
  </si>
  <si>
    <t>LT76</t>
  </si>
  <si>
    <t>LT77</t>
  </si>
  <si>
    <t>LT78</t>
  </si>
  <si>
    <t>LT79</t>
  </si>
  <si>
    <t>LT80</t>
  </si>
  <si>
    <t>LT81</t>
  </si>
  <si>
    <t>LT82</t>
  </si>
  <si>
    <t>LT83</t>
  </si>
  <si>
    <t>LT84</t>
  </si>
  <si>
    <t>LT85</t>
  </si>
  <si>
    <t>LT86</t>
  </si>
  <si>
    <t>LT87</t>
  </si>
  <si>
    <t>LT41</t>
  </si>
  <si>
    <t>LT42</t>
  </si>
  <si>
    <t>LT43</t>
  </si>
  <si>
    <t>LT44</t>
  </si>
  <si>
    <t>LT/LT45</t>
  </si>
  <si>
    <t>LT/LT46</t>
  </si>
  <si>
    <t>LT/LT47</t>
  </si>
  <si>
    <t>LT/LT48</t>
  </si>
  <si>
    <t>LT/LT49</t>
  </si>
  <si>
    <t>LT/LT50</t>
  </si>
  <si>
    <t>LT/LT51</t>
  </si>
  <si>
    <t>LT/LT52</t>
  </si>
  <si>
    <t>LT/LT53</t>
  </si>
  <si>
    <t>LT/LT54</t>
  </si>
  <si>
    <t>LT/LT55</t>
  </si>
  <si>
    <t>LT/LT56</t>
  </si>
  <si>
    <t>LT/LT57</t>
  </si>
  <si>
    <t>LT/LT58</t>
  </si>
  <si>
    <t>LT/LT59</t>
  </si>
  <si>
    <t>LT/LT60</t>
  </si>
  <si>
    <t>LT/LT61</t>
  </si>
  <si>
    <t>LT/LT62</t>
  </si>
  <si>
    <t>LT/LT63</t>
  </si>
  <si>
    <t>LT/LT64</t>
  </si>
  <si>
    <t>LT88</t>
  </si>
  <si>
    <t>LT89</t>
  </si>
  <si>
    <t>LT90</t>
  </si>
  <si>
    <t>LT/LT91</t>
  </si>
  <si>
    <t>LT/LT92</t>
  </si>
  <si>
    <t>LT/LT93</t>
  </si>
  <si>
    <t>LT94-SG</t>
  </si>
  <si>
    <t>LT95</t>
  </si>
  <si>
    <t>LT/LT96</t>
  </si>
  <si>
    <t>LT/LT97</t>
  </si>
  <si>
    <t>LT98</t>
  </si>
  <si>
    <t>LT99</t>
  </si>
  <si>
    <t>LT100</t>
  </si>
  <si>
    <t>LT101</t>
  </si>
  <si>
    <t>LT102</t>
  </si>
  <si>
    <t>LT103</t>
  </si>
  <si>
    <t>LT104</t>
  </si>
  <si>
    <t>LT105</t>
  </si>
  <si>
    <t>LT106</t>
  </si>
  <si>
    <t>LT107</t>
  </si>
  <si>
    <t>LT108</t>
  </si>
  <si>
    <t>LT110</t>
  </si>
  <si>
    <t>LT111</t>
  </si>
  <si>
    <t>LT112</t>
  </si>
  <si>
    <t>LT113</t>
  </si>
  <si>
    <t>LT114</t>
  </si>
  <si>
    <t>LT115</t>
  </si>
  <si>
    <t>LT116</t>
  </si>
  <si>
    <t>LT117</t>
  </si>
  <si>
    <t>LT118</t>
  </si>
  <si>
    <t>LT119</t>
  </si>
  <si>
    <t>LT120</t>
  </si>
  <si>
    <t>RT1</t>
  </si>
  <si>
    <t>RT2</t>
  </si>
  <si>
    <t>RT3</t>
  </si>
  <si>
    <t>RT4</t>
  </si>
  <si>
    <t>RT5</t>
  </si>
  <si>
    <t>RT6</t>
  </si>
  <si>
    <t>RT7</t>
  </si>
  <si>
    <t>RT8</t>
  </si>
  <si>
    <t>RT9</t>
  </si>
  <si>
    <t>RT10</t>
  </si>
  <si>
    <t>RT11</t>
  </si>
  <si>
    <t>RT12</t>
  </si>
  <si>
    <t>RT13</t>
  </si>
  <si>
    <t>RT14</t>
  </si>
  <si>
    <t>RT15</t>
  </si>
  <si>
    <t>RT16</t>
  </si>
  <si>
    <t>RT17</t>
  </si>
  <si>
    <t>RT18</t>
  </si>
  <si>
    <t>RT19</t>
  </si>
  <si>
    <t>RT20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</si>
  <si>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</si>
  <si>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</si>
  <si>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</si>
  <si>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</si>
  <si>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</si>
  <si>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</si>
  <si>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</si>
  <si>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</si>
  <si>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</si>
  <si>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</si>
  <si>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</si>
  <si>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</si>
  <si>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</si>
  <si>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</si>
  <si>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</si>
  <si>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</si>
  <si>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</si>
  <si>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</si>
  <si>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</si>
  <si>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</si>
  <si>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</si>
  <si>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</si>
  <si>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</si>
  <si>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</si>
  <si>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</si>
  <si>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</si>
  <si>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MD27</t>
  </si>
  <si>
    <t>MD28</t>
  </si>
  <si>
    <t>MD29</t>
  </si>
  <si>
    <t>MD30</t>
  </si>
  <si>
    <t>MD31</t>
  </si>
  <si>
    <t>MD32</t>
  </si>
  <si>
    <t>MD33</t>
  </si>
  <si>
    <t>MD34</t>
  </si>
  <si>
    <t>MD35</t>
  </si>
  <si>
    <t>MD36</t>
  </si>
  <si>
    <t>MD37</t>
  </si>
  <si>
    <t>MD38</t>
  </si>
  <si>
    <t>MD40</t>
  </si>
  <si>
    <t>MD39</t>
  </si>
  <si>
    <t>MD42</t>
  </si>
  <si>
    <t>MD41</t>
  </si>
  <si>
    <t>MD43</t>
  </si>
  <si>
    <t>MD44</t>
  </si>
  <si>
    <t>MD45</t>
  </si>
  <si>
    <t>MD46</t>
  </si>
  <si>
    <t>MD47</t>
  </si>
  <si>
    <t>MD48</t>
  </si>
  <si>
    <t>MD49</t>
  </si>
  <si>
    <t>MD50</t>
  </si>
  <si>
    <t>MD51</t>
  </si>
  <si>
    <t>MD52</t>
  </si>
  <si>
    <t>MD53</t>
  </si>
  <si>
    <t>MD54</t>
  </si>
  <si>
    <t>MD55</t>
  </si>
  <si>
    <t>MD56</t>
  </si>
  <si>
    <t>MD57</t>
  </si>
  <si>
    <t>MD58</t>
  </si>
  <si>
    <t>MD59</t>
  </si>
  <si>
    <t>MD60</t>
  </si>
  <si>
    <t>MD61</t>
  </si>
  <si>
    <t>MD62</t>
  </si>
  <si>
    <t>MD63</t>
  </si>
  <si>
    <t>MD64</t>
  </si>
  <si>
    <t>MD65</t>
  </si>
  <si>
    <t>MD66</t>
  </si>
  <si>
    <t>MD67</t>
  </si>
  <si>
    <t>MD68</t>
  </si>
  <si>
    <t>MD69</t>
  </si>
  <si>
    <t>MD70</t>
  </si>
  <si>
    <t>MD71</t>
  </si>
  <si>
    <t>MD72</t>
  </si>
  <si>
    <t>MD73</t>
  </si>
  <si>
    <t>MD74</t>
  </si>
  <si>
    <t>MD75</t>
  </si>
  <si>
    <t>MD76</t>
  </si>
  <si>
    <t>MD77</t>
  </si>
  <si>
    <t>MD78</t>
  </si>
  <si>
    <t>MD79</t>
  </si>
  <si>
    <t>MD80</t>
  </si>
  <si>
    <t>MD81</t>
  </si>
  <si>
    <t>MD82</t>
  </si>
  <si>
    <t>MD83</t>
  </si>
  <si>
    <t>MD84</t>
  </si>
  <si>
    <t>MD85</t>
  </si>
  <si>
    <t>MD86</t>
  </si>
  <si>
    <t>MD87</t>
  </si>
  <si>
    <t>MD88</t>
  </si>
  <si>
    <t>MD89</t>
  </si>
  <si>
    <t>MD90</t>
  </si>
  <si>
    <t>MD91</t>
  </si>
  <si>
    <t>MD92</t>
  </si>
  <si>
    <t>MD93</t>
  </si>
  <si>
    <t>MD94</t>
  </si>
  <si>
    <t>MD95</t>
  </si>
  <si>
    <t>MD96</t>
  </si>
  <si>
    <t>MD97</t>
  </si>
  <si>
    <t>MD98</t>
  </si>
  <si>
    <t>MD99</t>
  </si>
  <si>
    <t>MD100</t>
  </si>
  <si>
    <t>MD101</t>
  </si>
  <si>
    <t>MD102</t>
  </si>
  <si>
    <t>MD103</t>
  </si>
  <si>
    <t>MD104</t>
  </si>
  <si>
    <t>MD105</t>
  </si>
  <si>
    <t>MD106</t>
  </si>
  <si>
    <t>MD107</t>
  </si>
  <si>
    <t>MD108</t>
  </si>
  <si>
    <t>MD109</t>
  </si>
  <si>
    <t>MD110</t>
  </si>
  <si>
    <t>MD111</t>
  </si>
  <si>
    <t>MD112</t>
  </si>
  <si>
    <t>MD113</t>
  </si>
  <si>
    <t>MD114</t>
  </si>
  <si>
    <t>MD115</t>
  </si>
  <si>
    <t>MD116</t>
  </si>
  <si>
    <t>MD117</t>
  </si>
  <si>
    <t>MD118</t>
  </si>
  <si>
    <t>MD119</t>
  </si>
  <si>
    <t>MD120</t>
  </si>
  <si>
    <t>MD121</t>
  </si>
  <si>
    <t>MD122</t>
  </si>
  <si>
    <t>MD123</t>
  </si>
  <si>
    <t>MD124</t>
  </si>
  <si>
    <t>MD125</t>
  </si>
  <si>
    <t>MD126</t>
  </si>
  <si>
    <t>MD127</t>
  </si>
  <si>
    <t>MD128</t>
  </si>
  <si>
    <t>MD129</t>
  </si>
  <si>
    <t>MD130</t>
  </si>
  <si>
    <t>MD131</t>
  </si>
  <si>
    <t>MD132</t>
  </si>
  <si>
    <t>MD133</t>
  </si>
  <si>
    <t>MD134</t>
  </si>
  <si>
    <t>MD135</t>
  </si>
  <si>
    <t>MD136</t>
  </si>
  <si>
    <t>MD137</t>
  </si>
  <si>
    <t>MD138</t>
  </si>
  <si>
    <t>MD139</t>
  </si>
  <si>
    <t>MD140</t>
  </si>
  <si>
    <t>MD141</t>
  </si>
  <si>
    <t>MD142</t>
  </si>
  <si>
    <t>MD143</t>
  </si>
  <si>
    <t>MD144</t>
  </si>
  <si>
    <t>MD145</t>
  </si>
  <si>
    <t>MD146</t>
  </si>
  <si>
    <t>MD147</t>
  </si>
  <si>
    <t>MD148</t>
  </si>
  <si>
    <t>MD149</t>
  </si>
  <si>
    <t>MD150</t>
  </si>
  <si>
    <t>MD151</t>
  </si>
  <si>
    <t>MD152</t>
  </si>
  <si>
    <t>MD153</t>
  </si>
  <si>
    <t>MD154</t>
  </si>
  <si>
    <t>MD155</t>
  </si>
  <si>
    <t>MD156</t>
  </si>
  <si>
    <t>MD157</t>
  </si>
  <si>
    <t>MD158</t>
  </si>
  <si>
    <t>MD159</t>
  </si>
  <si>
    <t>MD160</t>
  </si>
  <si>
    <t>MD161</t>
  </si>
  <si>
    <t>MD162</t>
  </si>
  <si>
    <t>MD163</t>
  </si>
  <si>
    <t>MD164</t>
  </si>
  <si>
    <t>MD165</t>
  </si>
  <si>
    <t>MD166</t>
  </si>
  <si>
    <t>MD167</t>
  </si>
  <si>
    <t>MD168</t>
  </si>
  <si>
    <t>MD169</t>
  </si>
  <si>
    <t>MD170</t>
  </si>
  <si>
    <t>MD171</t>
  </si>
  <si>
    <t>MD172</t>
  </si>
  <si>
    <t>MD173</t>
  </si>
  <si>
    <t>MD174</t>
  </si>
  <si>
    <t>MD175</t>
  </si>
  <si>
    <t>MD176</t>
  </si>
  <si>
    <t>MD177</t>
  </si>
  <si>
    <t>MD178</t>
  </si>
  <si>
    <t>MD179</t>
  </si>
  <si>
    <t>MD180</t>
  </si>
  <si>
    <t>MD181</t>
  </si>
  <si>
    <t>MD182</t>
  </si>
  <si>
    <t>MD183</t>
  </si>
  <si>
    <t>MD184</t>
  </si>
  <si>
    <t>MD185</t>
  </si>
  <si>
    <t>MD186</t>
  </si>
  <si>
    <t>MD187</t>
  </si>
  <si>
    <t>MD188</t>
  </si>
  <si>
    <t>MD189</t>
  </si>
  <si>
    <t>MD190</t>
  </si>
  <si>
    <t>MD191</t>
  </si>
  <si>
    <t>MD192</t>
  </si>
  <si>
    <t>MD193</t>
  </si>
  <si>
    <t>MD194</t>
  </si>
  <si>
    <t>MD195</t>
  </si>
  <si>
    <t>MD196</t>
  </si>
  <si>
    <t>MD197</t>
  </si>
  <si>
    <t>MD198</t>
  </si>
  <si>
    <t>MD199</t>
  </si>
  <si>
    <t>MD200</t>
  </si>
  <si>
    <t>MD201</t>
  </si>
  <si>
    <t>MD202</t>
  </si>
  <si>
    <t>MD203</t>
  </si>
  <si>
    <t>MD204</t>
  </si>
  <si>
    <t>MD205</t>
  </si>
  <si>
    <t>MD206</t>
  </si>
  <si>
    <t>MD207</t>
  </si>
  <si>
    <t>MD208</t>
  </si>
  <si>
    <t>MD209</t>
  </si>
  <si>
    <t>MD210</t>
  </si>
  <si>
    <t>MD211</t>
  </si>
  <si>
    <t>MD212</t>
  </si>
  <si>
    <t>MD213</t>
  </si>
  <si>
    <t>MD214</t>
  </si>
  <si>
    <t>MD215</t>
  </si>
  <si>
    <t>MD216</t>
  </si>
  <si>
    <t>MD217</t>
  </si>
  <si>
    <t>MD218</t>
  </si>
  <si>
    <t>MD219</t>
  </si>
  <si>
    <t>MD220</t>
  </si>
  <si>
    <t>MD221</t>
  </si>
  <si>
    <t>MD222</t>
  </si>
  <si>
    <t>LT65</t>
  </si>
  <si>
    <t>MD223</t>
  </si>
  <si>
    <t>LT66</t>
  </si>
  <si>
    <t>MD224</t>
  </si>
  <si>
    <t>MD225</t>
  </si>
  <si>
    <t>MD226</t>
  </si>
  <si>
    <t>MD227</t>
  </si>
  <si>
    <t>MD228</t>
  </si>
  <si>
    <t>MD229</t>
  </si>
  <si>
    <t>MD230</t>
  </si>
  <si>
    <t>MD231</t>
  </si>
  <si>
    <t>MD232</t>
  </si>
  <si>
    <t>MD233</t>
  </si>
  <si>
    <t>MD234</t>
  </si>
  <si>
    <t>MD235</t>
  </si>
  <si>
    <t>MD236</t>
  </si>
  <si>
    <t>MD237</t>
  </si>
  <si>
    <t>MD238</t>
  </si>
  <si>
    <t>MD239</t>
  </si>
  <si>
    <t>MD240</t>
  </si>
  <si>
    <t>MD241</t>
  </si>
  <si>
    <t>MD242</t>
  </si>
  <si>
    <t>MD243</t>
  </si>
  <si>
    <t>MD244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</si>
  <si>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</si>
  <si>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</si>
  <si>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</si>
  <si>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</si>
  <si>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</si>
  <si>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</si>
  <si>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</si>
  <si>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</si>
  <si>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</si>
  <si>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</si>
  <si>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</si>
  <si>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</si>
  <si>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</si>
  <si>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</si>
  <si>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</si>
  <si>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</si>
  <si>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MD261</t>
  </si>
  <si>
    <t>MD262</t>
  </si>
  <si>
    <t>MD263</t>
  </si>
  <si>
    <t>MD264</t>
  </si>
  <si>
    <t>MD265</t>
  </si>
  <si>
    <t>MD266</t>
  </si>
  <si>
    <t>MD267</t>
  </si>
  <si>
    <t>MD268</t>
  </si>
  <si>
    <t>MD269</t>
  </si>
  <si>
    <t>MD270</t>
  </si>
  <si>
    <t>MD271</t>
  </si>
  <si>
    <t>MD272</t>
  </si>
  <si>
    <t>MD273</t>
  </si>
  <si>
    <t>MD274</t>
  </si>
  <si>
    <t>MD275</t>
  </si>
  <si>
    <t>MD276</t>
  </si>
  <si>
    <t>MD277</t>
  </si>
  <si>
    <t>MD278</t>
  </si>
  <si>
    <t>MD279</t>
  </si>
  <si>
    <t>MD280</t>
  </si>
  <si>
    <t>MD281</t>
  </si>
  <si>
    <t>MD282</t>
  </si>
  <si>
    <t>MD283</t>
  </si>
  <si>
    <t>MD284</t>
  </si>
  <si>
    <t>MD285</t>
  </si>
  <si>
    <t>MD286</t>
  </si>
  <si>
    <t>MD287</t>
  </si>
  <si>
    <t>MD288</t>
  </si>
  <si>
    <t>MD289</t>
  </si>
  <si>
    <t>MD290</t>
  </si>
  <si>
    <t>MS291</t>
  </si>
  <si>
    <t>MD292</t>
  </si>
  <si>
    <t>MD293</t>
  </si>
  <si>
    <t>MD294</t>
  </si>
  <si>
    <t>MD295</t>
  </si>
  <si>
    <t>MD296</t>
  </si>
  <si>
    <t>MD297</t>
  </si>
  <si>
    <t>MD298</t>
  </si>
  <si>
    <t>MD299</t>
  </si>
  <si>
    <t>MD300</t>
  </si>
  <si>
    <t>MD301</t>
  </si>
  <si>
    <t>MD302</t>
  </si>
  <si>
    <t>MD303</t>
  </si>
  <si>
    <t>MD304</t>
  </si>
  <si>
    <t>MD305</t>
  </si>
  <si>
    <t>MD306</t>
  </si>
  <si>
    <t>MD307</t>
  </si>
  <si>
    <t>MD308</t>
  </si>
  <si>
    <t>MD309</t>
  </si>
  <si>
    <t>MD310</t>
  </si>
  <si>
    <t>MD311</t>
  </si>
  <si>
    <t>MD312</t>
  </si>
  <si>
    <t>MD313</t>
  </si>
  <si>
    <t>MD314</t>
  </si>
  <si>
    <t>MD315</t>
  </si>
  <si>
    <t>MD316</t>
  </si>
  <si>
    <t>MD317</t>
  </si>
  <si>
    <t>RT22</t>
  </si>
  <si>
    <t>RT23</t>
  </si>
  <si>
    <t>RT24</t>
  </si>
  <si>
    <t>RT25</t>
  </si>
  <si>
    <t>RT26</t>
  </si>
  <si>
    <t>RT27</t>
  </si>
  <si>
    <t>RT28</t>
  </si>
  <si>
    <t>RT29</t>
  </si>
  <si>
    <t>RT30</t>
  </si>
  <si>
    <t>RT31</t>
  </si>
  <si>
    <t>RT32</t>
  </si>
  <si>
    <t>RT33</t>
  </si>
  <si>
    <t>RT34</t>
  </si>
  <si>
    <t>RT35</t>
  </si>
  <si>
    <t>RT36</t>
  </si>
  <si>
    <t>RT37</t>
  </si>
  <si>
    <t>RT38</t>
  </si>
  <si>
    <t>RT39</t>
  </si>
  <si>
    <t>RT40</t>
  </si>
  <si>
    <t>RT41</t>
  </si>
  <si>
    <t>RT42</t>
  </si>
  <si>
    <t>RT43</t>
  </si>
  <si>
    <t>RT44</t>
  </si>
  <si>
    <t>RT45</t>
  </si>
  <si>
    <t>RT46</t>
  </si>
  <si>
    <t>RT47</t>
  </si>
  <si>
    <t>RT48</t>
  </si>
  <si>
    <t>RT49</t>
  </si>
  <si>
    <t>RT50</t>
  </si>
  <si>
    <t>RT51</t>
  </si>
  <si>
    <t>RT52</t>
  </si>
  <si>
    <t>RT53</t>
  </si>
  <si>
    <t>RT54</t>
  </si>
  <si>
    <t>RT55</t>
  </si>
  <si>
    <t>RT56</t>
  </si>
  <si>
    <t>RT57</t>
  </si>
  <si>
    <t>RT58</t>
  </si>
  <si>
    <t>RT59</t>
  </si>
  <si>
    <t>RT60</t>
  </si>
  <si>
    <t>RT61</t>
  </si>
  <si>
    <t>RT62</t>
  </si>
  <si>
    <t>RT63</t>
  </si>
  <si>
    <t>RT64</t>
  </si>
  <si>
    <t>RT65</t>
  </si>
  <si>
    <t>RT66</t>
  </si>
  <si>
    <t>RT67</t>
  </si>
  <si>
    <t>RT68</t>
  </si>
  <si>
    <t>RT69</t>
  </si>
  <si>
    <t>RT70</t>
  </si>
  <si>
    <t>RT71</t>
  </si>
  <si>
    <t>RT72</t>
  </si>
  <si>
    <t>RT73</t>
  </si>
  <si>
    <t>RT74</t>
  </si>
  <si>
    <t>RT75</t>
  </si>
  <si>
    <t>RT76</t>
  </si>
  <si>
    <t>RT77</t>
  </si>
  <si>
    <t>RT78</t>
  </si>
  <si>
    <t>RT79</t>
  </si>
  <si>
    <t>RT80</t>
  </si>
  <si>
    <t>RT81</t>
  </si>
  <si>
    <t>RT82</t>
  </si>
  <si>
    <t>RT83</t>
  </si>
  <si>
    <t>RT84</t>
  </si>
  <si>
    <t>RT85</t>
  </si>
  <si>
    <t>RT86</t>
  </si>
  <si>
    <t>RT87</t>
  </si>
  <si>
    <t>RT88</t>
  </si>
  <si>
    <t>RT89</t>
  </si>
  <si>
    <t>RT90</t>
  </si>
  <si>
    <t>RT91</t>
  </si>
  <si>
    <t>RT92</t>
  </si>
  <si>
    <t>RT93</t>
  </si>
  <si>
    <t>RT94</t>
  </si>
  <si>
    <t>RT95</t>
  </si>
  <si>
    <t>RT96</t>
  </si>
  <si>
    <t>RT97</t>
  </si>
  <si>
    <t>RT98</t>
  </si>
  <si>
    <t>RT99</t>
  </si>
  <si>
    <t>RT100</t>
  </si>
  <si>
    <t>RT101</t>
  </si>
  <si>
    <t>RT102</t>
  </si>
  <si>
    <t>RT103</t>
  </si>
  <si>
    <t>RT104</t>
  </si>
  <si>
    <t>RT105</t>
  </si>
  <si>
    <t>RT106</t>
  </si>
  <si>
    <t>RT107</t>
  </si>
  <si>
    <t>RT109</t>
  </si>
  <si>
    <t>RT110</t>
  </si>
  <si>
    <t>RT111</t>
  </si>
  <si>
    <t>RT112</t>
  </si>
  <si>
    <t>RT113</t>
  </si>
  <si>
    <t>RT114</t>
  </si>
  <si>
    <t>LT121</t>
  </si>
  <si>
    <t>LT122</t>
  </si>
  <si>
    <t>LT123</t>
  </si>
  <si>
    <t>LT124</t>
  </si>
  <si>
    <t>LT125</t>
  </si>
  <si>
    <t>LT126</t>
  </si>
  <si>
    <t>LT127</t>
  </si>
  <si>
    <t>LT128</t>
  </si>
  <si>
    <t>LT129</t>
  </si>
  <si>
    <t>LT130</t>
  </si>
  <si>
    <t>LT131</t>
  </si>
  <si>
    <t>LT132</t>
  </si>
  <si>
    <t>LT133</t>
  </si>
  <si>
    <t>LT134</t>
  </si>
  <si>
    <t>LT135</t>
  </si>
  <si>
    <t>LT136</t>
  </si>
  <si>
    <t>LT137</t>
  </si>
  <si>
    <t>LT138</t>
  </si>
  <si>
    <t>LT139</t>
  </si>
  <si>
    <t>LT140</t>
  </si>
  <si>
    <t>LT141</t>
  </si>
  <si>
    <t>LT142</t>
  </si>
  <si>
    <t>LT143</t>
  </si>
  <si>
    <t>LT144</t>
  </si>
  <si>
    <t>LT145</t>
  </si>
  <si>
    <t>LT146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</si>
</sst>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C2A2-8898-44B9-8069-CCA53FB806C2}">
  <dimension ref="A1:U591"/>
  <sheetViews>
    <sheetView tabSelected="1" topLeftCell="A554" workbookViewId="0">
      <selection activeCell="R590" sqref="R590"/>
    </sheetView>
  </sheetViews>
  <sheetFormatPr defaultRowHeight="14.25" x14ac:dyDescent="0.2"/>
  <cols>
    <col min="1" max="16" width="9" style="2"/>
    <col min="19" max="21" width="9" style="1"/>
  </cols>
  <sheetData>
    <row r="1" spans="1:16" x14ac:dyDescent="0.2">
      <c r="A1" s="2" t="s">
        <v>1177</v>
      </c>
      <c r="B1" s="2" t="s">
        <v>1178</v>
      </c>
      <c r="C1" s="2" t="s">
        <v>1179</v>
      </c>
      <c r="D1" s="2" t="s">
        <v>1180</v>
      </c>
      <c r="E1" s="2" t="s">
        <v>1181</v>
      </c>
      <c r="F1" s="2" t="s">
        <v>1182</v>
      </c>
      <c r="G1" s="2" t="s">
        <v>1183</v>
      </c>
      <c r="H1" s="2" t="s">
        <v>1184</v>
      </c>
      <c r="I1" s="2" t="s">
        <v>1185</v>
      </c>
      <c r="J1" s="2" t="s">
        <v>1186</v>
      </c>
      <c r="K1" s="2" t="s">
        <v>1187</v>
      </c>
      <c r="L1" s="2" t="s">
        <v>1188</v>
      </c>
      <c r="M1" s="2" t="s">
        <v>1189</v>
      </c>
      <c r="N1" s="2" t="s">
        <v>1190</v>
      </c>
      <c r="O1" s="2" t="s">
        <v>1191</v>
      </c>
      <c r="P1" s="2" t="s">
        <v>1192</v>
      </c>
    </row>
    <row r="2" spans="1:16" x14ac:dyDescent="0.2">
      <c r="A2" s="2" t="s">
        <v>2423</v>
      </c>
      <c r="B2" s="2" t="s">
        <v>2426</v>
      </c>
      <c r="H2" s="2">
        <v>22</v>
      </c>
      <c r="I2" s="2">
        <v>501</v>
      </c>
      <c r="J2" s="2" t="s">
        <v>2006</v>
      </c>
      <c r="O2" s="2">
        <v>17.321200000000001</v>
      </c>
      <c r="P2" s="2">
        <v>104.4166</v>
      </c>
    </row>
    <row r="3" spans="1:16" x14ac:dyDescent="0.2">
      <c r="A3" s="2" t="s">
        <v>2423</v>
      </c>
      <c r="B3" s="2" t="s">
        <v>2427</v>
      </c>
      <c r="H3" s="2">
        <v>22</v>
      </c>
      <c r="I3" s="2">
        <v>501</v>
      </c>
      <c r="J3" s="2" t="s">
        <v>2007</v>
      </c>
      <c r="O3" s="2">
        <v>17.3215</v>
      </c>
      <c r="P3" s="2">
        <v>104.4169</v>
      </c>
    </row>
    <row r="4" spans="1:16" x14ac:dyDescent="0.2">
      <c r="A4" s="2" t="s">
        <v>2423</v>
      </c>
      <c r="B4" s="2" t="s">
        <v>2428</v>
      </c>
      <c r="H4" s="2">
        <v>22</v>
      </c>
      <c r="I4" s="2">
        <v>501</v>
      </c>
      <c r="J4" s="2" t="s">
        <v>2008</v>
      </c>
      <c r="O4" s="2">
        <v>17.3215</v>
      </c>
      <c r="P4" s="2">
        <v>104.4173</v>
      </c>
    </row>
    <row r="5" spans="1:16" x14ac:dyDescent="0.2">
      <c r="A5" s="2" t="s">
        <v>2423</v>
      </c>
      <c r="B5" s="2" t="s">
        <v>2429</v>
      </c>
      <c r="H5" s="2">
        <v>22</v>
      </c>
      <c r="I5" s="2">
        <v>501</v>
      </c>
      <c r="J5" s="2" t="s">
        <v>2009</v>
      </c>
      <c r="O5" s="2">
        <v>17.3216</v>
      </c>
      <c r="P5" s="2">
        <v>104.41759999999999</v>
      </c>
    </row>
    <row r="6" spans="1:16" x14ac:dyDescent="0.2">
      <c r="A6" s="2" t="s">
        <v>2423</v>
      </c>
      <c r="B6" s="2" t="s">
        <v>2430</v>
      </c>
      <c r="H6" s="2">
        <v>22</v>
      </c>
      <c r="I6" s="2">
        <v>501</v>
      </c>
      <c r="J6" s="2" t="s">
        <v>2010</v>
      </c>
      <c r="O6" s="2" t="s">
        <v>1195</v>
      </c>
      <c r="P6" s="2" t="s">
        <v>1512</v>
      </c>
    </row>
    <row r="7" spans="1:16" x14ac:dyDescent="0.2">
      <c r="A7" s="2" t="s">
        <v>2423</v>
      </c>
      <c r="B7" s="2" t="s">
        <v>2431</v>
      </c>
      <c r="H7" s="2">
        <v>22</v>
      </c>
      <c r="I7" s="2">
        <v>501</v>
      </c>
      <c r="J7" s="2" t="s">
        <v>2011</v>
      </c>
      <c r="O7" s="2" t="s">
        <v>1195</v>
      </c>
      <c r="P7" s="2" t="s">
        <v>1513</v>
      </c>
    </row>
    <row r="8" spans="1:16" x14ac:dyDescent="0.2">
      <c r="A8" s="2" t="s">
        <v>2423</v>
      </c>
      <c r="B8" s="2" t="s">
        <v>2432</v>
      </c>
      <c r="H8" s="2">
        <v>22</v>
      </c>
      <c r="I8" s="2">
        <v>501</v>
      </c>
      <c r="J8" s="2" t="s">
        <v>2012</v>
      </c>
      <c r="O8" s="2" t="s">
        <v>1195</v>
      </c>
      <c r="P8" s="2" t="s">
        <v>1514</v>
      </c>
    </row>
    <row r="9" spans="1:16" x14ac:dyDescent="0.2">
      <c r="A9" s="2" t="s">
        <v>2423</v>
      </c>
      <c r="B9" s="2" t="s">
        <v>2433</v>
      </c>
      <c r="H9" s="2">
        <v>22</v>
      </c>
      <c r="I9" s="2">
        <v>501</v>
      </c>
      <c r="J9" s="2" t="s">
        <v>2013</v>
      </c>
      <c r="O9" s="2" t="s">
        <v>1195</v>
      </c>
      <c r="P9" s="2" t="s">
        <v>1515</v>
      </c>
    </row>
    <row r="10" spans="1:16" x14ac:dyDescent="0.2">
      <c r="A10" s="2" t="s">
        <v>2423</v>
      </c>
      <c r="B10" s="2" t="s">
        <v>2434</v>
      </c>
      <c r="H10" s="2">
        <v>22</v>
      </c>
      <c r="I10" s="2">
        <v>501</v>
      </c>
      <c r="J10" s="2" t="s">
        <v>2014</v>
      </c>
      <c r="O10" s="2" t="s">
        <v>1195</v>
      </c>
      <c r="P10" s="2" t="s">
        <v>1516</v>
      </c>
    </row>
    <row r="11" spans="1:16" x14ac:dyDescent="0.2">
      <c r="A11" s="2" t="s">
        <v>2423</v>
      </c>
      <c r="B11" s="2" t="s">
        <v>2435</v>
      </c>
      <c r="H11" s="2">
        <v>22</v>
      </c>
      <c r="I11" s="2">
        <v>501</v>
      </c>
      <c r="J11" s="2" t="s">
        <v>2015</v>
      </c>
      <c r="O11" s="2" t="s">
        <v>1194</v>
      </c>
      <c r="P11" s="2" t="s">
        <v>1517</v>
      </c>
    </row>
    <row r="12" spans="1:16" x14ac:dyDescent="0.2">
      <c r="A12" s="2" t="s">
        <v>2423</v>
      </c>
      <c r="B12" s="2" t="s">
        <v>2436</v>
      </c>
      <c r="H12" s="2">
        <v>22</v>
      </c>
      <c r="I12" s="2">
        <v>501</v>
      </c>
      <c r="J12" s="2" t="s">
        <v>2016</v>
      </c>
      <c r="O12" s="2" t="s">
        <v>1196</v>
      </c>
      <c r="P12" s="2" t="s">
        <v>1518</v>
      </c>
    </row>
    <row r="13" spans="1:16" x14ac:dyDescent="0.2">
      <c r="A13" s="2" t="s">
        <v>2423</v>
      </c>
      <c r="B13" s="2" t="s">
        <v>2437</v>
      </c>
      <c r="H13" s="2">
        <v>22</v>
      </c>
      <c r="I13" s="2">
        <v>501</v>
      </c>
      <c r="J13" s="2" t="s">
        <v>2017</v>
      </c>
      <c r="O13" s="2" t="s">
        <v>1197</v>
      </c>
      <c r="P13" s="2" t="s">
        <v>1519</v>
      </c>
    </row>
    <row r="14" spans="1:16" x14ac:dyDescent="0.2">
      <c r="A14" s="2" t="s">
        <v>2423</v>
      </c>
      <c r="B14" s="2" t="s">
        <v>2438</v>
      </c>
      <c r="H14" s="2">
        <v>22</v>
      </c>
      <c r="I14" s="2">
        <v>501</v>
      </c>
      <c r="J14" s="2" t="s">
        <v>2018</v>
      </c>
      <c r="O14" s="2" t="s">
        <v>1193</v>
      </c>
      <c r="P14" s="2" t="s">
        <v>1520</v>
      </c>
    </row>
    <row r="15" spans="1:16" x14ac:dyDescent="0.2">
      <c r="A15" s="2" t="s">
        <v>2423</v>
      </c>
      <c r="B15" s="2" t="s">
        <v>2439</v>
      </c>
      <c r="H15" s="2">
        <v>22</v>
      </c>
      <c r="I15" s="2">
        <v>501</v>
      </c>
      <c r="J15" s="2" t="s">
        <v>2019</v>
      </c>
      <c r="O15" s="2" t="s">
        <v>1198</v>
      </c>
      <c r="P15" s="2" t="s">
        <v>1521</v>
      </c>
    </row>
    <row r="16" spans="1:16" x14ac:dyDescent="0.2">
      <c r="A16" s="2" t="s">
        <v>2423</v>
      </c>
      <c r="B16" s="2" t="s">
        <v>2440</v>
      </c>
      <c r="H16" s="2">
        <v>22</v>
      </c>
      <c r="I16" s="2">
        <v>501</v>
      </c>
      <c r="J16" s="2" t="s">
        <v>2020</v>
      </c>
      <c r="O16" s="2" t="s">
        <v>1199</v>
      </c>
      <c r="P16" s="2" t="s">
        <v>1522</v>
      </c>
    </row>
    <row r="17" spans="1:16" x14ac:dyDescent="0.2">
      <c r="A17" s="2" t="s">
        <v>2423</v>
      </c>
      <c r="B17" s="2" t="s">
        <v>2441</v>
      </c>
      <c r="H17" s="2">
        <v>22</v>
      </c>
      <c r="I17" s="2">
        <v>501</v>
      </c>
      <c r="J17" s="2" t="s">
        <v>2021</v>
      </c>
      <c r="O17" s="2" t="s">
        <v>1200</v>
      </c>
      <c r="P17" s="2" t="s">
        <v>1523</v>
      </c>
    </row>
    <row r="18" spans="1:16" x14ac:dyDescent="0.2">
      <c r="A18" s="2" t="s">
        <v>2423</v>
      </c>
      <c r="B18" s="2" t="s">
        <v>2442</v>
      </c>
      <c r="H18" s="2">
        <v>22</v>
      </c>
      <c r="I18" s="2">
        <v>501</v>
      </c>
      <c r="J18" s="2" t="s">
        <v>2022</v>
      </c>
      <c r="O18" s="2" t="s">
        <v>1201</v>
      </c>
      <c r="P18" s="2" t="s">
        <v>1524</v>
      </c>
    </row>
    <row r="19" spans="1:16" x14ac:dyDescent="0.2">
      <c r="A19" s="2" t="s">
        <v>2423</v>
      </c>
      <c r="B19" s="2" t="s">
        <v>2443</v>
      </c>
      <c r="H19" s="2">
        <v>22</v>
      </c>
      <c r="I19" s="2">
        <v>501</v>
      </c>
      <c r="J19" s="2" t="s">
        <v>2023</v>
      </c>
      <c r="O19" s="2" t="s">
        <v>1202</v>
      </c>
      <c r="P19" s="2" t="s">
        <v>1525</v>
      </c>
    </row>
    <row r="20" spans="1:16" x14ac:dyDescent="0.2">
      <c r="A20" s="2" t="s">
        <v>2423</v>
      </c>
      <c r="B20" s="2" t="s">
        <v>2444</v>
      </c>
      <c r="H20" s="2">
        <v>22</v>
      </c>
      <c r="I20" s="2">
        <v>501</v>
      </c>
      <c r="J20" s="2" t="s">
        <v>2024</v>
      </c>
      <c r="O20" s="2" t="s">
        <v>1203</v>
      </c>
      <c r="P20" s="2" t="s">
        <v>1526</v>
      </c>
    </row>
    <row r="21" spans="1:16" x14ac:dyDescent="0.2">
      <c r="A21" s="2" t="s">
        <v>2423</v>
      </c>
      <c r="B21" s="2" t="s">
        <v>2445</v>
      </c>
      <c r="H21" s="2">
        <v>22</v>
      </c>
      <c r="I21" s="2">
        <v>501</v>
      </c>
      <c r="J21" s="2" t="s">
        <v>2025</v>
      </c>
      <c r="O21" s="2" t="s">
        <v>1204</v>
      </c>
      <c r="P21" s="2" t="s">
        <v>1527</v>
      </c>
    </row>
    <row r="22" spans="1:16" x14ac:dyDescent="0.2">
      <c r="A22" s="2" t="s">
        <v>2423</v>
      </c>
      <c r="B22" s="2" t="s">
        <v>2446</v>
      </c>
      <c r="H22" s="2">
        <v>22</v>
      </c>
      <c r="I22" s="2">
        <v>501</v>
      </c>
      <c r="J22" s="2" t="s">
        <v>2026</v>
      </c>
      <c r="O22" s="2" t="s">
        <v>1205</v>
      </c>
      <c r="P22" s="2" t="s">
        <v>1528</v>
      </c>
    </row>
    <row r="23" spans="1:16" x14ac:dyDescent="0.2">
      <c r="A23" s="2" t="s">
        <v>2423</v>
      </c>
      <c r="B23" s="2" t="s">
        <v>2447</v>
      </c>
      <c r="H23" s="2">
        <v>22</v>
      </c>
      <c r="I23" s="2">
        <v>501</v>
      </c>
      <c r="J23" s="2" t="s">
        <v>2027</v>
      </c>
      <c r="O23" s="2" t="s">
        <v>1206</v>
      </c>
      <c r="P23" s="2" t="s">
        <v>1529</v>
      </c>
    </row>
    <row r="24" spans="1:16" x14ac:dyDescent="0.2">
      <c r="A24" s="2" t="s">
        <v>2423</v>
      </c>
      <c r="B24" s="2" t="s">
        <v>2448</v>
      </c>
      <c r="H24" s="2">
        <v>22</v>
      </c>
      <c r="I24" s="2">
        <v>501</v>
      </c>
      <c r="J24" s="2" t="s">
        <v>2028</v>
      </c>
      <c r="O24" s="2" t="s">
        <v>1207</v>
      </c>
      <c r="P24" s="2" t="s">
        <v>1530</v>
      </c>
    </row>
    <row r="25" spans="1:16" x14ac:dyDescent="0.2">
      <c r="A25" s="2" t="s">
        <v>2423</v>
      </c>
      <c r="B25" s="2" t="s">
        <v>2449</v>
      </c>
      <c r="H25" s="2">
        <v>22</v>
      </c>
      <c r="I25" s="2">
        <v>501</v>
      </c>
      <c r="J25" s="2" t="s">
        <v>2029</v>
      </c>
      <c r="O25" s="2" t="s">
        <v>1208</v>
      </c>
      <c r="P25" s="2" t="s">
        <v>1531</v>
      </c>
    </row>
    <row r="26" spans="1:16" x14ac:dyDescent="0.2">
      <c r="A26" s="2" t="s">
        <v>2423</v>
      </c>
      <c r="B26" s="2" t="s">
        <v>2450</v>
      </c>
      <c r="H26" s="2">
        <v>22</v>
      </c>
      <c r="I26" s="2">
        <v>501</v>
      </c>
      <c r="J26" s="2" t="s">
        <v>2030</v>
      </c>
      <c r="O26" s="2" t="s">
        <v>1209</v>
      </c>
      <c r="P26" s="2" t="s">
        <v>1532</v>
      </c>
    </row>
    <row r="27" spans="1:16" x14ac:dyDescent="0.2">
      <c r="A27" s="2" t="s">
        <v>2423</v>
      </c>
      <c r="B27" s="2" t="s">
        <v>2451</v>
      </c>
      <c r="H27" s="2">
        <v>22</v>
      </c>
      <c r="I27" s="2">
        <v>501</v>
      </c>
      <c r="J27" s="2" t="s">
        <v>2031</v>
      </c>
      <c r="O27" s="2" t="s">
        <v>1210</v>
      </c>
      <c r="P27" s="2" t="s">
        <v>1533</v>
      </c>
    </row>
    <row r="28" spans="1:16" x14ac:dyDescent="0.2">
      <c r="A28" s="2" t="s">
        <v>2423</v>
      </c>
      <c r="B28" s="2" t="s">
        <v>2452</v>
      </c>
      <c r="H28" s="2">
        <v>22</v>
      </c>
      <c r="I28" s="2">
        <v>501</v>
      </c>
      <c r="J28" s="2" t="s">
        <v>2032</v>
      </c>
      <c r="O28" s="2" t="s">
        <v>1211</v>
      </c>
      <c r="P28" s="2" t="s">
        <v>1534</v>
      </c>
    </row>
    <row r="29" spans="1:16" x14ac:dyDescent="0.2">
      <c r="A29" s="2" t="s">
        <v>2423</v>
      </c>
      <c r="B29" s="2" t="s">
        <v>2453</v>
      </c>
      <c r="H29" s="2">
        <v>22</v>
      </c>
      <c r="I29" s="2">
        <v>501</v>
      </c>
      <c r="J29" s="2" t="s">
        <v>2033</v>
      </c>
      <c r="O29" s="2" t="s">
        <v>1212</v>
      </c>
      <c r="P29" s="2" t="s">
        <v>1535</v>
      </c>
    </row>
    <row r="30" spans="1:16" x14ac:dyDescent="0.2">
      <c r="A30" s="2" t="s">
        <v>2423</v>
      </c>
      <c r="B30" s="2" t="s">
        <v>2454</v>
      </c>
      <c r="H30" s="2">
        <v>22</v>
      </c>
      <c r="I30" s="2">
        <v>501</v>
      </c>
      <c r="J30" s="2" t="s">
        <v>2034</v>
      </c>
      <c r="O30" s="2" t="s">
        <v>1213</v>
      </c>
      <c r="P30" s="2" t="s">
        <v>1536</v>
      </c>
    </row>
    <row r="31" spans="1:16" x14ac:dyDescent="0.2">
      <c r="A31" s="2" t="s">
        <v>2423</v>
      </c>
      <c r="B31" s="2" t="s">
        <v>2455</v>
      </c>
      <c r="H31" s="2">
        <v>22</v>
      </c>
      <c r="I31" s="2">
        <v>501</v>
      </c>
      <c r="J31" s="2" t="s">
        <v>2035</v>
      </c>
      <c r="O31" s="2" t="s">
        <v>1214</v>
      </c>
      <c r="P31" s="2" t="s">
        <v>1537</v>
      </c>
    </row>
    <row r="32" spans="1:16" x14ac:dyDescent="0.2">
      <c r="A32" s="2" t="s">
        <v>2423</v>
      </c>
      <c r="B32" s="2" t="s">
        <v>2456</v>
      </c>
      <c r="H32" s="2">
        <v>22</v>
      </c>
      <c r="I32" s="2">
        <v>501</v>
      </c>
      <c r="J32" s="2" t="s">
        <v>2036</v>
      </c>
      <c r="O32" s="2" t="s">
        <v>1215</v>
      </c>
      <c r="P32" s="2" t="s">
        <v>1538</v>
      </c>
    </row>
    <row r="33" spans="1:16" x14ac:dyDescent="0.2">
      <c r="A33" s="2" t="s">
        <v>2423</v>
      </c>
      <c r="B33" s="2" t="s">
        <v>2457</v>
      </c>
      <c r="H33" s="2">
        <v>22</v>
      </c>
      <c r="I33" s="2">
        <v>501</v>
      </c>
      <c r="J33" s="2" t="s">
        <v>2037</v>
      </c>
      <c r="O33" s="2" t="s">
        <v>1216</v>
      </c>
      <c r="P33" s="2" t="s">
        <v>1539</v>
      </c>
    </row>
    <row r="34" spans="1:16" x14ac:dyDescent="0.2">
      <c r="A34" s="2" t="s">
        <v>2423</v>
      </c>
      <c r="B34" s="2" t="s">
        <v>2458</v>
      </c>
      <c r="H34" s="2">
        <v>22</v>
      </c>
      <c r="I34" s="2">
        <v>501</v>
      </c>
      <c r="J34" s="2" t="s">
        <v>2038</v>
      </c>
      <c r="O34" s="2" t="s">
        <v>1217</v>
      </c>
      <c r="P34" s="2" t="s">
        <v>1540</v>
      </c>
    </row>
    <row r="35" spans="1:16" x14ac:dyDescent="0.2">
      <c r="A35" s="2" t="s">
        <v>2423</v>
      </c>
      <c r="B35" s="2" t="s">
        <v>2459</v>
      </c>
      <c r="H35" s="2">
        <v>22</v>
      </c>
      <c r="I35" s="2">
        <v>501</v>
      </c>
      <c r="J35" s="2" t="s">
        <v>2039</v>
      </c>
      <c r="O35" s="2" t="s">
        <v>1218</v>
      </c>
      <c r="P35" s="2" t="s">
        <v>1541</v>
      </c>
    </row>
    <row r="36" spans="1:16" x14ac:dyDescent="0.2">
      <c r="A36" s="2" t="s">
        <v>2423</v>
      </c>
      <c r="B36" s="2" t="s">
        <v>2460</v>
      </c>
      <c r="H36" s="2">
        <v>22</v>
      </c>
      <c r="I36" s="2">
        <v>501</v>
      </c>
      <c r="J36" s="2" t="s">
        <v>2040</v>
      </c>
      <c r="O36" s="2" t="s">
        <v>1219</v>
      </c>
      <c r="P36" s="2" t="s">
        <v>1542</v>
      </c>
    </row>
    <row r="37" spans="1:16" x14ac:dyDescent="0.2">
      <c r="A37" s="2" t="s">
        <v>2423</v>
      </c>
      <c r="B37" s="2" t="s">
        <v>2461</v>
      </c>
      <c r="H37" s="2">
        <v>22</v>
      </c>
      <c r="I37" s="2">
        <v>501</v>
      </c>
      <c r="J37" s="2" t="s">
        <v>2041</v>
      </c>
      <c r="O37" s="2" t="s">
        <v>1220</v>
      </c>
      <c r="P37" s="2" t="s">
        <v>1543</v>
      </c>
    </row>
    <row r="38" spans="1:16" x14ac:dyDescent="0.2">
      <c r="A38" s="2" t="s">
        <v>2423</v>
      </c>
      <c r="B38" s="2" t="s">
        <v>2462</v>
      </c>
      <c r="H38" s="2">
        <v>22</v>
      </c>
      <c r="I38" s="2">
        <v>501</v>
      </c>
      <c r="J38" s="2" t="s">
        <v>2042</v>
      </c>
      <c r="O38" s="2" t="s">
        <v>1221</v>
      </c>
      <c r="P38" s="2" t="s">
        <v>1544</v>
      </c>
    </row>
    <row r="39" spans="1:16" x14ac:dyDescent="0.2">
      <c r="A39" s="2" t="s">
        <v>2423</v>
      </c>
      <c r="B39" s="2" t="s">
        <v>2463</v>
      </c>
      <c r="H39" s="2">
        <v>22</v>
      </c>
      <c r="I39" s="2">
        <v>501</v>
      </c>
      <c r="J39" s="2" t="s">
        <v>2043</v>
      </c>
      <c r="O39" s="2" t="s">
        <v>1222</v>
      </c>
      <c r="P39" s="2" t="s">
        <v>1545</v>
      </c>
    </row>
    <row r="40" spans="1:16" x14ac:dyDescent="0.2">
      <c r="A40" s="2" t="s">
        <v>2423</v>
      </c>
      <c r="B40" s="2" t="s">
        <v>2464</v>
      </c>
      <c r="H40" s="2">
        <v>22</v>
      </c>
      <c r="I40" s="2">
        <v>501</v>
      </c>
      <c r="J40" s="2" t="s">
        <v>2044</v>
      </c>
      <c r="O40" s="2" t="s">
        <v>1223</v>
      </c>
      <c r="P40" s="2" t="s">
        <v>1546</v>
      </c>
    </row>
    <row r="41" spans="1:16" x14ac:dyDescent="0.2">
      <c r="A41" s="2" t="s">
        <v>2423</v>
      </c>
      <c r="B41" s="2" t="s">
        <v>2465</v>
      </c>
      <c r="H41" s="2">
        <v>22</v>
      </c>
      <c r="I41" s="2">
        <v>501</v>
      </c>
      <c r="J41" s="2" t="s">
        <v>2045</v>
      </c>
      <c r="O41" s="2" t="s">
        <v>1224</v>
      </c>
      <c r="P41" s="2" t="s">
        <v>1547</v>
      </c>
    </row>
    <row r="42" spans="1:16" x14ac:dyDescent="0.2">
      <c r="A42" s="2" t="s">
        <v>2423</v>
      </c>
      <c r="B42" s="2" t="s">
        <v>2466</v>
      </c>
      <c r="H42" s="2">
        <v>22</v>
      </c>
      <c r="I42" s="2">
        <v>501</v>
      </c>
      <c r="J42" s="2" t="s">
        <v>2046</v>
      </c>
      <c r="O42" s="2" t="s">
        <v>1225</v>
      </c>
      <c r="P42" s="2" t="s">
        <v>1548</v>
      </c>
    </row>
    <row r="43" spans="1:16" x14ac:dyDescent="0.2">
      <c r="A43" s="2" t="s">
        <v>2423</v>
      </c>
      <c r="B43" s="2" t="s">
        <v>2467</v>
      </c>
      <c r="H43" s="2">
        <v>22</v>
      </c>
      <c r="I43" s="2">
        <v>501</v>
      </c>
      <c r="J43" s="2" t="s">
        <v>2047</v>
      </c>
      <c r="O43" s="2" t="s">
        <v>1226</v>
      </c>
      <c r="P43" s="2" t="s">
        <v>1549</v>
      </c>
    </row>
    <row r="44" spans="1:16" x14ac:dyDescent="0.2">
      <c r="A44" s="2" t="s">
        <v>2423</v>
      </c>
      <c r="B44" s="2" t="s">
        <v>2468</v>
      </c>
      <c r="H44" s="2">
        <v>22</v>
      </c>
      <c r="I44" s="2">
        <v>501</v>
      </c>
      <c r="J44" s="2" t="s">
        <v>2048</v>
      </c>
      <c r="O44" s="2" t="s">
        <v>1226</v>
      </c>
      <c r="P44" s="2" t="s">
        <v>1550</v>
      </c>
    </row>
    <row r="45" spans="1:16" x14ac:dyDescent="0.2">
      <c r="A45" s="2" t="s">
        <v>2423</v>
      </c>
      <c r="B45" s="2" t="s">
        <v>2469</v>
      </c>
      <c r="H45" s="2">
        <v>22</v>
      </c>
      <c r="I45" s="2">
        <v>501</v>
      </c>
      <c r="J45" s="2" t="s">
        <v>2049</v>
      </c>
      <c r="O45" s="2" t="s">
        <v>1226</v>
      </c>
      <c r="P45" s="2" t="s">
        <v>1551</v>
      </c>
    </row>
    <row r="46" spans="1:16" x14ac:dyDescent="0.2">
      <c r="A46" s="2" t="s">
        <v>2423</v>
      </c>
      <c r="B46" s="2" t="s">
        <v>2470</v>
      </c>
      <c r="H46" s="2">
        <v>22</v>
      </c>
      <c r="I46" s="2">
        <v>501</v>
      </c>
      <c r="J46" s="2" t="s">
        <v>2050</v>
      </c>
      <c r="O46" s="2" t="s">
        <v>1226</v>
      </c>
      <c r="P46" s="2" t="s">
        <v>1552</v>
      </c>
    </row>
    <row r="47" spans="1:16" x14ac:dyDescent="0.2">
      <c r="A47" s="2" t="s">
        <v>2423</v>
      </c>
      <c r="B47" s="2" t="s">
        <v>2471</v>
      </c>
      <c r="H47" s="2">
        <v>22</v>
      </c>
      <c r="I47" s="2">
        <v>501</v>
      </c>
      <c r="J47" s="2" t="s">
        <v>2051</v>
      </c>
      <c r="O47" s="2" t="s">
        <v>1227</v>
      </c>
      <c r="P47" s="2" t="s">
        <v>1553</v>
      </c>
    </row>
    <row r="48" spans="1:16" x14ac:dyDescent="0.2">
      <c r="A48" s="2" t="s">
        <v>2423</v>
      </c>
      <c r="B48" s="2" t="s">
        <v>2472</v>
      </c>
      <c r="H48" s="2">
        <v>22</v>
      </c>
      <c r="I48" s="2">
        <v>501</v>
      </c>
      <c r="J48" s="2" t="s">
        <v>2052</v>
      </c>
      <c r="O48" s="2" t="s">
        <v>1228</v>
      </c>
      <c r="P48" s="2" t="s">
        <v>1554</v>
      </c>
    </row>
    <row r="49" spans="1:16" x14ac:dyDescent="0.2">
      <c r="A49" s="2" t="s">
        <v>2423</v>
      </c>
      <c r="B49" s="2" t="s">
        <v>2473</v>
      </c>
      <c r="H49" s="2">
        <v>22</v>
      </c>
      <c r="I49" s="2">
        <v>501</v>
      </c>
      <c r="J49" s="2" t="s">
        <v>2053</v>
      </c>
      <c r="O49" s="2" t="s">
        <v>1228</v>
      </c>
      <c r="P49" s="2" t="s">
        <v>1555</v>
      </c>
    </row>
    <row r="50" spans="1:16" x14ac:dyDescent="0.2">
      <c r="A50" s="2" t="s">
        <v>2423</v>
      </c>
      <c r="B50" s="2" t="s">
        <v>2474</v>
      </c>
      <c r="H50" s="2">
        <v>22</v>
      </c>
      <c r="I50" s="2">
        <v>501</v>
      </c>
      <c r="J50" s="2" t="s">
        <v>2054</v>
      </c>
      <c r="O50" s="2" t="s">
        <v>1227</v>
      </c>
      <c r="P50" s="2" t="s">
        <v>1556</v>
      </c>
    </row>
    <row r="51" spans="1:16" x14ac:dyDescent="0.2">
      <c r="A51" s="2" t="s">
        <v>2423</v>
      </c>
      <c r="B51" s="2" t="s">
        <v>2475</v>
      </c>
      <c r="H51" s="2">
        <v>22</v>
      </c>
      <c r="I51" s="2">
        <v>501</v>
      </c>
      <c r="J51" s="2" t="s">
        <v>2055</v>
      </c>
      <c r="O51" s="2" t="s">
        <v>1227</v>
      </c>
      <c r="P51" s="2" t="s">
        <v>1557</v>
      </c>
    </row>
    <row r="52" spans="1:16" x14ac:dyDescent="0.2">
      <c r="A52" s="2" t="s">
        <v>2423</v>
      </c>
      <c r="B52" s="2" t="s">
        <v>2476</v>
      </c>
      <c r="H52" s="2">
        <v>22</v>
      </c>
      <c r="I52" s="2">
        <v>501</v>
      </c>
      <c r="J52" s="2" t="s">
        <v>2056</v>
      </c>
      <c r="O52" s="2" t="s">
        <v>1227</v>
      </c>
      <c r="P52" s="2" t="s">
        <v>1558</v>
      </c>
    </row>
    <row r="53" spans="1:16" x14ac:dyDescent="0.2">
      <c r="A53" s="2" t="s">
        <v>2423</v>
      </c>
      <c r="B53" s="2" t="s">
        <v>2477</v>
      </c>
      <c r="H53" s="2">
        <v>22</v>
      </c>
      <c r="I53" s="2">
        <v>501</v>
      </c>
      <c r="J53" s="2" t="s">
        <v>2057</v>
      </c>
      <c r="O53" s="2" t="s">
        <v>1229</v>
      </c>
      <c r="P53" s="2" t="s">
        <v>1559</v>
      </c>
    </row>
    <row r="54" spans="1:16" x14ac:dyDescent="0.2">
      <c r="A54" s="2" t="s">
        <v>2423</v>
      </c>
      <c r="B54" s="2" t="s">
        <v>2478</v>
      </c>
      <c r="H54" s="2">
        <v>22</v>
      </c>
      <c r="I54" s="2">
        <v>501</v>
      </c>
      <c r="J54" s="2" t="s">
        <v>2058</v>
      </c>
      <c r="O54" s="2" t="s">
        <v>1229</v>
      </c>
      <c r="P54" s="2" t="s">
        <v>1560</v>
      </c>
    </row>
    <row r="55" spans="1:16" x14ac:dyDescent="0.2">
      <c r="A55" s="2" t="s">
        <v>2423</v>
      </c>
      <c r="B55" s="2" t="s">
        <v>2479</v>
      </c>
      <c r="H55" s="2">
        <v>22</v>
      </c>
      <c r="I55" s="2">
        <v>501</v>
      </c>
      <c r="J55" s="2" t="s">
        <v>2059</v>
      </c>
      <c r="O55" s="2" t="s">
        <v>1230</v>
      </c>
      <c r="P55" s="2" t="s">
        <v>1561</v>
      </c>
    </row>
    <row r="56" spans="1:16" x14ac:dyDescent="0.2">
      <c r="A56" s="2" t="s">
        <v>2423</v>
      </c>
      <c r="B56" s="2" t="s">
        <v>2480</v>
      </c>
      <c r="H56" s="2">
        <v>22</v>
      </c>
      <c r="I56" s="2">
        <v>501</v>
      </c>
      <c r="J56" s="2" t="s">
        <v>2060</v>
      </c>
      <c r="O56" s="2" t="s">
        <v>1231</v>
      </c>
      <c r="P56" s="2" t="s">
        <v>1562</v>
      </c>
    </row>
    <row r="57" spans="1:16" x14ac:dyDescent="0.2">
      <c r="A57" s="2" t="s">
        <v>2423</v>
      </c>
      <c r="B57" s="2" t="s">
        <v>2481</v>
      </c>
      <c r="H57" s="2">
        <v>22</v>
      </c>
      <c r="I57" s="2">
        <v>501</v>
      </c>
      <c r="J57" s="2" t="s">
        <v>2061</v>
      </c>
      <c r="O57" s="2" t="s">
        <v>1232</v>
      </c>
      <c r="P57" s="2" t="s">
        <v>1563</v>
      </c>
    </row>
    <row r="58" spans="1:16" x14ac:dyDescent="0.2">
      <c r="A58" s="2" t="s">
        <v>2423</v>
      </c>
      <c r="B58" s="2" t="s">
        <v>2482</v>
      </c>
      <c r="H58" s="2">
        <v>22</v>
      </c>
      <c r="I58" s="2">
        <v>501</v>
      </c>
      <c r="J58" s="2" t="s">
        <v>2062</v>
      </c>
      <c r="O58" s="2" t="s">
        <v>1233</v>
      </c>
      <c r="P58" s="2" t="s">
        <v>1564</v>
      </c>
    </row>
    <row r="59" spans="1:16" x14ac:dyDescent="0.2">
      <c r="A59" s="2" t="s">
        <v>2423</v>
      </c>
      <c r="B59" s="2" t="s">
        <v>2483</v>
      </c>
      <c r="H59" s="2">
        <v>22</v>
      </c>
      <c r="I59" s="2">
        <v>501</v>
      </c>
      <c r="J59" s="2" t="s">
        <v>2063</v>
      </c>
      <c r="O59" s="2" t="s">
        <v>1234</v>
      </c>
      <c r="P59" s="2" t="s">
        <v>1565</v>
      </c>
    </row>
    <row r="60" spans="1:16" x14ac:dyDescent="0.2">
      <c r="A60" s="2" t="s">
        <v>2423</v>
      </c>
      <c r="B60" s="2" t="s">
        <v>2484</v>
      </c>
      <c r="H60" s="2">
        <v>22</v>
      </c>
      <c r="I60" s="2">
        <v>501</v>
      </c>
      <c r="J60" s="2" t="s">
        <v>2064</v>
      </c>
      <c r="O60" s="2" t="s">
        <v>1235</v>
      </c>
      <c r="P60" s="2" t="s">
        <v>1566</v>
      </c>
    </row>
    <row r="61" spans="1:16" x14ac:dyDescent="0.2">
      <c r="A61" s="2" t="s">
        <v>2423</v>
      </c>
      <c r="B61" s="2" t="s">
        <v>2485</v>
      </c>
      <c r="H61" s="2">
        <v>22</v>
      </c>
      <c r="I61" s="2">
        <v>501</v>
      </c>
      <c r="J61" s="2" t="s">
        <v>2065</v>
      </c>
      <c r="O61" s="2" t="s">
        <v>1236</v>
      </c>
      <c r="P61" s="2" t="s">
        <v>1567</v>
      </c>
    </row>
    <row r="62" spans="1:16" x14ac:dyDescent="0.2">
      <c r="A62" s="2" t="s">
        <v>2423</v>
      </c>
      <c r="B62" s="2" t="s">
        <v>2486</v>
      </c>
      <c r="H62" s="2">
        <v>22</v>
      </c>
      <c r="I62" s="2">
        <v>501</v>
      </c>
      <c r="J62" s="2" t="s">
        <v>2066</v>
      </c>
      <c r="O62" s="2" t="s">
        <v>1237</v>
      </c>
      <c r="P62" s="2" t="s">
        <v>1568</v>
      </c>
    </row>
    <row r="63" spans="1:16" x14ac:dyDescent="0.2">
      <c r="A63" s="2" t="s">
        <v>2423</v>
      </c>
      <c r="B63" s="2" t="s">
        <v>2487</v>
      </c>
      <c r="H63" s="2">
        <v>22</v>
      </c>
      <c r="I63" s="2">
        <v>501</v>
      </c>
      <c r="J63" s="2" t="s">
        <v>2067</v>
      </c>
      <c r="O63" s="2" t="s">
        <v>1237</v>
      </c>
      <c r="P63" s="2" t="s">
        <v>1569</v>
      </c>
    </row>
    <row r="64" spans="1:16" x14ac:dyDescent="0.2">
      <c r="A64" s="2" t="s">
        <v>2423</v>
      </c>
      <c r="B64" s="2" t="s">
        <v>2488</v>
      </c>
      <c r="H64" s="2">
        <v>22</v>
      </c>
      <c r="I64" s="2">
        <v>501</v>
      </c>
      <c r="J64" s="2" t="s">
        <v>2068</v>
      </c>
      <c r="O64" s="2" t="s">
        <v>1238</v>
      </c>
      <c r="P64" s="2" t="s">
        <v>1570</v>
      </c>
    </row>
    <row r="65" spans="1:16" x14ac:dyDescent="0.2">
      <c r="A65" s="2" t="s">
        <v>2423</v>
      </c>
      <c r="B65" s="2" t="s">
        <v>2489</v>
      </c>
      <c r="H65" s="2">
        <v>22</v>
      </c>
      <c r="I65" s="2">
        <v>501</v>
      </c>
      <c r="J65" s="2" t="s">
        <v>2069</v>
      </c>
      <c r="O65" s="2" t="s">
        <v>1239</v>
      </c>
      <c r="P65" s="2" t="s">
        <v>1571</v>
      </c>
    </row>
    <row r="66" spans="1:16" x14ac:dyDescent="0.2">
      <c r="A66" s="2" t="s">
        <v>2423</v>
      </c>
      <c r="B66" s="2" t="s">
        <v>2490</v>
      </c>
      <c r="H66" s="2">
        <v>22</v>
      </c>
      <c r="I66" s="2">
        <v>501</v>
      </c>
      <c r="J66" s="2" t="s">
        <v>2070</v>
      </c>
      <c r="O66" s="2" t="s">
        <v>1236</v>
      </c>
      <c r="P66" s="2" t="s">
        <v>1572</v>
      </c>
    </row>
    <row r="67" spans="1:16" x14ac:dyDescent="0.2">
      <c r="A67" s="2" t="s">
        <v>2423</v>
      </c>
      <c r="B67" s="2" t="s">
        <v>2491</v>
      </c>
      <c r="H67" s="2">
        <v>22</v>
      </c>
      <c r="I67" s="2">
        <v>501</v>
      </c>
      <c r="J67" s="2" t="s">
        <v>2071</v>
      </c>
      <c r="O67" s="2" t="s">
        <v>1236</v>
      </c>
      <c r="P67" s="2" t="s">
        <v>1573</v>
      </c>
    </row>
    <row r="68" spans="1:16" x14ac:dyDescent="0.2">
      <c r="A68" s="2" t="s">
        <v>2423</v>
      </c>
      <c r="B68" s="2" t="s">
        <v>2492</v>
      </c>
      <c r="H68" s="2">
        <v>22</v>
      </c>
      <c r="I68" s="2">
        <v>501</v>
      </c>
      <c r="J68" s="2" t="s">
        <v>2072</v>
      </c>
      <c r="O68" s="2" t="s">
        <v>1235</v>
      </c>
      <c r="P68" s="2" t="s">
        <v>1574</v>
      </c>
    </row>
    <row r="69" spans="1:16" x14ac:dyDescent="0.2">
      <c r="A69" s="2" t="s">
        <v>2423</v>
      </c>
      <c r="B69" s="2" t="s">
        <v>2493</v>
      </c>
      <c r="H69" s="2">
        <v>22</v>
      </c>
      <c r="I69" s="2">
        <v>501</v>
      </c>
      <c r="J69" s="2" t="s">
        <v>2073</v>
      </c>
      <c r="O69" s="2" t="s">
        <v>1235</v>
      </c>
      <c r="P69" s="2" t="s">
        <v>1575</v>
      </c>
    </row>
    <row r="70" spans="1:16" x14ac:dyDescent="0.2">
      <c r="A70" s="2" t="s">
        <v>2423</v>
      </c>
      <c r="B70" s="2" t="s">
        <v>2494</v>
      </c>
      <c r="H70" s="2">
        <v>22</v>
      </c>
      <c r="I70" s="2">
        <v>501</v>
      </c>
      <c r="J70" s="2" t="s">
        <v>2074</v>
      </c>
      <c r="O70" s="2" t="s">
        <v>1235</v>
      </c>
      <c r="P70" s="2" t="s">
        <v>1576</v>
      </c>
    </row>
    <row r="71" spans="1:16" x14ac:dyDescent="0.2">
      <c r="A71" s="2" t="s">
        <v>2423</v>
      </c>
      <c r="B71" s="2" t="s">
        <v>2495</v>
      </c>
      <c r="H71" s="2">
        <v>22</v>
      </c>
      <c r="I71" s="2">
        <v>501</v>
      </c>
      <c r="J71" s="2" t="s">
        <v>2075</v>
      </c>
      <c r="O71" s="2" t="s">
        <v>1235</v>
      </c>
      <c r="P71" s="2" t="s">
        <v>1577</v>
      </c>
    </row>
    <row r="72" spans="1:16" x14ac:dyDescent="0.2">
      <c r="A72" s="2" t="s">
        <v>2423</v>
      </c>
      <c r="B72" s="2" t="s">
        <v>2496</v>
      </c>
      <c r="H72" s="2">
        <v>22</v>
      </c>
      <c r="I72" s="2">
        <v>501</v>
      </c>
      <c r="J72" s="2" t="s">
        <v>2076</v>
      </c>
      <c r="O72" s="2" t="s">
        <v>1240</v>
      </c>
      <c r="P72" s="2" t="s">
        <v>1578</v>
      </c>
    </row>
    <row r="73" spans="1:16" x14ac:dyDescent="0.2">
      <c r="A73" s="2" t="s">
        <v>2423</v>
      </c>
      <c r="B73" s="2" t="s">
        <v>2497</v>
      </c>
      <c r="H73" s="2">
        <v>22</v>
      </c>
      <c r="I73" s="2">
        <v>501</v>
      </c>
      <c r="J73" s="2" t="s">
        <v>2077</v>
      </c>
      <c r="O73" s="2" t="s">
        <v>1235</v>
      </c>
      <c r="P73" s="2" t="s">
        <v>1579</v>
      </c>
    </row>
    <row r="74" spans="1:16" x14ac:dyDescent="0.2">
      <c r="A74" s="2" t="s">
        <v>2423</v>
      </c>
      <c r="B74" s="2" t="s">
        <v>2498</v>
      </c>
      <c r="H74" s="2">
        <v>22</v>
      </c>
      <c r="I74" s="2">
        <v>501</v>
      </c>
      <c r="J74" s="2" t="s">
        <v>2078</v>
      </c>
      <c r="O74" s="2" t="s">
        <v>1235</v>
      </c>
      <c r="P74" s="2" t="s">
        <v>1580</v>
      </c>
    </row>
    <row r="75" spans="1:16" x14ac:dyDescent="0.2">
      <c r="A75" s="2" t="s">
        <v>2423</v>
      </c>
      <c r="B75" s="2" t="s">
        <v>2499</v>
      </c>
      <c r="H75" s="2">
        <v>22</v>
      </c>
      <c r="I75" s="2">
        <v>501</v>
      </c>
      <c r="J75" s="2" t="s">
        <v>2079</v>
      </c>
      <c r="O75" s="2" t="s">
        <v>1234</v>
      </c>
      <c r="P75" s="2" t="s">
        <v>1581</v>
      </c>
    </row>
    <row r="76" spans="1:16" x14ac:dyDescent="0.2">
      <c r="A76" s="2" t="s">
        <v>2423</v>
      </c>
      <c r="B76" s="2" t="s">
        <v>2500</v>
      </c>
      <c r="H76" s="2">
        <v>22</v>
      </c>
      <c r="I76" s="2">
        <v>501</v>
      </c>
      <c r="J76" s="2" t="s">
        <v>2080</v>
      </c>
      <c r="O76" s="2" t="s">
        <v>1234</v>
      </c>
      <c r="P76" s="2" t="s">
        <v>1582</v>
      </c>
    </row>
    <row r="77" spans="1:16" x14ac:dyDescent="0.2">
      <c r="A77" s="2" t="s">
        <v>2423</v>
      </c>
      <c r="B77" s="2" t="s">
        <v>2501</v>
      </c>
      <c r="H77" s="2">
        <v>22</v>
      </c>
      <c r="I77" s="2">
        <v>501</v>
      </c>
      <c r="J77" s="2" t="s">
        <v>2081</v>
      </c>
      <c r="O77" s="2" t="s">
        <v>1234</v>
      </c>
      <c r="P77" s="2" t="s">
        <v>1583</v>
      </c>
    </row>
    <row r="78" spans="1:16" x14ac:dyDescent="0.2">
      <c r="A78" s="2" t="s">
        <v>2423</v>
      </c>
      <c r="B78" s="2" t="s">
        <v>2502</v>
      </c>
      <c r="H78" s="2">
        <v>22</v>
      </c>
      <c r="I78" s="2">
        <v>501</v>
      </c>
      <c r="J78" s="2" t="s">
        <v>2082</v>
      </c>
      <c r="O78" s="2" t="s">
        <v>1234</v>
      </c>
      <c r="P78" s="2" t="s">
        <v>1584</v>
      </c>
    </row>
    <row r="79" spans="1:16" x14ac:dyDescent="0.2">
      <c r="A79" s="2" t="s">
        <v>2423</v>
      </c>
      <c r="B79" s="2" t="s">
        <v>2503</v>
      </c>
      <c r="H79" s="2">
        <v>22</v>
      </c>
      <c r="I79" s="2">
        <v>501</v>
      </c>
      <c r="J79" s="2" t="s">
        <v>2083</v>
      </c>
      <c r="O79" s="2" t="s">
        <v>1234</v>
      </c>
      <c r="P79" s="2" t="s">
        <v>1585</v>
      </c>
    </row>
    <row r="80" spans="1:16" x14ac:dyDescent="0.2">
      <c r="A80" s="2" t="s">
        <v>2423</v>
      </c>
      <c r="B80" s="2" t="s">
        <v>2504</v>
      </c>
      <c r="H80" s="2">
        <v>22</v>
      </c>
      <c r="I80" s="2">
        <v>501</v>
      </c>
      <c r="J80" s="2" t="s">
        <v>2084</v>
      </c>
      <c r="O80" s="2" t="s">
        <v>1234</v>
      </c>
      <c r="P80" s="2" t="s">
        <v>1586</v>
      </c>
    </row>
    <row r="81" spans="1:16" x14ac:dyDescent="0.2">
      <c r="A81" s="2" t="s">
        <v>2423</v>
      </c>
      <c r="B81" s="2" t="s">
        <v>2505</v>
      </c>
      <c r="H81" s="2">
        <v>22</v>
      </c>
      <c r="I81" s="2">
        <v>501</v>
      </c>
      <c r="J81" s="2" t="s">
        <v>2085</v>
      </c>
      <c r="O81" s="2" t="s">
        <v>1233</v>
      </c>
      <c r="P81" s="2" t="s">
        <v>1587</v>
      </c>
    </row>
    <row r="82" spans="1:16" x14ac:dyDescent="0.2">
      <c r="A82" s="2" t="s">
        <v>2423</v>
      </c>
      <c r="B82" s="2" t="s">
        <v>2506</v>
      </c>
      <c r="H82" s="2">
        <v>22</v>
      </c>
      <c r="I82" s="2">
        <v>501</v>
      </c>
      <c r="J82" s="2" t="s">
        <v>2086</v>
      </c>
      <c r="O82" s="2" t="s">
        <v>1234</v>
      </c>
      <c r="P82" s="2" t="s">
        <v>1588</v>
      </c>
    </row>
    <row r="83" spans="1:16" x14ac:dyDescent="0.2">
      <c r="A83" s="2" t="s">
        <v>2423</v>
      </c>
      <c r="B83" s="2" t="s">
        <v>2507</v>
      </c>
      <c r="H83" s="2">
        <v>22</v>
      </c>
      <c r="I83" s="2">
        <v>501</v>
      </c>
      <c r="J83" s="2" t="s">
        <v>2087</v>
      </c>
      <c r="O83" s="2" t="s">
        <v>1233</v>
      </c>
      <c r="P83" s="2" t="s">
        <v>1589</v>
      </c>
    </row>
    <row r="84" spans="1:16" x14ac:dyDescent="0.2">
      <c r="A84" s="2" t="s">
        <v>2423</v>
      </c>
      <c r="B84" s="2" t="s">
        <v>2508</v>
      </c>
      <c r="H84" s="2">
        <v>22</v>
      </c>
      <c r="I84" s="2">
        <v>501</v>
      </c>
      <c r="J84" s="2" t="s">
        <v>2088</v>
      </c>
      <c r="O84" s="2" t="s">
        <v>1241</v>
      </c>
      <c r="P84" s="2" t="s">
        <v>1590</v>
      </c>
    </row>
    <row r="85" spans="1:16" x14ac:dyDescent="0.2">
      <c r="A85" s="2" t="s">
        <v>2423</v>
      </c>
      <c r="B85" s="2" t="s">
        <v>2509</v>
      </c>
      <c r="H85" s="2">
        <v>22</v>
      </c>
      <c r="I85" s="2">
        <v>501</v>
      </c>
      <c r="J85" s="2" t="s">
        <v>2089</v>
      </c>
      <c r="O85" s="2" t="s">
        <v>1233</v>
      </c>
      <c r="P85" s="2" t="s">
        <v>1591</v>
      </c>
    </row>
    <row r="86" spans="1:16" x14ac:dyDescent="0.2">
      <c r="A86" s="2" t="s">
        <v>2423</v>
      </c>
      <c r="B86" s="2" t="s">
        <v>2510</v>
      </c>
      <c r="H86" s="2">
        <v>22</v>
      </c>
      <c r="I86" s="2">
        <v>501</v>
      </c>
      <c r="J86" s="2" t="s">
        <v>2090</v>
      </c>
      <c r="O86" s="2" t="s">
        <v>1232</v>
      </c>
      <c r="P86" s="2" t="s">
        <v>1592</v>
      </c>
    </row>
    <row r="87" spans="1:16" x14ac:dyDescent="0.2">
      <c r="A87" s="2" t="s">
        <v>2423</v>
      </c>
      <c r="B87" s="2" t="s">
        <v>2511</v>
      </c>
      <c r="H87" s="2">
        <v>22</v>
      </c>
      <c r="I87" s="2">
        <v>501</v>
      </c>
      <c r="J87" s="2" t="s">
        <v>2091</v>
      </c>
      <c r="O87" s="2" t="s">
        <v>1232</v>
      </c>
      <c r="P87" s="2" t="s">
        <v>1593</v>
      </c>
    </row>
    <row r="88" spans="1:16" x14ac:dyDescent="0.2">
      <c r="A88" s="2" t="s">
        <v>2423</v>
      </c>
      <c r="B88" s="2" t="s">
        <v>2512</v>
      </c>
      <c r="H88" s="2">
        <v>22</v>
      </c>
      <c r="I88" s="2">
        <v>501</v>
      </c>
      <c r="J88" s="2" t="s">
        <v>2092</v>
      </c>
      <c r="O88" s="2" t="s">
        <v>1242</v>
      </c>
      <c r="P88" s="2" t="s">
        <v>1594</v>
      </c>
    </row>
    <row r="89" spans="1:16" x14ac:dyDescent="0.2">
      <c r="A89" s="2" t="s">
        <v>2423</v>
      </c>
      <c r="B89" s="2" t="s">
        <v>2513</v>
      </c>
      <c r="H89" s="2">
        <v>22</v>
      </c>
      <c r="I89" s="2">
        <v>501</v>
      </c>
      <c r="J89" s="2" t="s">
        <v>2093</v>
      </c>
      <c r="O89" s="2" t="s">
        <v>1232</v>
      </c>
      <c r="P89" s="2" t="s">
        <v>1595</v>
      </c>
    </row>
    <row r="90" spans="1:16" x14ac:dyDescent="0.2">
      <c r="A90" s="2" t="s">
        <v>2423</v>
      </c>
      <c r="B90" s="2" t="s">
        <v>2514</v>
      </c>
      <c r="H90" s="2">
        <v>22</v>
      </c>
      <c r="I90" s="2">
        <v>501</v>
      </c>
      <c r="J90" s="2" t="s">
        <v>2094</v>
      </c>
      <c r="O90" s="2" t="s">
        <v>1243</v>
      </c>
      <c r="P90" s="2" t="s">
        <v>1596</v>
      </c>
    </row>
    <row r="91" spans="1:16" x14ac:dyDescent="0.2">
      <c r="A91" s="2" t="s">
        <v>2423</v>
      </c>
      <c r="B91" s="2" t="s">
        <v>2515</v>
      </c>
      <c r="H91" s="2">
        <v>22</v>
      </c>
      <c r="I91" s="2">
        <v>501</v>
      </c>
      <c r="J91" s="2" t="s">
        <v>2095</v>
      </c>
      <c r="O91" s="2" t="s">
        <v>1244</v>
      </c>
      <c r="P91" s="2" t="s">
        <v>1597</v>
      </c>
    </row>
    <row r="92" spans="1:16" x14ac:dyDescent="0.2">
      <c r="A92" s="2" t="s">
        <v>2423</v>
      </c>
      <c r="B92" s="2" t="s">
        <v>2516</v>
      </c>
      <c r="H92" s="2">
        <v>22</v>
      </c>
      <c r="I92" s="2">
        <v>501</v>
      </c>
      <c r="J92" s="2" t="s">
        <v>2096</v>
      </c>
      <c r="O92" s="2" t="s">
        <v>1244</v>
      </c>
      <c r="P92" s="2" t="s">
        <v>1598</v>
      </c>
    </row>
    <row r="93" spans="1:16" x14ac:dyDescent="0.2">
      <c r="A93" s="2" t="s">
        <v>2423</v>
      </c>
      <c r="B93" s="2" t="s">
        <v>2517</v>
      </c>
      <c r="H93" s="2">
        <v>22</v>
      </c>
      <c r="I93" s="2">
        <v>501</v>
      </c>
      <c r="J93" s="2" t="s">
        <v>2097</v>
      </c>
      <c r="O93" s="2" t="s">
        <v>1245</v>
      </c>
      <c r="P93" s="2" t="s">
        <v>1599</v>
      </c>
    </row>
    <row r="94" spans="1:16" x14ac:dyDescent="0.2">
      <c r="A94" s="2" t="s">
        <v>2423</v>
      </c>
      <c r="B94" s="2" t="s">
        <v>2518</v>
      </c>
      <c r="H94" s="2">
        <v>22</v>
      </c>
      <c r="I94" s="2">
        <v>501</v>
      </c>
      <c r="J94" s="2" t="s">
        <v>2098</v>
      </c>
      <c r="O94" s="2" t="s">
        <v>1246</v>
      </c>
      <c r="P94" s="2" t="s">
        <v>1600</v>
      </c>
    </row>
    <row r="95" spans="1:16" x14ac:dyDescent="0.2">
      <c r="A95" s="2" t="s">
        <v>2423</v>
      </c>
      <c r="B95" s="2" t="s">
        <v>2519</v>
      </c>
      <c r="H95" s="2">
        <v>22</v>
      </c>
      <c r="I95" s="2">
        <v>501</v>
      </c>
      <c r="J95" s="2" t="s">
        <v>2099</v>
      </c>
      <c r="O95" s="2" t="s">
        <v>1247</v>
      </c>
      <c r="P95" s="2" t="s">
        <v>1601</v>
      </c>
    </row>
    <row r="96" spans="1:16" x14ac:dyDescent="0.2">
      <c r="A96" s="2" t="s">
        <v>2423</v>
      </c>
      <c r="B96" s="2" t="s">
        <v>2520</v>
      </c>
      <c r="H96" s="2">
        <v>22</v>
      </c>
      <c r="I96" s="2">
        <v>501</v>
      </c>
      <c r="J96" s="2" t="s">
        <v>2100</v>
      </c>
      <c r="O96" s="2" t="s">
        <v>1247</v>
      </c>
      <c r="P96" s="2" t="s">
        <v>1602</v>
      </c>
    </row>
    <row r="97" spans="1:16" x14ac:dyDescent="0.2">
      <c r="A97" s="2" t="s">
        <v>2423</v>
      </c>
      <c r="B97" s="2" t="s">
        <v>2521</v>
      </c>
      <c r="H97" s="2">
        <v>22</v>
      </c>
      <c r="I97" s="2">
        <v>501</v>
      </c>
      <c r="J97" s="2" t="s">
        <v>2101</v>
      </c>
      <c r="O97" s="2" t="s">
        <v>1248</v>
      </c>
      <c r="P97" s="2" t="s">
        <v>1603</v>
      </c>
    </row>
    <row r="98" spans="1:16" x14ac:dyDescent="0.2">
      <c r="A98" s="2" t="s">
        <v>2423</v>
      </c>
      <c r="B98" s="2" t="s">
        <v>2522</v>
      </c>
      <c r="H98" s="2">
        <v>22</v>
      </c>
      <c r="I98" s="2">
        <v>501</v>
      </c>
      <c r="J98" s="2" t="s">
        <v>2102</v>
      </c>
      <c r="O98" s="2" t="s">
        <v>1249</v>
      </c>
      <c r="P98" s="2" t="s">
        <v>1604</v>
      </c>
    </row>
    <row r="99" spans="1:16" x14ac:dyDescent="0.2">
      <c r="A99" s="2" t="s">
        <v>2423</v>
      </c>
      <c r="B99" s="2" t="s">
        <v>2523</v>
      </c>
      <c r="H99" s="2">
        <v>22</v>
      </c>
      <c r="I99" s="2">
        <v>501</v>
      </c>
      <c r="J99" s="2" t="s">
        <v>2047</v>
      </c>
      <c r="O99" s="2" t="s">
        <v>1250</v>
      </c>
      <c r="P99" s="2" t="s">
        <v>1605</v>
      </c>
    </row>
    <row r="100" spans="1:16" x14ac:dyDescent="0.2">
      <c r="A100" s="2" t="s">
        <v>2423</v>
      </c>
      <c r="B100" s="2" t="s">
        <v>2524</v>
      </c>
      <c r="H100" s="2">
        <v>22</v>
      </c>
      <c r="I100" s="2">
        <v>501</v>
      </c>
      <c r="J100" s="2" t="s">
        <v>2103</v>
      </c>
      <c r="O100" s="2" t="s">
        <v>1251</v>
      </c>
      <c r="P100" s="2" t="s">
        <v>1606</v>
      </c>
    </row>
    <row r="101" spans="1:16" x14ac:dyDescent="0.2">
      <c r="A101" s="2" t="s">
        <v>2423</v>
      </c>
      <c r="B101" s="2" t="s">
        <v>2525</v>
      </c>
      <c r="H101" s="2">
        <v>22</v>
      </c>
      <c r="I101" s="2">
        <v>501</v>
      </c>
      <c r="J101" s="2" t="s">
        <v>2104</v>
      </c>
      <c r="O101" s="2" t="s">
        <v>1252</v>
      </c>
      <c r="P101" s="2" t="s">
        <v>1607</v>
      </c>
    </row>
    <row r="102" spans="1:16" x14ac:dyDescent="0.2">
      <c r="A102" s="2" t="s">
        <v>2423</v>
      </c>
      <c r="B102" s="2" t="s">
        <v>2526</v>
      </c>
      <c r="H102" s="2">
        <v>22</v>
      </c>
      <c r="I102" s="2">
        <v>501</v>
      </c>
      <c r="J102" s="2" t="s">
        <v>2105</v>
      </c>
      <c r="O102" s="2" t="s">
        <v>1253</v>
      </c>
      <c r="P102" s="2" t="s">
        <v>1608</v>
      </c>
    </row>
    <row r="103" spans="1:16" x14ac:dyDescent="0.2">
      <c r="A103" s="2" t="s">
        <v>2423</v>
      </c>
      <c r="B103" s="2" t="s">
        <v>2527</v>
      </c>
      <c r="H103" s="2">
        <v>22</v>
      </c>
      <c r="I103" s="2">
        <v>501</v>
      </c>
      <c r="J103" s="2" t="s">
        <v>2106</v>
      </c>
      <c r="O103" s="2" t="s">
        <v>1254</v>
      </c>
      <c r="P103" s="2" t="s">
        <v>1609</v>
      </c>
    </row>
    <row r="104" spans="1:16" x14ac:dyDescent="0.2">
      <c r="A104" s="2" t="s">
        <v>2423</v>
      </c>
      <c r="B104" s="2" t="s">
        <v>2528</v>
      </c>
      <c r="H104" s="2">
        <v>22</v>
      </c>
      <c r="I104" s="2">
        <v>501</v>
      </c>
      <c r="J104" s="2" t="s">
        <v>2107</v>
      </c>
      <c r="O104" s="2" t="s">
        <v>1255</v>
      </c>
      <c r="P104" s="2" t="s">
        <v>1610</v>
      </c>
    </row>
    <row r="105" spans="1:16" x14ac:dyDescent="0.2">
      <c r="A105" s="2" t="s">
        <v>2423</v>
      </c>
      <c r="B105" s="2" t="s">
        <v>2529</v>
      </c>
      <c r="H105" s="2">
        <v>22</v>
      </c>
      <c r="I105" s="2">
        <v>501</v>
      </c>
      <c r="J105" s="2" t="s">
        <v>2108</v>
      </c>
      <c r="O105" s="2" t="s">
        <v>1256</v>
      </c>
      <c r="P105" s="2" t="s">
        <v>1611</v>
      </c>
    </row>
    <row r="106" spans="1:16" x14ac:dyDescent="0.2">
      <c r="A106" s="2" t="s">
        <v>2423</v>
      </c>
      <c r="B106" s="2" t="s">
        <v>2530</v>
      </c>
      <c r="H106" s="2">
        <v>22</v>
      </c>
      <c r="I106" s="2">
        <v>501</v>
      </c>
      <c r="J106" s="2" t="s">
        <v>2109</v>
      </c>
      <c r="O106" s="2" t="s">
        <v>1257</v>
      </c>
      <c r="P106" s="2" t="s">
        <v>1612</v>
      </c>
    </row>
    <row r="107" spans="1:16" x14ac:dyDescent="0.2">
      <c r="A107" s="2" t="s">
        <v>2423</v>
      </c>
      <c r="B107" s="2" t="s">
        <v>2531</v>
      </c>
      <c r="H107" s="2">
        <v>22</v>
      </c>
      <c r="I107" s="2">
        <v>501</v>
      </c>
      <c r="J107" s="2" t="s">
        <v>2110</v>
      </c>
      <c r="O107" s="2" t="s">
        <v>1258</v>
      </c>
      <c r="P107" s="2" t="s">
        <v>1613</v>
      </c>
    </row>
    <row r="108" spans="1:16" x14ac:dyDescent="0.2">
      <c r="A108" s="2" t="s">
        <v>2423</v>
      </c>
      <c r="B108" s="2" t="s">
        <v>2532</v>
      </c>
      <c r="H108" s="2">
        <v>22</v>
      </c>
      <c r="I108" s="2">
        <v>501</v>
      </c>
      <c r="J108" s="2" t="s">
        <v>2111</v>
      </c>
      <c r="O108" s="2" t="s">
        <v>1259</v>
      </c>
      <c r="P108" s="2" t="s">
        <v>1614</v>
      </c>
    </row>
    <row r="109" spans="1:16" x14ac:dyDescent="0.2">
      <c r="A109" s="2" t="s">
        <v>2423</v>
      </c>
      <c r="B109" s="2" t="s">
        <v>2533</v>
      </c>
      <c r="H109" s="2">
        <v>22</v>
      </c>
      <c r="I109" s="2">
        <v>501</v>
      </c>
      <c r="J109" s="2" t="s">
        <v>2112</v>
      </c>
      <c r="O109" s="2" t="s">
        <v>1260</v>
      </c>
      <c r="P109" s="2" t="s">
        <v>1615</v>
      </c>
    </row>
    <row r="110" spans="1:16" x14ac:dyDescent="0.2">
      <c r="A110" s="2" t="s">
        <v>2423</v>
      </c>
      <c r="B110" s="2" t="s">
        <v>2534</v>
      </c>
      <c r="H110" s="2">
        <v>22</v>
      </c>
      <c r="I110" s="2">
        <v>501</v>
      </c>
      <c r="J110" s="2" t="s">
        <v>2113</v>
      </c>
      <c r="O110" s="2" t="s">
        <v>1261</v>
      </c>
      <c r="P110" s="2" t="s">
        <v>1616</v>
      </c>
    </row>
    <row r="111" spans="1:16" x14ac:dyDescent="0.2">
      <c r="A111" s="2" t="s">
        <v>2423</v>
      </c>
      <c r="B111" s="2" t="s">
        <v>2535</v>
      </c>
      <c r="H111" s="2">
        <v>22</v>
      </c>
      <c r="I111" s="2">
        <v>501</v>
      </c>
      <c r="J111" s="2" t="s">
        <v>2114</v>
      </c>
      <c r="O111" s="2" t="s">
        <v>1262</v>
      </c>
      <c r="P111" s="2" t="s">
        <v>1617</v>
      </c>
    </row>
    <row r="112" spans="1:16" x14ac:dyDescent="0.2">
      <c r="A112" s="2" t="s">
        <v>2423</v>
      </c>
      <c r="B112" s="2" t="s">
        <v>2536</v>
      </c>
      <c r="H112" s="2">
        <v>22</v>
      </c>
      <c r="I112" s="2">
        <v>501</v>
      </c>
      <c r="J112" s="2" t="s">
        <v>2115</v>
      </c>
      <c r="O112" s="2" t="s">
        <v>1263</v>
      </c>
      <c r="P112" s="2" t="s">
        <v>1618</v>
      </c>
    </row>
    <row r="113" spans="1:16" x14ac:dyDescent="0.2">
      <c r="A113" s="2" t="s">
        <v>2423</v>
      </c>
      <c r="B113" s="2" t="s">
        <v>2537</v>
      </c>
      <c r="H113" s="2">
        <v>22</v>
      </c>
      <c r="I113" s="2">
        <v>501</v>
      </c>
      <c r="J113" s="2" t="s">
        <v>2116</v>
      </c>
      <c r="O113" s="2" t="s">
        <v>1264</v>
      </c>
      <c r="P113" s="2" t="s">
        <v>1619</v>
      </c>
    </row>
    <row r="114" spans="1:16" x14ac:dyDescent="0.2">
      <c r="A114" s="2" t="s">
        <v>2423</v>
      </c>
      <c r="B114" s="2" t="s">
        <v>2538</v>
      </c>
      <c r="H114" s="2">
        <v>22</v>
      </c>
      <c r="I114" s="2">
        <v>501</v>
      </c>
      <c r="J114" s="2" t="s">
        <v>2117</v>
      </c>
      <c r="O114" s="2" t="s">
        <v>1265</v>
      </c>
      <c r="P114" s="2" t="s">
        <v>1620</v>
      </c>
    </row>
    <row r="115" spans="1:16" x14ac:dyDescent="0.2">
      <c r="A115" s="2" t="s">
        <v>2423</v>
      </c>
      <c r="B115" s="2" t="s">
        <v>2539</v>
      </c>
      <c r="H115" s="2">
        <v>22</v>
      </c>
      <c r="I115" s="2">
        <v>501</v>
      </c>
      <c r="J115" s="2" t="s">
        <v>2118</v>
      </c>
      <c r="O115" s="2" t="s">
        <v>1266</v>
      </c>
      <c r="P115" s="2" t="s">
        <v>1621</v>
      </c>
    </row>
    <row r="116" spans="1:16" x14ac:dyDescent="0.2">
      <c r="A116" s="2" t="s">
        <v>2423</v>
      </c>
      <c r="B116" s="2" t="s">
        <v>2540</v>
      </c>
      <c r="H116" s="2">
        <v>22</v>
      </c>
      <c r="I116" s="2">
        <v>501</v>
      </c>
      <c r="J116" s="2" t="s">
        <v>2119</v>
      </c>
      <c r="O116" s="2" t="s">
        <v>1267</v>
      </c>
      <c r="P116" s="2" t="s">
        <v>1622</v>
      </c>
    </row>
    <row r="117" spans="1:16" x14ac:dyDescent="0.2">
      <c r="A117" s="2" t="s">
        <v>2423</v>
      </c>
      <c r="B117" s="2" t="s">
        <v>2541</v>
      </c>
      <c r="H117" s="2">
        <v>22</v>
      </c>
      <c r="I117" s="2">
        <v>501</v>
      </c>
      <c r="J117" s="2" t="s">
        <v>2120</v>
      </c>
      <c r="O117" s="2" t="s">
        <v>1268</v>
      </c>
      <c r="P117" s="2" t="s">
        <v>1623</v>
      </c>
    </row>
    <row r="118" spans="1:16" x14ac:dyDescent="0.2">
      <c r="A118" s="2" t="s">
        <v>2423</v>
      </c>
      <c r="B118" s="2" t="s">
        <v>2542</v>
      </c>
      <c r="H118" s="2">
        <v>22</v>
      </c>
      <c r="I118" s="2">
        <v>501</v>
      </c>
      <c r="J118" s="2" t="s">
        <v>2121</v>
      </c>
      <c r="O118" s="2" t="s">
        <v>1269</v>
      </c>
      <c r="P118" s="2" t="s">
        <v>1624</v>
      </c>
    </row>
    <row r="119" spans="1:16" x14ac:dyDescent="0.2">
      <c r="A119" s="2" t="s">
        <v>2423</v>
      </c>
      <c r="B119" s="2" t="s">
        <v>2543</v>
      </c>
      <c r="H119" s="2">
        <v>22</v>
      </c>
      <c r="I119" s="2">
        <v>501</v>
      </c>
      <c r="J119" s="2" t="s">
        <v>2122</v>
      </c>
      <c r="O119" s="2" t="s">
        <v>1270</v>
      </c>
      <c r="P119" s="2" t="s">
        <v>1625</v>
      </c>
    </row>
    <row r="120" spans="1:16" x14ac:dyDescent="0.2">
      <c r="A120" s="2" t="s">
        <v>2423</v>
      </c>
      <c r="B120" s="2" t="s">
        <v>2544</v>
      </c>
      <c r="H120" s="2">
        <v>22</v>
      </c>
      <c r="I120" s="2">
        <v>501</v>
      </c>
      <c r="J120" s="2" t="s">
        <v>2123</v>
      </c>
      <c r="O120" s="2" t="s">
        <v>1271</v>
      </c>
      <c r="P120" s="2" t="s">
        <v>1626</v>
      </c>
    </row>
    <row r="121" spans="1:16" x14ac:dyDescent="0.2">
      <c r="A121" s="2" t="s">
        <v>2423</v>
      </c>
      <c r="B121" s="2" t="s">
        <v>2545</v>
      </c>
      <c r="H121" s="2">
        <v>22</v>
      </c>
      <c r="I121" s="2">
        <v>501</v>
      </c>
      <c r="J121" s="2" t="s">
        <v>2124</v>
      </c>
      <c r="O121" s="2" t="s">
        <v>1272</v>
      </c>
      <c r="P121" s="2" t="s">
        <v>1627</v>
      </c>
    </row>
    <row r="122" spans="1:16" x14ac:dyDescent="0.2">
      <c r="A122" s="2" t="s">
        <v>2423</v>
      </c>
      <c r="B122" s="2" t="s">
        <v>2546</v>
      </c>
      <c r="H122" s="2">
        <v>22</v>
      </c>
      <c r="I122" s="2">
        <v>501</v>
      </c>
      <c r="J122" s="2" t="s">
        <v>2006</v>
      </c>
      <c r="O122" s="2" t="s">
        <v>1196</v>
      </c>
      <c r="P122" s="2" t="s">
        <v>1509</v>
      </c>
    </row>
    <row r="123" spans="1:16" x14ac:dyDescent="0.2">
      <c r="A123" s="2" t="s">
        <v>2423</v>
      </c>
      <c r="B123" s="2" t="s">
        <v>2547</v>
      </c>
      <c r="H123" s="2">
        <v>22</v>
      </c>
      <c r="I123" s="2">
        <v>501</v>
      </c>
      <c r="J123" s="2" t="s">
        <v>2007</v>
      </c>
      <c r="O123" s="2" t="s">
        <v>1273</v>
      </c>
      <c r="P123" s="2" t="s">
        <v>1510</v>
      </c>
    </row>
    <row r="124" spans="1:16" x14ac:dyDescent="0.2">
      <c r="A124" s="2" t="s">
        <v>2423</v>
      </c>
      <c r="B124" s="2" t="s">
        <v>2548</v>
      </c>
      <c r="H124" s="2">
        <v>22</v>
      </c>
      <c r="I124" s="2">
        <v>501</v>
      </c>
      <c r="J124" s="2" t="s">
        <v>2008</v>
      </c>
      <c r="O124" s="2" t="s">
        <v>1197</v>
      </c>
      <c r="P124" s="2" t="s">
        <v>1511</v>
      </c>
    </row>
    <row r="125" spans="1:16" x14ac:dyDescent="0.2">
      <c r="A125" s="2" t="s">
        <v>2423</v>
      </c>
      <c r="B125" s="2" t="s">
        <v>2549</v>
      </c>
      <c r="H125" s="2">
        <v>22</v>
      </c>
      <c r="I125" s="2">
        <v>501</v>
      </c>
      <c r="J125" s="2" t="s">
        <v>2009</v>
      </c>
      <c r="O125" s="2" t="s">
        <v>1274</v>
      </c>
      <c r="P125" s="2" t="s">
        <v>1628</v>
      </c>
    </row>
    <row r="126" spans="1:16" x14ac:dyDescent="0.2">
      <c r="A126" s="2" t="s">
        <v>2423</v>
      </c>
      <c r="B126" s="2" t="s">
        <v>2550</v>
      </c>
      <c r="H126" s="2">
        <v>22</v>
      </c>
      <c r="I126" s="2">
        <v>501</v>
      </c>
      <c r="J126" s="2" t="s">
        <v>2010</v>
      </c>
      <c r="O126" s="2" t="s">
        <v>1196</v>
      </c>
      <c r="P126" s="2" t="s">
        <v>1629</v>
      </c>
    </row>
    <row r="127" spans="1:16" x14ac:dyDescent="0.2">
      <c r="A127" s="2" t="s">
        <v>2423</v>
      </c>
      <c r="B127" s="2" t="s">
        <v>2551</v>
      </c>
      <c r="H127" s="2">
        <v>22</v>
      </c>
      <c r="I127" s="2">
        <v>501</v>
      </c>
      <c r="J127" s="2" t="s">
        <v>2011</v>
      </c>
      <c r="O127" s="2" t="s">
        <v>1196</v>
      </c>
      <c r="P127" s="2" t="s">
        <v>1630</v>
      </c>
    </row>
    <row r="128" spans="1:16" x14ac:dyDescent="0.2">
      <c r="A128" s="2" t="s">
        <v>2423</v>
      </c>
      <c r="B128" s="2" t="s">
        <v>2552</v>
      </c>
      <c r="H128" s="2">
        <v>22</v>
      </c>
      <c r="I128" s="2">
        <v>501</v>
      </c>
      <c r="J128" s="2" t="s">
        <v>2012</v>
      </c>
      <c r="O128" s="2" t="s">
        <v>1196</v>
      </c>
      <c r="P128" s="2" t="s">
        <v>1514</v>
      </c>
    </row>
    <row r="129" spans="1:16" x14ac:dyDescent="0.2">
      <c r="A129" s="2" t="s">
        <v>2423</v>
      </c>
      <c r="B129" s="2" t="s">
        <v>2553</v>
      </c>
      <c r="H129" s="2">
        <v>22</v>
      </c>
      <c r="I129" s="2">
        <v>501</v>
      </c>
      <c r="J129" s="2" t="s">
        <v>2013</v>
      </c>
      <c r="O129" s="2" t="s">
        <v>1196</v>
      </c>
      <c r="P129" s="2" t="s">
        <v>1515</v>
      </c>
    </row>
    <row r="130" spans="1:16" x14ac:dyDescent="0.2">
      <c r="A130" s="2" t="s">
        <v>2423</v>
      </c>
      <c r="B130" s="2" t="s">
        <v>2554</v>
      </c>
      <c r="H130" s="2">
        <v>22</v>
      </c>
      <c r="I130" s="2">
        <v>501</v>
      </c>
      <c r="J130" s="2" t="s">
        <v>2014</v>
      </c>
      <c r="O130" s="2" t="s">
        <v>1275</v>
      </c>
      <c r="P130" s="2" t="s">
        <v>1516</v>
      </c>
    </row>
    <row r="131" spans="1:16" x14ac:dyDescent="0.2">
      <c r="A131" s="2" t="s">
        <v>2423</v>
      </c>
      <c r="B131" s="2" t="s">
        <v>2555</v>
      </c>
      <c r="H131" s="2">
        <v>22</v>
      </c>
      <c r="I131" s="2">
        <v>501</v>
      </c>
      <c r="J131" s="2" t="s">
        <v>2015</v>
      </c>
      <c r="O131" s="2" t="s">
        <v>1197</v>
      </c>
      <c r="P131" s="2" t="s">
        <v>1631</v>
      </c>
    </row>
    <row r="132" spans="1:16" x14ac:dyDescent="0.2">
      <c r="A132" s="2" t="s">
        <v>2423</v>
      </c>
      <c r="B132" s="2" t="s">
        <v>2556</v>
      </c>
      <c r="H132" s="2">
        <v>22</v>
      </c>
      <c r="I132" s="2">
        <v>501</v>
      </c>
      <c r="J132" s="2" t="s">
        <v>2016</v>
      </c>
      <c r="O132" s="2" t="s">
        <v>1193</v>
      </c>
      <c r="P132" s="2" t="s">
        <v>1518</v>
      </c>
    </row>
    <row r="133" spans="1:16" x14ac:dyDescent="0.2">
      <c r="A133" s="2" t="s">
        <v>2423</v>
      </c>
      <c r="B133" s="2" t="s">
        <v>2557</v>
      </c>
      <c r="H133" s="2">
        <v>22</v>
      </c>
      <c r="I133" s="2">
        <v>501</v>
      </c>
      <c r="J133" s="2" t="s">
        <v>2017</v>
      </c>
      <c r="O133" s="2" t="s">
        <v>1198</v>
      </c>
      <c r="P133" s="2" t="s">
        <v>1632</v>
      </c>
    </row>
    <row r="134" spans="1:16" x14ac:dyDescent="0.2">
      <c r="A134" s="2" t="s">
        <v>2423</v>
      </c>
      <c r="B134" s="2" t="s">
        <v>2558</v>
      </c>
      <c r="H134" s="2">
        <v>22</v>
      </c>
      <c r="I134" s="2">
        <v>501</v>
      </c>
      <c r="J134" s="2" t="s">
        <v>2018</v>
      </c>
      <c r="O134" s="2" t="s">
        <v>1276</v>
      </c>
      <c r="P134" s="2" t="s">
        <v>1633</v>
      </c>
    </row>
    <row r="135" spans="1:16" x14ac:dyDescent="0.2">
      <c r="A135" s="2" t="s">
        <v>2423</v>
      </c>
      <c r="B135" s="2" t="s">
        <v>2559</v>
      </c>
      <c r="H135" s="2">
        <v>22</v>
      </c>
      <c r="I135" s="2">
        <v>501</v>
      </c>
      <c r="J135" s="2" t="s">
        <v>2019</v>
      </c>
      <c r="O135" s="2" t="s">
        <v>1199</v>
      </c>
      <c r="P135" s="2" t="s">
        <v>1634</v>
      </c>
    </row>
    <row r="136" spans="1:16" x14ac:dyDescent="0.2">
      <c r="A136" s="2" t="s">
        <v>2423</v>
      </c>
      <c r="B136" s="2" t="s">
        <v>2560</v>
      </c>
      <c r="H136" s="2">
        <v>22</v>
      </c>
      <c r="I136" s="2">
        <v>501</v>
      </c>
      <c r="J136" s="2" t="s">
        <v>2020</v>
      </c>
      <c r="O136" s="2" t="s">
        <v>1277</v>
      </c>
      <c r="P136" s="2" t="s">
        <v>1635</v>
      </c>
    </row>
    <row r="137" spans="1:16" x14ac:dyDescent="0.2">
      <c r="A137" s="2" t="s">
        <v>2423</v>
      </c>
      <c r="B137" s="2" t="s">
        <v>2561</v>
      </c>
      <c r="H137" s="2">
        <v>22</v>
      </c>
      <c r="I137" s="2">
        <v>501</v>
      </c>
      <c r="J137" s="2" t="s">
        <v>2021</v>
      </c>
      <c r="O137" s="2" t="s">
        <v>1278</v>
      </c>
      <c r="P137" s="2" t="s">
        <v>1636</v>
      </c>
    </row>
    <row r="138" spans="1:16" x14ac:dyDescent="0.2">
      <c r="A138" s="2" t="s">
        <v>2423</v>
      </c>
      <c r="B138" s="2" t="s">
        <v>2562</v>
      </c>
      <c r="H138" s="2">
        <v>22</v>
      </c>
      <c r="I138" s="2">
        <v>501</v>
      </c>
      <c r="J138" s="2" t="s">
        <v>2022</v>
      </c>
      <c r="O138" s="2" t="s">
        <v>1202</v>
      </c>
      <c r="P138" s="2" t="s">
        <v>1637</v>
      </c>
    </row>
    <row r="139" spans="1:16" x14ac:dyDescent="0.2">
      <c r="A139" s="2" t="s">
        <v>2423</v>
      </c>
      <c r="B139" s="2" t="s">
        <v>2563</v>
      </c>
      <c r="H139" s="2">
        <v>22</v>
      </c>
      <c r="I139" s="2">
        <v>501</v>
      </c>
      <c r="J139" s="2" t="s">
        <v>2023</v>
      </c>
      <c r="O139" s="2" t="s">
        <v>1203</v>
      </c>
      <c r="P139" s="2" t="s">
        <v>1638</v>
      </c>
    </row>
    <row r="140" spans="1:16" x14ac:dyDescent="0.2">
      <c r="A140" s="2" t="s">
        <v>2423</v>
      </c>
      <c r="B140" s="2" t="s">
        <v>2564</v>
      </c>
      <c r="H140" s="2">
        <v>22</v>
      </c>
      <c r="I140" s="2">
        <v>501</v>
      </c>
      <c r="J140" s="2" t="s">
        <v>2024</v>
      </c>
      <c r="O140" s="2" t="s">
        <v>1204</v>
      </c>
      <c r="P140" s="2" t="s">
        <v>1526</v>
      </c>
    </row>
    <row r="141" spans="1:16" x14ac:dyDescent="0.2">
      <c r="A141" s="2" t="s">
        <v>2423</v>
      </c>
      <c r="B141" s="2" t="s">
        <v>2565</v>
      </c>
      <c r="H141" s="2">
        <v>22</v>
      </c>
      <c r="I141" s="2">
        <v>501</v>
      </c>
      <c r="J141" s="2" t="s">
        <v>2025</v>
      </c>
      <c r="O141" s="2" t="s">
        <v>1279</v>
      </c>
      <c r="P141" s="2" t="s">
        <v>1639</v>
      </c>
    </row>
    <row r="142" spans="1:16" x14ac:dyDescent="0.2">
      <c r="A142" s="2" t="s">
        <v>2424</v>
      </c>
      <c r="B142" s="2" t="s">
        <v>2566</v>
      </c>
      <c r="H142" s="2">
        <v>22</v>
      </c>
      <c r="I142" s="2">
        <v>501</v>
      </c>
      <c r="J142" s="2" t="s">
        <v>2125</v>
      </c>
      <c r="O142" s="2" t="s">
        <v>1280</v>
      </c>
      <c r="P142" s="2" t="s">
        <v>1640</v>
      </c>
    </row>
    <row r="143" spans="1:16" x14ac:dyDescent="0.2">
      <c r="A143" s="2" t="s">
        <v>2424</v>
      </c>
      <c r="B143" s="2" t="s">
        <v>2567</v>
      </c>
      <c r="H143" s="2">
        <v>22</v>
      </c>
      <c r="I143" s="2">
        <v>501</v>
      </c>
      <c r="J143" s="2" t="s">
        <v>2126</v>
      </c>
      <c r="O143" s="2" t="s">
        <v>1281</v>
      </c>
      <c r="P143" s="2" t="s">
        <v>1641</v>
      </c>
    </row>
    <row r="144" spans="1:16" x14ac:dyDescent="0.2">
      <c r="A144" s="2" t="s">
        <v>2424</v>
      </c>
      <c r="B144" s="2" t="s">
        <v>2568</v>
      </c>
      <c r="H144" s="2">
        <v>22</v>
      </c>
      <c r="I144" s="2">
        <v>501</v>
      </c>
      <c r="J144" s="2" t="s">
        <v>2127</v>
      </c>
      <c r="O144" s="2" t="s">
        <v>1282</v>
      </c>
      <c r="P144" s="2" t="s">
        <v>1642</v>
      </c>
    </row>
    <row r="145" spans="1:16" x14ac:dyDescent="0.2">
      <c r="A145" s="2" t="s">
        <v>2424</v>
      </c>
      <c r="B145" s="2" t="s">
        <v>2569</v>
      </c>
      <c r="H145" s="2">
        <v>22</v>
      </c>
      <c r="I145" s="2">
        <v>501</v>
      </c>
      <c r="J145" s="2" t="s">
        <v>2128</v>
      </c>
      <c r="O145" s="2" t="s">
        <v>1283</v>
      </c>
      <c r="P145" s="2" t="s">
        <v>1643</v>
      </c>
    </row>
    <row r="146" spans="1:16" x14ac:dyDescent="0.2">
      <c r="A146" s="2" t="s">
        <v>2424</v>
      </c>
      <c r="B146" s="2" t="s">
        <v>2570</v>
      </c>
      <c r="H146" s="2">
        <v>22</v>
      </c>
      <c r="I146" s="2">
        <v>501</v>
      </c>
      <c r="J146" s="2" t="s">
        <v>2129</v>
      </c>
      <c r="O146" s="2" t="s">
        <v>1284</v>
      </c>
      <c r="P146" s="2" t="s">
        <v>1644</v>
      </c>
    </row>
    <row r="147" spans="1:16" x14ac:dyDescent="0.2">
      <c r="A147" s="2" t="s">
        <v>2424</v>
      </c>
      <c r="B147" s="2" t="s">
        <v>2571</v>
      </c>
      <c r="H147" s="2">
        <v>22</v>
      </c>
      <c r="I147" s="2">
        <v>501</v>
      </c>
      <c r="J147" s="2" t="s">
        <v>2130</v>
      </c>
      <c r="O147" s="2" t="s">
        <v>1285</v>
      </c>
      <c r="P147" s="2" t="s">
        <v>1645</v>
      </c>
    </row>
    <row r="148" spans="1:16" x14ac:dyDescent="0.2">
      <c r="A148" s="2" t="s">
        <v>2424</v>
      </c>
      <c r="B148" s="2" t="s">
        <v>2572</v>
      </c>
      <c r="H148" s="2">
        <v>22</v>
      </c>
      <c r="I148" s="2">
        <v>501</v>
      </c>
      <c r="J148" s="2" t="s">
        <v>2131</v>
      </c>
      <c r="O148" s="2" t="s">
        <v>1286</v>
      </c>
      <c r="P148" s="2" t="s">
        <v>1646</v>
      </c>
    </row>
    <row r="149" spans="1:16" x14ac:dyDescent="0.2">
      <c r="A149" s="2" t="s">
        <v>2424</v>
      </c>
      <c r="B149" s="2" t="s">
        <v>2573</v>
      </c>
      <c r="H149" s="2">
        <v>22</v>
      </c>
      <c r="I149" s="2">
        <v>501</v>
      </c>
      <c r="J149" s="2" t="s">
        <v>2132</v>
      </c>
      <c r="O149" s="2" t="s">
        <v>1287</v>
      </c>
      <c r="P149" s="2" t="s">
        <v>1647</v>
      </c>
    </row>
    <row r="150" spans="1:16" x14ac:dyDescent="0.2">
      <c r="A150" s="2" t="s">
        <v>2424</v>
      </c>
      <c r="B150" s="2" t="s">
        <v>2573</v>
      </c>
      <c r="H150" s="2">
        <v>22</v>
      </c>
      <c r="I150" s="2">
        <v>501</v>
      </c>
      <c r="J150" s="2" t="s">
        <v>2133</v>
      </c>
      <c r="O150" s="2" t="s">
        <v>1288</v>
      </c>
      <c r="P150" s="2" t="s">
        <v>1648</v>
      </c>
    </row>
    <row r="151" spans="1:16" x14ac:dyDescent="0.2">
      <c r="A151" s="2" t="s">
        <v>2424</v>
      </c>
      <c r="B151" s="2" t="s">
        <v>2573</v>
      </c>
      <c r="H151" s="2">
        <v>22</v>
      </c>
      <c r="I151" s="2">
        <v>501</v>
      </c>
      <c r="J151" s="2" t="s">
        <v>2134</v>
      </c>
      <c r="O151" s="2" t="s">
        <v>1289</v>
      </c>
      <c r="P151" s="2" t="s">
        <v>1649</v>
      </c>
    </row>
    <row r="152" spans="1:16" x14ac:dyDescent="0.2">
      <c r="A152" s="2" t="s">
        <v>2424</v>
      </c>
      <c r="B152" s="2" t="s">
        <v>2574</v>
      </c>
      <c r="H152" s="2">
        <v>22</v>
      </c>
      <c r="I152" s="2">
        <v>501</v>
      </c>
      <c r="J152" s="2" t="s">
        <v>2135</v>
      </c>
      <c r="O152" s="2" t="s">
        <v>1290</v>
      </c>
      <c r="P152" s="2" t="s">
        <v>1650</v>
      </c>
    </row>
    <row r="153" spans="1:16" x14ac:dyDescent="0.2">
      <c r="A153" s="2" t="s">
        <v>2424</v>
      </c>
      <c r="B153" s="2" t="s">
        <v>2575</v>
      </c>
      <c r="H153" s="2">
        <v>22</v>
      </c>
      <c r="I153" s="2">
        <v>501</v>
      </c>
      <c r="J153" s="2" t="s">
        <v>2136</v>
      </c>
      <c r="O153" s="2" t="s">
        <v>1291</v>
      </c>
      <c r="P153" s="2" t="s">
        <v>1651</v>
      </c>
    </row>
    <row r="154" spans="1:16" x14ac:dyDescent="0.2">
      <c r="A154" s="2" t="s">
        <v>2424</v>
      </c>
      <c r="B154" s="2" t="s">
        <v>2576</v>
      </c>
      <c r="H154" s="2">
        <v>22</v>
      </c>
      <c r="I154" s="2">
        <v>501</v>
      </c>
      <c r="J154" s="2" t="s">
        <v>2137</v>
      </c>
      <c r="O154" s="2" t="s">
        <v>1292</v>
      </c>
      <c r="P154" s="2" t="s">
        <v>1652</v>
      </c>
    </row>
    <row r="155" spans="1:16" x14ac:dyDescent="0.2">
      <c r="A155" s="2" t="s">
        <v>2424</v>
      </c>
      <c r="B155" s="2" t="s">
        <v>2577</v>
      </c>
      <c r="H155" s="2">
        <v>22</v>
      </c>
      <c r="I155" s="2">
        <v>501</v>
      </c>
      <c r="J155" s="2" t="s">
        <v>2138</v>
      </c>
      <c r="O155" s="2" t="s">
        <v>1293</v>
      </c>
      <c r="P155" s="2" t="s">
        <v>1653</v>
      </c>
    </row>
    <row r="156" spans="1:16" x14ac:dyDescent="0.2">
      <c r="A156" s="2" t="s">
        <v>2424</v>
      </c>
      <c r="B156" s="2" t="s">
        <v>2578</v>
      </c>
      <c r="H156" s="2">
        <v>22</v>
      </c>
      <c r="I156" s="2">
        <v>501</v>
      </c>
      <c r="J156" s="2" t="s">
        <v>2139</v>
      </c>
      <c r="O156" s="2" t="s">
        <v>1294</v>
      </c>
      <c r="P156" s="2" t="s">
        <v>1654</v>
      </c>
    </row>
    <row r="157" spans="1:16" x14ac:dyDescent="0.2">
      <c r="A157" s="2" t="s">
        <v>2424</v>
      </c>
      <c r="B157" s="2" t="s">
        <v>2579</v>
      </c>
      <c r="H157" s="2">
        <v>22</v>
      </c>
      <c r="I157" s="2">
        <v>501</v>
      </c>
      <c r="J157" s="2" t="s">
        <v>2140</v>
      </c>
      <c r="O157" s="2" t="s">
        <v>1202</v>
      </c>
      <c r="P157" s="2" t="s">
        <v>1523</v>
      </c>
    </row>
    <row r="158" spans="1:16" x14ac:dyDescent="0.2">
      <c r="A158" s="2" t="s">
        <v>2424</v>
      </c>
      <c r="B158" s="2" t="s">
        <v>2580</v>
      </c>
      <c r="H158" s="2">
        <v>22</v>
      </c>
      <c r="I158" s="2">
        <v>501</v>
      </c>
      <c r="J158" s="2" t="s">
        <v>2141</v>
      </c>
      <c r="O158" s="2" t="s">
        <v>1295</v>
      </c>
      <c r="P158" s="2" t="s">
        <v>1655</v>
      </c>
    </row>
    <row r="159" spans="1:16" x14ac:dyDescent="0.2">
      <c r="A159" s="2" t="s">
        <v>2424</v>
      </c>
      <c r="B159" s="2" t="s">
        <v>2581</v>
      </c>
      <c r="H159" s="2">
        <v>22</v>
      </c>
      <c r="I159" s="2">
        <v>501</v>
      </c>
      <c r="J159" s="2" t="s">
        <v>2026</v>
      </c>
      <c r="O159" s="2" t="s">
        <v>1206</v>
      </c>
      <c r="P159" s="2" t="s">
        <v>1656</v>
      </c>
    </row>
    <row r="160" spans="1:16" x14ac:dyDescent="0.2">
      <c r="A160" s="2" t="s">
        <v>2424</v>
      </c>
      <c r="B160" s="2" t="s">
        <v>2582</v>
      </c>
      <c r="H160" s="2">
        <v>22</v>
      </c>
      <c r="I160" s="2">
        <v>501</v>
      </c>
      <c r="J160" s="2" t="s">
        <v>2027</v>
      </c>
      <c r="O160" s="2" t="s">
        <v>1296</v>
      </c>
      <c r="P160" s="2" t="s">
        <v>1657</v>
      </c>
    </row>
    <row r="161" spans="1:16" x14ac:dyDescent="0.2">
      <c r="A161" s="2" t="s">
        <v>2424</v>
      </c>
      <c r="B161" s="2" t="s">
        <v>2583</v>
      </c>
      <c r="H161" s="2">
        <v>22</v>
      </c>
      <c r="I161" s="2">
        <v>501</v>
      </c>
      <c r="J161" s="2" t="s">
        <v>2142</v>
      </c>
      <c r="O161" s="2" t="s">
        <v>1297</v>
      </c>
      <c r="P161" s="2" t="s">
        <v>1658</v>
      </c>
    </row>
    <row r="162" spans="1:16" x14ac:dyDescent="0.2">
      <c r="A162" s="2" t="s">
        <v>2424</v>
      </c>
      <c r="B162" s="2" t="s">
        <v>2584</v>
      </c>
      <c r="H162" s="2">
        <v>22</v>
      </c>
      <c r="I162" s="2">
        <v>501</v>
      </c>
      <c r="J162" s="2" t="s">
        <v>2143</v>
      </c>
      <c r="O162" s="2" t="s">
        <v>1298</v>
      </c>
      <c r="P162" s="2" t="s">
        <v>1659</v>
      </c>
    </row>
    <row r="163" spans="1:16" x14ac:dyDescent="0.2">
      <c r="A163" s="2" t="s">
        <v>2424</v>
      </c>
      <c r="B163" s="2" t="s">
        <v>2585</v>
      </c>
      <c r="H163" s="2">
        <v>22</v>
      </c>
      <c r="I163" s="2">
        <v>501</v>
      </c>
      <c r="J163" s="2" t="s">
        <v>2028</v>
      </c>
      <c r="O163" s="2" t="s">
        <v>1208</v>
      </c>
      <c r="P163" s="2" t="s">
        <v>1660</v>
      </c>
    </row>
    <row r="164" spans="1:16" x14ac:dyDescent="0.2">
      <c r="A164" s="2" t="s">
        <v>2424</v>
      </c>
      <c r="B164" s="2" t="s">
        <v>2586</v>
      </c>
      <c r="H164" s="2">
        <v>22</v>
      </c>
      <c r="I164" s="2">
        <v>501</v>
      </c>
      <c r="J164" s="2" t="s">
        <v>2029</v>
      </c>
      <c r="O164" s="2" t="s">
        <v>1209</v>
      </c>
      <c r="P164" s="2" t="s">
        <v>1661</v>
      </c>
    </row>
    <row r="165" spans="1:16" x14ac:dyDescent="0.2">
      <c r="A165" s="2" t="s">
        <v>2424</v>
      </c>
      <c r="B165" s="2" t="s">
        <v>2587</v>
      </c>
      <c r="H165" s="2">
        <v>22</v>
      </c>
      <c r="I165" s="2">
        <v>501</v>
      </c>
      <c r="J165" s="2" t="s">
        <v>2030</v>
      </c>
      <c r="O165" s="2" t="s">
        <v>1299</v>
      </c>
      <c r="P165" s="2" t="s">
        <v>1531</v>
      </c>
    </row>
    <row r="166" spans="1:16" x14ac:dyDescent="0.2">
      <c r="A166" s="2" t="s">
        <v>2424</v>
      </c>
      <c r="B166" s="2" t="s">
        <v>2588</v>
      </c>
      <c r="H166" s="2">
        <v>22</v>
      </c>
      <c r="I166" s="2">
        <v>501</v>
      </c>
      <c r="J166" s="2" t="s">
        <v>2031</v>
      </c>
      <c r="O166" s="2" t="s">
        <v>1300</v>
      </c>
      <c r="P166" s="2" t="s">
        <v>1662</v>
      </c>
    </row>
    <row r="167" spans="1:16" x14ac:dyDescent="0.2">
      <c r="A167" s="2" t="s">
        <v>2424</v>
      </c>
      <c r="B167" s="2" t="s">
        <v>2589</v>
      </c>
      <c r="H167" s="2">
        <v>22</v>
      </c>
      <c r="I167" s="2">
        <v>501</v>
      </c>
      <c r="J167" s="2" t="s">
        <v>2144</v>
      </c>
      <c r="O167" s="2" t="s">
        <v>1212</v>
      </c>
      <c r="P167" s="2" t="s">
        <v>1663</v>
      </c>
    </row>
    <row r="168" spans="1:16" x14ac:dyDescent="0.2">
      <c r="A168" s="2" t="s">
        <v>2424</v>
      </c>
      <c r="B168" s="2" t="s">
        <v>2590</v>
      </c>
      <c r="H168" s="2">
        <v>22</v>
      </c>
      <c r="I168" s="2">
        <v>501</v>
      </c>
      <c r="J168" s="2" t="s">
        <v>2033</v>
      </c>
      <c r="O168" s="2" t="s">
        <v>1301</v>
      </c>
      <c r="P168" s="2" t="s">
        <v>1534</v>
      </c>
    </row>
    <row r="169" spans="1:16" x14ac:dyDescent="0.2">
      <c r="A169" s="2" t="s">
        <v>2424</v>
      </c>
      <c r="B169" s="2" t="s">
        <v>2591</v>
      </c>
      <c r="H169" s="2">
        <v>22</v>
      </c>
      <c r="I169" s="2">
        <v>501</v>
      </c>
      <c r="J169" s="2" t="s">
        <v>2034</v>
      </c>
      <c r="O169" s="2" t="s">
        <v>1214</v>
      </c>
      <c r="P169" s="2" t="s">
        <v>1664</v>
      </c>
    </row>
    <row r="170" spans="1:16" x14ac:dyDescent="0.2">
      <c r="A170" s="2" t="s">
        <v>2424</v>
      </c>
      <c r="B170" s="2" t="s">
        <v>2591</v>
      </c>
      <c r="H170" s="2">
        <v>22</v>
      </c>
      <c r="I170" s="2">
        <v>501</v>
      </c>
      <c r="J170" s="2" t="s">
        <v>2035</v>
      </c>
      <c r="O170" s="2" t="s">
        <v>1302</v>
      </c>
      <c r="P170" s="2" t="s">
        <v>1665</v>
      </c>
    </row>
    <row r="171" spans="1:16" x14ac:dyDescent="0.2">
      <c r="A171" s="2" t="s">
        <v>2424</v>
      </c>
      <c r="B171" s="2" t="s">
        <v>2592</v>
      </c>
      <c r="H171" s="2">
        <v>22</v>
      </c>
      <c r="I171" s="2">
        <v>501</v>
      </c>
      <c r="J171" s="2" t="s">
        <v>2036</v>
      </c>
      <c r="O171" s="2" t="s">
        <v>1216</v>
      </c>
      <c r="P171" s="2" t="s">
        <v>1666</v>
      </c>
    </row>
    <row r="172" spans="1:16" x14ac:dyDescent="0.2">
      <c r="A172" s="2" t="s">
        <v>2424</v>
      </c>
      <c r="B172" s="2" t="s">
        <v>2593</v>
      </c>
      <c r="H172" s="2">
        <v>22</v>
      </c>
      <c r="I172" s="2">
        <v>501</v>
      </c>
      <c r="J172" s="2" t="s">
        <v>2037</v>
      </c>
      <c r="O172" s="2" t="s">
        <v>1217</v>
      </c>
      <c r="P172" s="2" t="s">
        <v>1667</v>
      </c>
    </row>
    <row r="173" spans="1:16" x14ac:dyDescent="0.2">
      <c r="A173" s="2" t="s">
        <v>2424</v>
      </c>
      <c r="B173" s="2" t="s">
        <v>2594</v>
      </c>
      <c r="H173" s="2">
        <v>22</v>
      </c>
      <c r="I173" s="2">
        <v>501</v>
      </c>
      <c r="J173" s="2" t="s">
        <v>2038</v>
      </c>
      <c r="O173" s="2" t="s">
        <v>1218</v>
      </c>
      <c r="P173" s="2" t="s">
        <v>1668</v>
      </c>
    </row>
    <row r="174" spans="1:16" x14ac:dyDescent="0.2">
      <c r="A174" s="2" t="s">
        <v>2424</v>
      </c>
      <c r="B174" s="2" t="s">
        <v>2595</v>
      </c>
      <c r="H174" s="2">
        <v>22</v>
      </c>
      <c r="I174" s="2">
        <v>501</v>
      </c>
      <c r="J174" s="2" t="s">
        <v>2039</v>
      </c>
      <c r="O174" s="2" t="s">
        <v>1219</v>
      </c>
      <c r="P174" s="2" t="s">
        <v>1669</v>
      </c>
    </row>
    <row r="175" spans="1:16" x14ac:dyDescent="0.2">
      <c r="A175" s="2" t="s">
        <v>2424</v>
      </c>
      <c r="B175" s="2" t="s">
        <v>2596</v>
      </c>
      <c r="H175" s="2">
        <v>22</v>
      </c>
      <c r="I175" s="2">
        <v>501</v>
      </c>
      <c r="J175" s="2" t="s">
        <v>2040</v>
      </c>
      <c r="O175" s="2" t="s">
        <v>1303</v>
      </c>
      <c r="P175" s="2" t="s">
        <v>1670</v>
      </c>
    </row>
    <row r="176" spans="1:16" x14ac:dyDescent="0.2">
      <c r="A176" s="2" t="s">
        <v>2424</v>
      </c>
      <c r="B176" s="2" t="s">
        <v>2596</v>
      </c>
      <c r="H176" s="2">
        <v>22</v>
      </c>
      <c r="I176" s="2">
        <v>501</v>
      </c>
      <c r="J176" s="2" t="s">
        <v>2040</v>
      </c>
      <c r="O176" s="2" t="s">
        <v>1221</v>
      </c>
      <c r="P176" s="2" t="s">
        <v>1542</v>
      </c>
    </row>
    <row r="177" spans="1:16" x14ac:dyDescent="0.2">
      <c r="A177" s="2" t="s">
        <v>2424</v>
      </c>
      <c r="B177" s="2" t="s">
        <v>2597</v>
      </c>
      <c r="H177" s="2">
        <v>22</v>
      </c>
      <c r="I177" s="2">
        <v>501</v>
      </c>
      <c r="J177" s="2" t="s">
        <v>2041</v>
      </c>
      <c r="O177" s="2" t="s">
        <v>1222</v>
      </c>
      <c r="P177" s="2" t="s">
        <v>1671</v>
      </c>
    </row>
    <row r="178" spans="1:16" x14ac:dyDescent="0.2">
      <c r="A178" s="2" t="s">
        <v>2424</v>
      </c>
      <c r="B178" s="2" t="s">
        <v>2598</v>
      </c>
      <c r="H178" s="2">
        <v>22</v>
      </c>
      <c r="I178" s="2">
        <v>501</v>
      </c>
      <c r="J178" s="2" t="s">
        <v>2042</v>
      </c>
      <c r="O178" s="2" t="s">
        <v>1223</v>
      </c>
      <c r="P178" s="2" t="s">
        <v>1672</v>
      </c>
    </row>
    <row r="179" spans="1:16" x14ac:dyDescent="0.2">
      <c r="A179" s="2" t="s">
        <v>2424</v>
      </c>
      <c r="B179" s="2" t="s">
        <v>2599</v>
      </c>
      <c r="H179" s="2">
        <v>22</v>
      </c>
      <c r="I179" s="2">
        <v>501</v>
      </c>
      <c r="J179" s="2" t="s">
        <v>2044</v>
      </c>
      <c r="O179" s="2" t="s">
        <v>1224</v>
      </c>
      <c r="P179" s="2" t="s">
        <v>1673</v>
      </c>
    </row>
    <row r="180" spans="1:16" x14ac:dyDescent="0.2">
      <c r="A180" s="2" t="s">
        <v>2424</v>
      </c>
      <c r="B180" s="2" t="s">
        <v>2600</v>
      </c>
      <c r="H180" s="2">
        <v>22</v>
      </c>
      <c r="I180" s="2">
        <v>501</v>
      </c>
      <c r="J180" s="2" t="s">
        <v>2045</v>
      </c>
      <c r="O180" s="2" t="s">
        <v>1225</v>
      </c>
      <c r="P180" s="2" t="s">
        <v>1674</v>
      </c>
    </row>
    <row r="181" spans="1:16" x14ac:dyDescent="0.2">
      <c r="A181" s="2" t="s">
        <v>2424</v>
      </c>
      <c r="B181" s="2" t="s">
        <v>2601</v>
      </c>
      <c r="H181" s="2">
        <v>22</v>
      </c>
      <c r="I181" s="2">
        <v>501</v>
      </c>
      <c r="J181" s="2" t="s">
        <v>2046</v>
      </c>
      <c r="O181" s="2" t="s">
        <v>1304</v>
      </c>
      <c r="P181" s="2" t="s">
        <v>1675</v>
      </c>
    </row>
    <row r="182" spans="1:16" x14ac:dyDescent="0.2">
      <c r="A182" s="2" t="s">
        <v>2424</v>
      </c>
      <c r="B182" s="2" t="s">
        <v>2602</v>
      </c>
      <c r="H182" s="2">
        <v>22</v>
      </c>
      <c r="I182" s="2">
        <v>501</v>
      </c>
      <c r="J182" s="2" t="s">
        <v>2145</v>
      </c>
      <c r="O182" s="2" t="s">
        <v>1305</v>
      </c>
      <c r="P182" s="2" t="s">
        <v>1676</v>
      </c>
    </row>
    <row r="183" spans="1:16" x14ac:dyDescent="0.2">
      <c r="A183" s="2" t="s">
        <v>2424</v>
      </c>
      <c r="B183" s="2" t="s">
        <v>2603</v>
      </c>
      <c r="H183" s="2">
        <v>22</v>
      </c>
      <c r="I183" s="2">
        <v>501</v>
      </c>
      <c r="J183" s="2" t="s">
        <v>2146</v>
      </c>
      <c r="O183" s="2" t="s">
        <v>1306</v>
      </c>
      <c r="P183" s="2" t="s">
        <v>1677</v>
      </c>
    </row>
    <row r="184" spans="1:16" x14ac:dyDescent="0.2">
      <c r="A184" s="2" t="s">
        <v>2424</v>
      </c>
      <c r="B184" s="2" t="s">
        <v>2604</v>
      </c>
      <c r="H184" s="2">
        <v>22</v>
      </c>
      <c r="I184" s="2">
        <v>501</v>
      </c>
      <c r="J184" s="2" t="s">
        <v>2147</v>
      </c>
      <c r="O184" s="2" t="s">
        <v>1307</v>
      </c>
      <c r="P184" s="2" t="s">
        <v>1678</v>
      </c>
    </row>
    <row r="185" spans="1:16" x14ac:dyDescent="0.2">
      <c r="A185" s="2" t="s">
        <v>2423</v>
      </c>
      <c r="B185" s="2" t="s">
        <v>2490</v>
      </c>
      <c r="H185" s="2">
        <v>22</v>
      </c>
      <c r="I185" s="2">
        <v>501</v>
      </c>
      <c r="J185" s="2" t="s">
        <v>2148</v>
      </c>
      <c r="O185" s="2" t="s">
        <v>1308</v>
      </c>
      <c r="P185" s="2" t="s">
        <v>1679</v>
      </c>
    </row>
    <row r="186" spans="1:16" x14ac:dyDescent="0.2">
      <c r="A186" s="2" t="s">
        <v>2424</v>
      </c>
      <c r="B186" s="2" t="s">
        <v>2605</v>
      </c>
      <c r="H186" s="2">
        <v>22</v>
      </c>
      <c r="I186" s="2">
        <v>501</v>
      </c>
      <c r="J186" s="2" t="s">
        <v>2148</v>
      </c>
      <c r="O186" s="2" t="s">
        <v>1309</v>
      </c>
      <c r="P186" s="2" t="s">
        <v>1680</v>
      </c>
    </row>
    <row r="187" spans="1:16" x14ac:dyDescent="0.2">
      <c r="A187" s="2" t="s">
        <v>2424</v>
      </c>
      <c r="B187" s="2" t="s">
        <v>2606</v>
      </c>
      <c r="H187" s="2">
        <v>22</v>
      </c>
      <c r="I187" s="2">
        <v>501</v>
      </c>
      <c r="J187" s="2" t="s">
        <v>2149</v>
      </c>
      <c r="O187" s="2" t="s">
        <v>1310</v>
      </c>
      <c r="P187" s="2" t="s">
        <v>1681</v>
      </c>
    </row>
    <row r="188" spans="1:16" x14ac:dyDescent="0.2">
      <c r="A188" s="2" t="s">
        <v>2424</v>
      </c>
      <c r="B188" s="2" t="s">
        <v>2607</v>
      </c>
      <c r="H188" s="2">
        <v>22</v>
      </c>
      <c r="I188" s="2">
        <v>501</v>
      </c>
      <c r="J188" s="2" t="s">
        <v>2150</v>
      </c>
      <c r="O188" s="2" t="s">
        <v>1311</v>
      </c>
      <c r="P188" s="2" t="s">
        <v>1682</v>
      </c>
    </row>
    <row r="189" spans="1:16" x14ac:dyDescent="0.2">
      <c r="A189" s="2" t="s">
        <v>2424</v>
      </c>
      <c r="B189" s="2" t="s">
        <v>2608</v>
      </c>
      <c r="H189" s="2">
        <v>22</v>
      </c>
      <c r="I189" s="2">
        <v>501</v>
      </c>
      <c r="J189" s="2" t="s">
        <v>2151</v>
      </c>
      <c r="O189" s="2" t="s">
        <v>1312</v>
      </c>
      <c r="P189" s="2" t="s">
        <v>1683</v>
      </c>
    </row>
    <row r="190" spans="1:16" x14ac:dyDescent="0.2">
      <c r="A190" s="2" t="s">
        <v>2424</v>
      </c>
      <c r="B190" s="2" t="s">
        <v>2609</v>
      </c>
      <c r="H190" s="2">
        <v>22</v>
      </c>
      <c r="I190" s="2">
        <v>501</v>
      </c>
      <c r="J190" s="2" t="s">
        <v>2152</v>
      </c>
      <c r="O190" s="2" t="s">
        <v>1313</v>
      </c>
      <c r="P190" s="2" t="s">
        <v>1684</v>
      </c>
    </row>
    <row r="191" spans="1:16" x14ac:dyDescent="0.2">
      <c r="A191" s="2" t="s">
        <v>2424</v>
      </c>
      <c r="B191" s="2" t="s">
        <v>2610</v>
      </c>
      <c r="H191" s="2">
        <v>22</v>
      </c>
      <c r="I191" s="2">
        <v>501</v>
      </c>
      <c r="J191" s="2" t="s">
        <v>2153</v>
      </c>
      <c r="O191" s="2" t="s">
        <v>1314</v>
      </c>
      <c r="P191" s="2" t="s">
        <v>1685</v>
      </c>
    </row>
    <row r="192" spans="1:16" x14ac:dyDescent="0.2">
      <c r="A192" s="2" t="s">
        <v>2424</v>
      </c>
      <c r="B192" s="2" t="s">
        <v>2611</v>
      </c>
      <c r="H192" s="2">
        <v>22</v>
      </c>
      <c r="I192" s="2">
        <v>501</v>
      </c>
      <c r="J192" s="2" t="s">
        <v>2154</v>
      </c>
      <c r="O192" s="2" t="s">
        <v>1315</v>
      </c>
      <c r="P192" s="2" t="s">
        <v>1686</v>
      </c>
    </row>
    <row r="193" spans="1:16" x14ac:dyDescent="0.2">
      <c r="A193" s="2" t="s">
        <v>2424</v>
      </c>
      <c r="B193" s="2" t="s">
        <v>2612</v>
      </c>
      <c r="H193" s="2">
        <v>22</v>
      </c>
      <c r="I193" s="2">
        <v>501</v>
      </c>
      <c r="J193" s="2" t="s">
        <v>2155</v>
      </c>
      <c r="O193" s="2" t="s">
        <v>1316</v>
      </c>
      <c r="P193" s="2" t="s">
        <v>1687</v>
      </c>
    </row>
    <row r="194" spans="1:16" x14ac:dyDescent="0.2">
      <c r="A194" s="2" t="s">
        <v>2424</v>
      </c>
      <c r="B194" s="2" t="s">
        <v>2613</v>
      </c>
      <c r="H194" s="2">
        <v>22</v>
      </c>
      <c r="I194" s="2">
        <v>501</v>
      </c>
      <c r="J194" s="2" t="s">
        <v>2156</v>
      </c>
      <c r="O194" s="2" t="s">
        <v>1317</v>
      </c>
      <c r="P194" s="2" t="s">
        <v>1688</v>
      </c>
    </row>
    <row r="195" spans="1:16" x14ac:dyDescent="0.2">
      <c r="A195" s="2" t="s">
        <v>2424</v>
      </c>
      <c r="B195" s="2" t="s">
        <v>2614</v>
      </c>
      <c r="H195" s="2">
        <v>22</v>
      </c>
      <c r="I195" s="2">
        <v>501</v>
      </c>
      <c r="J195" s="2" t="s">
        <v>2157</v>
      </c>
      <c r="O195" s="2" t="s">
        <v>1318</v>
      </c>
      <c r="P195" s="2" t="s">
        <v>1689</v>
      </c>
    </row>
    <row r="196" spans="1:16" x14ac:dyDescent="0.2">
      <c r="A196" s="2" t="s">
        <v>2424</v>
      </c>
      <c r="B196" s="2" t="s">
        <v>2615</v>
      </c>
      <c r="H196" s="2">
        <v>22</v>
      </c>
      <c r="I196" s="2">
        <v>501</v>
      </c>
      <c r="J196" s="2" t="s">
        <v>2158</v>
      </c>
      <c r="O196" s="2" t="s">
        <v>1319</v>
      </c>
      <c r="P196" s="2" t="s">
        <v>1690</v>
      </c>
    </row>
    <row r="197" spans="1:16" x14ac:dyDescent="0.2">
      <c r="A197" s="2" t="s">
        <v>2424</v>
      </c>
      <c r="B197" s="2" t="s">
        <v>2616</v>
      </c>
      <c r="H197" s="2">
        <v>22</v>
      </c>
      <c r="I197" s="2">
        <v>501</v>
      </c>
      <c r="J197" s="2" t="s">
        <v>2159</v>
      </c>
      <c r="O197" s="2" t="s">
        <v>1320</v>
      </c>
      <c r="P197" s="2" t="s">
        <v>1691</v>
      </c>
    </row>
    <row r="198" spans="1:16" x14ac:dyDescent="0.2">
      <c r="A198" s="2" t="s">
        <v>2424</v>
      </c>
      <c r="B198" s="2" t="s">
        <v>2617</v>
      </c>
      <c r="H198" s="2">
        <v>22</v>
      </c>
      <c r="I198" s="2">
        <v>501</v>
      </c>
      <c r="J198" s="2" t="s">
        <v>2160</v>
      </c>
      <c r="O198" s="2" t="s">
        <v>1321</v>
      </c>
      <c r="P198" s="2" t="s">
        <v>1692</v>
      </c>
    </row>
    <row r="199" spans="1:16" x14ac:dyDescent="0.2">
      <c r="A199" s="2" t="s">
        <v>2424</v>
      </c>
      <c r="B199" s="2" t="s">
        <v>2618</v>
      </c>
      <c r="H199" s="2">
        <v>22</v>
      </c>
      <c r="I199" s="2">
        <v>501</v>
      </c>
      <c r="J199" s="2" t="s">
        <v>2161</v>
      </c>
      <c r="O199" s="2" t="s">
        <v>1322</v>
      </c>
      <c r="P199" s="2" t="s">
        <v>1693</v>
      </c>
    </row>
    <row r="200" spans="1:16" x14ac:dyDescent="0.2">
      <c r="A200" s="2" t="s">
        <v>2424</v>
      </c>
      <c r="B200" s="2" t="s">
        <v>2619</v>
      </c>
      <c r="H200" s="2">
        <v>22</v>
      </c>
      <c r="I200" s="2">
        <v>501</v>
      </c>
      <c r="J200" s="2" t="s">
        <v>2162</v>
      </c>
      <c r="O200" s="2" t="s">
        <v>1323</v>
      </c>
      <c r="P200" s="2" t="s">
        <v>1694</v>
      </c>
    </row>
    <row r="201" spans="1:16" x14ac:dyDescent="0.2">
      <c r="A201" s="2" t="s">
        <v>2424</v>
      </c>
      <c r="B201" s="2" t="s">
        <v>2620</v>
      </c>
      <c r="H201" s="2">
        <v>22</v>
      </c>
      <c r="I201" s="2">
        <v>501</v>
      </c>
      <c r="J201" s="2" t="s">
        <v>2163</v>
      </c>
      <c r="O201" s="2" t="s">
        <v>1324</v>
      </c>
      <c r="P201" s="2" t="s">
        <v>1695</v>
      </c>
    </row>
    <row r="202" spans="1:16" x14ac:dyDescent="0.2">
      <c r="A202" s="2" t="s">
        <v>2424</v>
      </c>
      <c r="B202" s="2" t="s">
        <v>2621</v>
      </c>
      <c r="H202" s="2">
        <v>22</v>
      </c>
      <c r="I202" s="2">
        <v>501</v>
      </c>
      <c r="J202" s="2" t="s">
        <v>2164</v>
      </c>
      <c r="O202" s="2" t="s">
        <v>1325</v>
      </c>
      <c r="P202" s="2" t="s">
        <v>1696</v>
      </c>
    </row>
    <row r="203" spans="1:16" x14ac:dyDescent="0.2">
      <c r="A203" s="2" t="s">
        <v>2424</v>
      </c>
      <c r="B203" s="2" t="s">
        <v>2622</v>
      </c>
      <c r="H203" s="2">
        <v>22</v>
      </c>
      <c r="I203" s="2">
        <v>501</v>
      </c>
      <c r="J203" s="2" t="s">
        <v>2165</v>
      </c>
      <c r="O203" s="2" t="s">
        <v>1326</v>
      </c>
      <c r="P203" s="2" t="s">
        <v>1697</v>
      </c>
    </row>
    <row r="204" spans="1:16" x14ac:dyDescent="0.2">
      <c r="A204" s="2" t="s">
        <v>2424</v>
      </c>
      <c r="B204" s="2" t="s">
        <v>2623</v>
      </c>
      <c r="H204" s="2">
        <v>22</v>
      </c>
      <c r="I204" s="2">
        <v>501</v>
      </c>
      <c r="J204" s="2" t="s">
        <v>2166</v>
      </c>
      <c r="O204" s="2" t="s">
        <v>1327</v>
      </c>
      <c r="P204" s="2" t="s">
        <v>1698</v>
      </c>
    </row>
    <row r="205" spans="1:16" x14ac:dyDescent="0.2">
      <c r="A205" s="2" t="s">
        <v>2424</v>
      </c>
      <c r="B205" s="2" t="s">
        <v>2624</v>
      </c>
      <c r="H205" s="2">
        <v>22</v>
      </c>
      <c r="I205" s="2">
        <v>501</v>
      </c>
      <c r="J205" s="2" t="s">
        <v>2167</v>
      </c>
      <c r="O205" s="2" t="s">
        <v>1328</v>
      </c>
      <c r="P205" s="2" t="s">
        <v>1699</v>
      </c>
    </row>
    <row r="206" spans="1:16" x14ac:dyDescent="0.2">
      <c r="A206" s="2" t="s">
        <v>2424</v>
      </c>
      <c r="B206" s="2" t="s">
        <v>2625</v>
      </c>
      <c r="H206" s="2">
        <v>22</v>
      </c>
      <c r="I206" s="2">
        <v>501</v>
      </c>
      <c r="J206" s="2" t="s">
        <v>2168</v>
      </c>
      <c r="O206" s="2" t="s">
        <v>1329</v>
      </c>
      <c r="P206" s="2" t="s">
        <v>1700</v>
      </c>
    </row>
    <row r="207" spans="1:16" x14ac:dyDescent="0.2">
      <c r="A207" s="2" t="s">
        <v>2424</v>
      </c>
      <c r="B207" s="2" t="s">
        <v>2626</v>
      </c>
      <c r="H207" s="2">
        <v>22</v>
      </c>
      <c r="I207" s="2">
        <v>501</v>
      </c>
      <c r="J207" s="2" t="s">
        <v>2169</v>
      </c>
      <c r="O207" s="2" t="s">
        <v>1330</v>
      </c>
      <c r="P207" s="2" t="s">
        <v>1701</v>
      </c>
    </row>
    <row r="208" spans="1:16" x14ac:dyDescent="0.2">
      <c r="A208" s="2" t="s">
        <v>2424</v>
      </c>
      <c r="B208" s="2" t="s">
        <v>2627</v>
      </c>
      <c r="H208" s="2">
        <v>22</v>
      </c>
      <c r="I208" s="2">
        <v>501</v>
      </c>
      <c r="J208" s="2" t="s">
        <v>2170</v>
      </c>
      <c r="O208" s="2" t="s">
        <v>1331</v>
      </c>
      <c r="P208" s="2" t="s">
        <v>1702</v>
      </c>
    </row>
    <row r="209" spans="1:16" x14ac:dyDescent="0.2">
      <c r="A209" s="2" t="s">
        <v>2424</v>
      </c>
      <c r="B209" s="2" t="s">
        <v>2628</v>
      </c>
      <c r="H209" s="2">
        <v>22</v>
      </c>
      <c r="I209" s="2">
        <v>501</v>
      </c>
      <c r="J209" s="2" t="s">
        <v>2171</v>
      </c>
      <c r="O209" s="2" t="s">
        <v>1332</v>
      </c>
      <c r="P209" s="2" t="s">
        <v>1703</v>
      </c>
    </row>
    <row r="210" spans="1:16" x14ac:dyDescent="0.2">
      <c r="A210" s="2" t="s">
        <v>2424</v>
      </c>
      <c r="B210" s="2" t="s">
        <v>2629</v>
      </c>
      <c r="H210" s="2">
        <v>22</v>
      </c>
      <c r="I210" s="2">
        <v>501</v>
      </c>
      <c r="J210" s="2" t="s">
        <v>2172</v>
      </c>
      <c r="O210" s="2" t="s">
        <v>1333</v>
      </c>
      <c r="P210" s="2" t="s">
        <v>1704</v>
      </c>
    </row>
    <row r="211" spans="1:16" x14ac:dyDescent="0.2">
      <c r="A211" s="2" t="s">
        <v>2424</v>
      </c>
      <c r="B211" s="2" t="s">
        <v>2630</v>
      </c>
      <c r="H211" s="2">
        <v>22</v>
      </c>
      <c r="I211" s="2">
        <v>501</v>
      </c>
      <c r="J211" s="2" t="s">
        <v>2173</v>
      </c>
      <c r="O211" s="2" t="s">
        <v>1334</v>
      </c>
      <c r="P211" s="2" t="s">
        <v>1705</v>
      </c>
    </row>
    <row r="212" spans="1:16" x14ac:dyDescent="0.2">
      <c r="A212" s="2" t="s">
        <v>2424</v>
      </c>
      <c r="B212" s="2" t="s">
        <v>2631</v>
      </c>
      <c r="H212" s="2">
        <v>22</v>
      </c>
      <c r="I212" s="2">
        <v>501</v>
      </c>
      <c r="J212" s="2" t="s">
        <v>2174</v>
      </c>
      <c r="O212" s="2" t="s">
        <v>1335</v>
      </c>
      <c r="P212" s="2" t="s">
        <v>1706</v>
      </c>
    </row>
    <row r="213" spans="1:16" x14ac:dyDescent="0.2">
      <c r="A213" s="2" t="s">
        <v>2424</v>
      </c>
      <c r="B213" s="2" t="s">
        <v>2632</v>
      </c>
      <c r="H213" s="2">
        <v>22</v>
      </c>
      <c r="I213" s="2">
        <v>501</v>
      </c>
      <c r="J213" s="2" t="s">
        <v>2175</v>
      </c>
      <c r="O213" s="2" t="s">
        <v>1336</v>
      </c>
      <c r="P213" s="2" t="s">
        <v>1707</v>
      </c>
    </row>
    <row r="214" spans="1:16" x14ac:dyDescent="0.2">
      <c r="A214" s="2" t="s">
        <v>2424</v>
      </c>
      <c r="B214" s="2" t="s">
        <v>2633</v>
      </c>
      <c r="H214" s="2">
        <v>22</v>
      </c>
      <c r="I214" s="2">
        <v>501</v>
      </c>
      <c r="J214" s="2" t="s">
        <v>2176</v>
      </c>
      <c r="O214" s="2" t="s">
        <v>1337</v>
      </c>
      <c r="P214" s="2" t="s">
        <v>1708</v>
      </c>
    </row>
    <row r="215" spans="1:16" x14ac:dyDescent="0.2">
      <c r="A215" s="2" t="s">
        <v>2424</v>
      </c>
      <c r="B215" s="2" t="s">
        <v>2634</v>
      </c>
      <c r="H215" s="2">
        <v>22</v>
      </c>
      <c r="I215" s="2">
        <v>501</v>
      </c>
      <c r="J215" s="2" t="s">
        <v>2177</v>
      </c>
      <c r="O215" s="2" t="s">
        <v>1338</v>
      </c>
      <c r="P215" s="2" t="s">
        <v>1709</v>
      </c>
    </row>
    <row r="216" spans="1:16" x14ac:dyDescent="0.2">
      <c r="A216" s="2" t="s">
        <v>2424</v>
      </c>
      <c r="B216" s="2" t="s">
        <v>2635</v>
      </c>
      <c r="H216" s="2">
        <v>22</v>
      </c>
      <c r="I216" s="2">
        <v>501</v>
      </c>
      <c r="J216" s="2" t="s">
        <v>2178</v>
      </c>
      <c r="O216" s="2" t="s">
        <v>1339</v>
      </c>
      <c r="P216" s="2" t="s">
        <v>1710</v>
      </c>
    </row>
    <row r="217" spans="1:16" x14ac:dyDescent="0.2">
      <c r="A217" s="2" t="s">
        <v>2424</v>
      </c>
      <c r="B217" s="2" t="s">
        <v>2636</v>
      </c>
      <c r="H217" s="2">
        <v>22</v>
      </c>
      <c r="I217" s="2">
        <v>501</v>
      </c>
      <c r="J217" s="2" t="s">
        <v>2179</v>
      </c>
      <c r="O217" s="2" t="s">
        <v>1340</v>
      </c>
      <c r="P217" s="2" t="s">
        <v>1711</v>
      </c>
    </row>
    <row r="218" spans="1:16" x14ac:dyDescent="0.2">
      <c r="A218" s="2" t="s">
        <v>2424</v>
      </c>
      <c r="B218" s="2" t="s">
        <v>2637</v>
      </c>
      <c r="H218" s="2">
        <v>22</v>
      </c>
      <c r="I218" s="2">
        <v>501</v>
      </c>
      <c r="J218" s="2" t="s">
        <v>2180</v>
      </c>
      <c r="O218" s="2" t="s">
        <v>1341</v>
      </c>
      <c r="P218" s="2" t="s">
        <v>1712</v>
      </c>
    </row>
    <row r="219" spans="1:16" x14ac:dyDescent="0.2">
      <c r="A219" s="2" t="s">
        <v>2424</v>
      </c>
      <c r="B219" s="2" t="s">
        <v>2638</v>
      </c>
      <c r="H219" s="2">
        <v>22</v>
      </c>
      <c r="I219" s="2">
        <v>501</v>
      </c>
      <c r="J219" s="2" t="s">
        <v>2181</v>
      </c>
      <c r="O219" s="2" t="s">
        <v>1342</v>
      </c>
      <c r="P219" s="2" t="s">
        <v>1713</v>
      </c>
    </row>
    <row r="220" spans="1:16" x14ac:dyDescent="0.2">
      <c r="A220" s="2" t="s">
        <v>2424</v>
      </c>
      <c r="B220" s="2" t="s">
        <v>2639</v>
      </c>
      <c r="H220" s="2">
        <v>22</v>
      </c>
      <c r="I220" s="2">
        <v>501</v>
      </c>
      <c r="J220" s="2" t="s">
        <v>2182</v>
      </c>
      <c r="O220" s="2" t="s">
        <v>1343</v>
      </c>
      <c r="P220" s="2" t="s">
        <v>1714</v>
      </c>
    </row>
    <row r="221" spans="1:16" x14ac:dyDescent="0.2">
      <c r="A221" s="2" t="s">
        <v>2424</v>
      </c>
      <c r="B221" s="2" t="s">
        <v>2640</v>
      </c>
      <c r="H221" s="2">
        <v>22</v>
      </c>
      <c r="I221" s="2">
        <v>501</v>
      </c>
      <c r="J221" s="2" t="s">
        <v>2183</v>
      </c>
      <c r="O221" s="2" t="s">
        <v>1344</v>
      </c>
      <c r="P221" s="2" t="s">
        <v>1715</v>
      </c>
    </row>
    <row r="222" spans="1:16" x14ac:dyDescent="0.2">
      <c r="A222" s="2" t="s">
        <v>2424</v>
      </c>
      <c r="B222" s="2" t="s">
        <v>2641</v>
      </c>
      <c r="H222" s="2">
        <v>22</v>
      </c>
      <c r="I222" s="2">
        <v>501</v>
      </c>
      <c r="J222" s="2" t="s">
        <v>2184</v>
      </c>
      <c r="O222" s="2" t="s">
        <v>1345</v>
      </c>
      <c r="P222" s="2" t="s">
        <v>1716</v>
      </c>
    </row>
    <row r="223" spans="1:16" x14ac:dyDescent="0.2">
      <c r="A223" s="2" t="s">
        <v>2424</v>
      </c>
      <c r="B223" s="2" t="s">
        <v>2641</v>
      </c>
      <c r="H223" s="2">
        <v>22</v>
      </c>
      <c r="I223" s="2">
        <v>501</v>
      </c>
      <c r="J223" s="2" t="s">
        <v>2185</v>
      </c>
      <c r="O223" s="2" t="s">
        <v>1346</v>
      </c>
      <c r="P223" s="2" t="s">
        <v>1717</v>
      </c>
    </row>
    <row r="224" spans="1:16" x14ac:dyDescent="0.2">
      <c r="A224" s="2" t="s">
        <v>2424</v>
      </c>
      <c r="B224" s="2" t="s">
        <v>2642</v>
      </c>
      <c r="H224" s="2">
        <v>22</v>
      </c>
      <c r="I224" s="2">
        <v>501</v>
      </c>
      <c r="J224" s="2" t="s">
        <v>2186</v>
      </c>
      <c r="O224" s="2" t="s">
        <v>1347</v>
      </c>
      <c r="P224" s="2" t="s">
        <v>1718</v>
      </c>
    </row>
    <row r="225" spans="1:16" x14ac:dyDescent="0.2">
      <c r="A225" s="2" t="s">
        <v>2424</v>
      </c>
      <c r="B225" s="2" t="s">
        <v>2643</v>
      </c>
      <c r="H225" s="2">
        <v>22</v>
      </c>
      <c r="I225" s="2">
        <v>501</v>
      </c>
      <c r="J225" s="2" t="s">
        <v>2187</v>
      </c>
      <c r="O225" s="2" t="s">
        <v>1348</v>
      </c>
      <c r="P225" s="2" t="s">
        <v>1719</v>
      </c>
    </row>
    <row r="226" spans="1:16" x14ac:dyDescent="0.2">
      <c r="A226" s="2" t="s">
        <v>2424</v>
      </c>
      <c r="B226" s="2" t="s">
        <v>2644</v>
      </c>
      <c r="H226" s="2">
        <v>22</v>
      </c>
      <c r="I226" s="2">
        <v>501</v>
      </c>
      <c r="J226" s="2" t="s">
        <v>2188</v>
      </c>
      <c r="O226" s="2" t="s">
        <v>1349</v>
      </c>
      <c r="P226" s="2" t="s">
        <v>1720</v>
      </c>
    </row>
    <row r="227" spans="1:16" x14ac:dyDescent="0.2">
      <c r="A227" s="2" t="s">
        <v>2424</v>
      </c>
      <c r="B227" s="2" t="s">
        <v>2645</v>
      </c>
      <c r="H227" s="2">
        <v>22</v>
      </c>
      <c r="I227" s="2">
        <v>501</v>
      </c>
      <c r="J227" s="2" t="s">
        <v>2189</v>
      </c>
      <c r="O227" s="2" t="s">
        <v>1350</v>
      </c>
      <c r="P227" s="2" t="s">
        <v>1721</v>
      </c>
    </row>
    <row r="228" spans="1:16" x14ac:dyDescent="0.2">
      <c r="A228" s="2" t="s">
        <v>2424</v>
      </c>
      <c r="B228" s="2" t="s">
        <v>2646</v>
      </c>
      <c r="H228" s="2">
        <v>22</v>
      </c>
      <c r="I228" s="2">
        <v>501</v>
      </c>
      <c r="J228" s="2" t="s">
        <v>2190</v>
      </c>
      <c r="O228" s="2" t="s">
        <v>1351</v>
      </c>
      <c r="P228" s="2" t="s">
        <v>1722</v>
      </c>
    </row>
    <row r="229" spans="1:16" x14ac:dyDescent="0.2">
      <c r="A229" s="2" t="s">
        <v>2424</v>
      </c>
      <c r="B229" s="2" t="s">
        <v>2647</v>
      </c>
      <c r="H229" s="2">
        <v>22</v>
      </c>
      <c r="I229" s="2">
        <v>501</v>
      </c>
      <c r="J229" s="2" t="s">
        <v>2191</v>
      </c>
      <c r="O229" s="2" t="s">
        <v>1352</v>
      </c>
      <c r="P229" s="2" t="s">
        <v>1723</v>
      </c>
    </row>
    <row r="230" spans="1:16" x14ac:dyDescent="0.2">
      <c r="A230" s="2" t="s">
        <v>2424</v>
      </c>
      <c r="B230" s="2" t="s">
        <v>2648</v>
      </c>
      <c r="H230" s="2">
        <v>22</v>
      </c>
      <c r="I230" s="2">
        <v>501</v>
      </c>
      <c r="J230" s="2" t="s">
        <v>2192</v>
      </c>
      <c r="O230" s="2" t="s">
        <v>1353</v>
      </c>
      <c r="P230" s="2" t="s">
        <v>1724</v>
      </c>
    </row>
    <row r="231" spans="1:16" x14ac:dyDescent="0.2">
      <c r="A231" s="2" t="s">
        <v>2424</v>
      </c>
      <c r="B231" s="2" t="s">
        <v>2649</v>
      </c>
      <c r="H231" s="2">
        <v>22</v>
      </c>
      <c r="I231" s="2">
        <v>501</v>
      </c>
      <c r="J231" s="2" t="s">
        <v>2193</v>
      </c>
      <c r="O231" s="2" t="s">
        <v>1354</v>
      </c>
      <c r="P231" s="2" t="s">
        <v>1725</v>
      </c>
    </row>
    <row r="232" spans="1:16" x14ac:dyDescent="0.2">
      <c r="A232" s="2" t="s">
        <v>2424</v>
      </c>
      <c r="B232" s="2" t="s">
        <v>2650</v>
      </c>
      <c r="H232" s="2">
        <v>22</v>
      </c>
      <c r="I232" s="2">
        <v>501</v>
      </c>
      <c r="J232" s="2" t="s">
        <v>2194</v>
      </c>
      <c r="O232" s="2" t="s">
        <v>1355</v>
      </c>
      <c r="P232" s="2" t="s">
        <v>1726</v>
      </c>
    </row>
    <row r="233" spans="1:16" x14ac:dyDescent="0.2">
      <c r="A233" s="2" t="s">
        <v>2424</v>
      </c>
      <c r="B233" s="2" t="s">
        <v>2651</v>
      </c>
      <c r="H233" s="2">
        <v>22</v>
      </c>
      <c r="I233" s="2">
        <v>501</v>
      </c>
      <c r="J233" s="2" t="s">
        <v>2195</v>
      </c>
      <c r="O233" s="2" t="s">
        <v>1356</v>
      </c>
      <c r="P233" s="2" t="s">
        <v>1727</v>
      </c>
    </row>
    <row r="234" spans="1:16" x14ac:dyDescent="0.2">
      <c r="A234" s="2" t="s">
        <v>2424</v>
      </c>
      <c r="B234" s="2" t="s">
        <v>2652</v>
      </c>
      <c r="H234" s="2">
        <v>22</v>
      </c>
      <c r="I234" s="2">
        <v>501</v>
      </c>
      <c r="J234" s="2" t="s">
        <v>2196</v>
      </c>
      <c r="O234" s="2" t="s">
        <v>1357</v>
      </c>
      <c r="P234" s="2" t="s">
        <v>1728</v>
      </c>
    </row>
    <row r="235" spans="1:16" x14ac:dyDescent="0.2">
      <c r="A235" s="2" t="s">
        <v>2424</v>
      </c>
      <c r="B235" s="2" t="s">
        <v>2653</v>
      </c>
      <c r="H235" s="2">
        <v>22</v>
      </c>
      <c r="I235" s="2">
        <v>501</v>
      </c>
      <c r="J235" s="2" t="s">
        <v>2197</v>
      </c>
      <c r="O235" s="2" t="s">
        <v>1358</v>
      </c>
      <c r="P235" s="2" t="s">
        <v>1729</v>
      </c>
    </row>
    <row r="236" spans="1:16" x14ac:dyDescent="0.2">
      <c r="A236" s="2" t="s">
        <v>2424</v>
      </c>
      <c r="B236" s="2" t="s">
        <v>2654</v>
      </c>
      <c r="H236" s="2">
        <v>22</v>
      </c>
      <c r="I236" s="2">
        <v>501</v>
      </c>
      <c r="J236" s="2" t="s">
        <v>2198</v>
      </c>
      <c r="O236" s="2" t="s">
        <v>1359</v>
      </c>
      <c r="P236" s="2" t="s">
        <v>1730</v>
      </c>
    </row>
    <row r="237" spans="1:16" x14ac:dyDescent="0.2">
      <c r="A237" s="2" t="s">
        <v>2424</v>
      </c>
      <c r="B237" s="2" t="s">
        <v>2655</v>
      </c>
      <c r="H237" s="2">
        <v>22</v>
      </c>
      <c r="I237" s="2">
        <v>501</v>
      </c>
      <c r="J237" s="2" t="s">
        <v>2199</v>
      </c>
      <c r="O237" s="2" t="s">
        <v>1360</v>
      </c>
      <c r="P237" s="2" t="s">
        <v>1731</v>
      </c>
    </row>
    <row r="238" spans="1:16" x14ac:dyDescent="0.2">
      <c r="A238" s="2" t="s">
        <v>2424</v>
      </c>
      <c r="B238" s="2" t="s">
        <v>2656</v>
      </c>
      <c r="H238" s="2">
        <v>22</v>
      </c>
      <c r="I238" s="2">
        <v>501</v>
      </c>
      <c r="J238" s="2" t="s">
        <v>2200</v>
      </c>
      <c r="O238" s="2" t="s">
        <v>1361</v>
      </c>
      <c r="P238" s="2" t="s">
        <v>1732</v>
      </c>
    </row>
    <row r="239" spans="1:16" x14ac:dyDescent="0.2">
      <c r="A239" s="2" t="s">
        <v>2424</v>
      </c>
      <c r="B239" s="2" t="s">
        <v>2657</v>
      </c>
      <c r="H239" s="2">
        <v>22</v>
      </c>
      <c r="I239" s="2">
        <v>501</v>
      </c>
      <c r="J239" s="2" t="s">
        <v>2201</v>
      </c>
      <c r="O239" s="2" t="s">
        <v>1362</v>
      </c>
      <c r="P239" s="2" t="s">
        <v>1733</v>
      </c>
    </row>
    <row r="240" spans="1:16" x14ac:dyDescent="0.2">
      <c r="A240" s="2" t="s">
        <v>2424</v>
      </c>
      <c r="B240" s="2" t="s">
        <v>2658</v>
      </c>
      <c r="H240" s="2">
        <v>22</v>
      </c>
      <c r="I240" s="2">
        <v>501</v>
      </c>
      <c r="J240" s="2" t="s">
        <v>2202</v>
      </c>
      <c r="O240" s="2" t="s">
        <v>1363</v>
      </c>
      <c r="P240" s="2" t="s">
        <v>1734</v>
      </c>
    </row>
    <row r="241" spans="1:16" x14ac:dyDescent="0.2">
      <c r="A241" s="2" t="s">
        <v>2424</v>
      </c>
      <c r="B241" s="2" t="s">
        <v>2659</v>
      </c>
      <c r="H241" s="2">
        <v>22</v>
      </c>
      <c r="I241" s="2">
        <v>501</v>
      </c>
      <c r="J241" s="2" t="s">
        <v>2203</v>
      </c>
      <c r="O241" s="2" t="s">
        <v>1364</v>
      </c>
      <c r="P241" s="2" t="s">
        <v>1735</v>
      </c>
    </row>
    <row r="242" spans="1:16" x14ac:dyDescent="0.2">
      <c r="A242" s="2" t="s">
        <v>2424</v>
      </c>
      <c r="B242" s="2" t="s">
        <v>2660</v>
      </c>
      <c r="H242" s="2">
        <v>22</v>
      </c>
      <c r="I242" s="2">
        <v>501</v>
      </c>
      <c r="J242" s="2" t="s">
        <v>2204</v>
      </c>
      <c r="O242" s="2" t="s">
        <v>1365</v>
      </c>
      <c r="P242" s="2" t="s">
        <v>1736</v>
      </c>
    </row>
    <row r="243" spans="1:16" x14ac:dyDescent="0.2">
      <c r="A243" s="2" t="s">
        <v>2424</v>
      </c>
      <c r="B243" s="2" t="s">
        <v>2661</v>
      </c>
      <c r="H243" s="2">
        <v>22</v>
      </c>
      <c r="I243" s="2">
        <v>501</v>
      </c>
      <c r="J243" s="2" t="s">
        <v>2205</v>
      </c>
      <c r="O243" s="2" t="s">
        <v>1366</v>
      </c>
      <c r="P243" s="2" t="s">
        <v>1737</v>
      </c>
    </row>
    <row r="244" spans="1:16" x14ac:dyDescent="0.2">
      <c r="A244" s="2" t="s">
        <v>2424</v>
      </c>
      <c r="B244" s="2" t="s">
        <v>2662</v>
      </c>
      <c r="H244" s="2">
        <v>22</v>
      </c>
      <c r="I244" s="2">
        <v>501</v>
      </c>
      <c r="J244" s="2" t="s">
        <v>2206</v>
      </c>
      <c r="O244" s="2" t="s">
        <v>1367</v>
      </c>
      <c r="P244" s="2" t="s">
        <v>1738</v>
      </c>
    </row>
    <row r="245" spans="1:16" x14ac:dyDescent="0.2">
      <c r="A245" s="2" t="s">
        <v>2424</v>
      </c>
      <c r="B245" s="2" t="s">
        <v>2663</v>
      </c>
      <c r="H245" s="2">
        <v>22</v>
      </c>
      <c r="I245" s="2">
        <v>501</v>
      </c>
      <c r="J245" s="2" t="s">
        <v>2207</v>
      </c>
      <c r="O245" s="2" t="s">
        <v>1368</v>
      </c>
      <c r="P245" s="2" t="s">
        <v>1739</v>
      </c>
    </row>
    <row r="246" spans="1:16" x14ac:dyDescent="0.2">
      <c r="A246" s="2" t="s">
        <v>2424</v>
      </c>
      <c r="B246" s="2" t="s">
        <v>2664</v>
      </c>
      <c r="H246" s="2">
        <v>22</v>
      </c>
      <c r="I246" s="2">
        <v>501</v>
      </c>
      <c r="J246" s="2" t="s">
        <v>2208</v>
      </c>
      <c r="O246" s="2" t="s">
        <v>1369</v>
      </c>
      <c r="P246" s="2" t="s">
        <v>1740</v>
      </c>
    </row>
    <row r="247" spans="1:16" x14ac:dyDescent="0.2">
      <c r="A247" s="2" t="s">
        <v>2424</v>
      </c>
      <c r="B247" s="2" t="s">
        <v>2665</v>
      </c>
      <c r="H247" s="2">
        <v>22</v>
      </c>
      <c r="I247" s="2">
        <v>501</v>
      </c>
      <c r="J247" s="2" t="s">
        <v>2209</v>
      </c>
      <c r="O247" s="2" t="s">
        <v>1370</v>
      </c>
      <c r="P247" s="2" t="s">
        <v>1741</v>
      </c>
    </row>
    <row r="248" spans="1:16" x14ac:dyDescent="0.2">
      <c r="A248" s="2" t="s">
        <v>2424</v>
      </c>
      <c r="B248" s="2" t="s">
        <v>2666</v>
      </c>
      <c r="H248" s="2">
        <v>22</v>
      </c>
      <c r="I248" s="2">
        <v>501</v>
      </c>
      <c r="J248" s="2" t="s">
        <v>2210</v>
      </c>
      <c r="O248" s="2" t="s">
        <v>1371</v>
      </c>
      <c r="P248" s="2" t="s">
        <v>1742</v>
      </c>
    </row>
    <row r="249" spans="1:16" x14ac:dyDescent="0.2">
      <c r="A249" s="2" t="s">
        <v>2424</v>
      </c>
      <c r="B249" s="2" t="s">
        <v>2667</v>
      </c>
      <c r="H249" s="2">
        <v>22</v>
      </c>
      <c r="I249" s="2">
        <v>501</v>
      </c>
      <c r="J249" s="2" t="s">
        <v>2211</v>
      </c>
      <c r="O249" s="2" t="s">
        <v>1372</v>
      </c>
      <c r="P249" s="2" t="s">
        <v>1743</v>
      </c>
    </row>
    <row r="250" spans="1:16" x14ac:dyDescent="0.2">
      <c r="A250" s="2" t="s">
        <v>2424</v>
      </c>
      <c r="B250" s="2" t="s">
        <v>2668</v>
      </c>
      <c r="H250" s="2">
        <v>22</v>
      </c>
      <c r="I250" s="2">
        <v>501</v>
      </c>
      <c r="J250" s="2" t="s">
        <v>2212</v>
      </c>
      <c r="O250" s="2" t="s">
        <v>1373</v>
      </c>
      <c r="P250" s="2" t="s">
        <v>1744</v>
      </c>
    </row>
    <row r="251" spans="1:16" x14ac:dyDescent="0.2">
      <c r="A251" s="2" t="s">
        <v>2424</v>
      </c>
      <c r="B251" s="2" t="s">
        <v>2669</v>
      </c>
      <c r="H251" s="2">
        <v>22</v>
      </c>
      <c r="I251" s="2">
        <v>501</v>
      </c>
      <c r="J251" s="2" t="s">
        <v>2213</v>
      </c>
      <c r="O251" s="2" t="s">
        <v>1374</v>
      </c>
      <c r="P251" s="2" t="s">
        <v>1745</v>
      </c>
    </row>
    <row r="252" spans="1:16" x14ac:dyDescent="0.2">
      <c r="A252" s="2" t="s">
        <v>2424</v>
      </c>
      <c r="B252" s="2" t="s">
        <v>2670</v>
      </c>
      <c r="H252" s="2">
        <v>22</v>
      </c>
      <c r="I252" s="2">
        <v>501</v>
      </c>
      <c r="J252" s="2" t="s">
        <v>2214</v>
      </c>
      <c r="O252" s="2" t="s">
        <v>1375</v>
      </c>
      <c r="P252" s="2" t="s">
        <v>1746</v>
      </c>
    </row>
    <row r="253" spans="1:16" x14ac:dyDescent="0.2">
      <c r="A253" s="2" t="s">
        <v>2424</v>
      </c>
      <c r="B253" s="2" t="s">
        <v>2671</v>
      </c>
      <c r="H253" s="2">
        <v>22</v>
      </c>
      <c r="I253" s="2">
        <v>501</v>
      </c>
      <c r="J253" s="2" t="s">
        <v>2215</v>
      </c>
      <c r="O253" s="2" t="s">
        <v>1376</v>
      </c>
      <c r="P253" s="2" t="s">
        <v>1747</v>
      </c>
    </row>
    <row r="254" spans="1:16" x14ac:dyDescent="0.2">
      <c r="A254" s="2" t="s">
        <v>2424</v>
      </c>
      <c r="B254" s="2" t="s">
        <v>2672</v>
      </c>
      <c r="H254" s="2">
        <v>22</v>
      </c>
      <c r="I254" s="2">
        <v>501</v>
      </c>
      <c r="J254" s="2" t="s">
        <v>2216</v>
      </c>
      <c r="O254" s="2" t="s">
        <v>1377</v>
      </c>
      <c r="P254" s="2" t="s">
        <v>1748</v>
      </c>
    </row>
    <row r="255" spans="1:16" x14ac:dyDescent="0.2">
      <c r="A255" s="2" t="s">
        <v>2424</v>
      </c>
      <c r="B255" s="2" t="s">
        <v>2672</v>
      </c>
      <c r="H255" s="2">
        <v>22</v>
      </c>
      <c r="I255" s="2">
        <v>501</v>
      </c>
      <c r="J255" s="2" t="s">
        <v>2217</v>
      </c>
      <c r="O255" s="2" t="s">
        <v>1378</v>
      </c>
      <c r="P255" s="2" t="s">
        <v>1749</v>
      </c>
    </row>
    <row r="256" spans="1:16" x14ac:dyDescent="0.2">
      <c r="A256" s="2" t="s">
        <v>2424</v>
      </c>
      <c r="B256" s="2" t="s">
        <v>2673</v>
      </c>
      <c r="H256" s="2">
        <v>22</v>
      </c>
      <c r="I256" s="2">
        <v>501</v>
      </c>
      <c r="J256" s="2" t="s">
        <v>2218</v>
      </c>
      <c r="O256" s="2" t="s">
        <v>1379</v>
      </c>
      <c r="P256" s="2" t="s">
        <v>1750</v>
      </c>
    </row>
    <row r="257" spans="1:16" x14ac:dyDescent="0.2">
      <c r="A257" s="2" t="s">
        <v>2424</v>
      </c>
      <c r="B257" s="2" t="s">
        <v>2674</v>
      </c>
      <c r="H257" s="2">
        <v>22</v>
      </c>
      <c r="I257" s="2">
        <v>501</v>
      </c>
      <c r="J257" s="2" t="s">
        <v>2219</v>
      </c>
      <c r="O257" s="2" t="s">
        <v>1380</v>
      </c>
      <c r="P257" s="2" t="s">
        <v>1751</v>
      </c>
    </row>
    <row r="258" spans="1:16" x14ac:dyDescent="0.2">
      <c r="A258" s="2" t="s">
        <v>2424</v>
      </c>
      <c r="B258" s="2" t="s">
        <v>2675</v>
      </c>
      <c r="H258" s="2">
        <v>22</v>
      </c>
      <c r="I258" s="2">
        <v>501</v>
      </c>
      <c r="J258" s="2" t="s">
        <v>2220</v>
      </c>
      <c r="O258" s="2" t="s">
        <v>1381</v>
      </c>
      <c r="P258" s="2" t="s">
        <v>1752</v>
      </c>
    </row>
    <row r="259" spans="1:16" x14ac:dyDescent="0.2">
      <c r="A259" s="2" t="s">
        <v>2424</v>
      </c>
      <c r="B259" s="2" t="s">
        <v>2676</v>
      </c>
      <c r="H259" s="2">
        <v>22</v>
      </c>
      <c r="I259" s="2">
        <v>501</v>
      </c>
      <c r="J259" s="2" t="s">
        <v>2221</v>
      </c>
      <c r="O259" s="2" t="s">
        <v>1382</v>
      </c>
      <c r="P259" s="2" t="s">
        <v>1753</v>
      </c>
    </row>
    <row r="260" spans="1:16" x14ac:dyDescent="0.2">
      <c r="A260" s="2" t="s">
        <v>2424</v>
      </c>
      <c r="B260" s="2" t="s">
        <v>2677</v>
      </c>
      <c r="H260" s="2">
        <v>22</v>
      </c>
      <c r="I260" s="2">
        <v>501</v>
      </c>
      <c r="J260" s="2" t="s">
        <v>2222</v>
      </c>
      <c r="O260" s="2" t="s">
        <v>1383</v>
      </c>
      <c r="P260" s="2" t="s">
        <v>1754</v>
      </c>
    </row>
    <row r="261" spans="1:16" x14ac:dyDescent="0.2">
      <c r="A261" s="2" t="s">
        <v>2424</v>
      </c>
      <c r="B261" s="2" t="s">
        <v>2678</v>
      </c>
      <c r="H261" s="2">
        <v>22</v>
      </c>
      <c r="I261" s="2">
        <v>501</v>
      </c>
      <c r="J261" s="2" t="s">
        <v>2223</v>
      </c>
      <c r="O261" s="2" t="s">
        <v>1384</v>
      </c>
      <c r="P261" s="2" t="s">
        <v>1755</v>
      </c>
    </row>
    <row r="262" spans="1:16" x14ac:dyDescent="0.2">
      <c r="A262" s="2" t="s">
        <v>2424</v>
      </c>
      <c r="B262" s="2" t="s">
        <v>2679</v>
      </c>
      <c r="H262" s="2">
        <v>22</v>
      </c>
      <c r="I262" s="2">
        <v>501</v>
      </c>
      <c r="J262" s="2" t="s">
        <v>2224</v>
      </c>
      <c r="O262" s="2" t="s">
        <v>1385</v>
      </c>
      <c r="P262" s="2" t="s">
        <v>1756</v>
      </c>
    </row>
    <row r="263" spans="1:16" x14ac:dyDescent="0.2">
      <c r="A263" s="2" t="s">
        <v>2424</v>
      </c>
      <c r="B263" s="2" t="s">
        <v>2680</v>
      </c>
      <c r="H263" s="2">
        <v>22</v>
      </c>
      <c r="I263" s="2">
        <v>501</v>
      </c>
      <c r="J263" s="2" t="s">
        <v>2225</v>
      </c>
      <c r="O263" s="2" t="s">
        <v>1386</v>
      </c>
      <c r="P263" s="2" t="s">
        <v>1757</v>
      </c>
    </row>
    <row r="264" spans="1:16" x14ac:dyDescent="0.2">
      <c r="A264" s="2" t="s">
        <v>2424</v>
      </c>
      <c r="B264" s="2" t="s">
        <v>2681</v>
      </c>
      <c r="H264" s="2">
        <v>22</v>
      </c>
      <c r="I264" s="2">
        <v>501</v>
      </c>
      <c r="J264" s="2" t="s">
        <v>2226</v>
      </c>
      <c r="O264" s="2" t="s">
        <v>1387</v>
      </c>
      <c r="P264" s="2" t="s">
        <v>1758</v>
      </c>
    </row>
    <row r="265" spans="1:16" x14ac:dyDescent="0.2">
      <c r="A265" s="2" t="s">
        <v>2424</v>
      </c>
      <c r="B265" s="2" t="s">
        <v>2682</v>
      </c>
      <c r="H265" s="2">
        <v>22</v>
      </c>
      <c r="I265" s="2">
        <v>501</v>
      </c>
      <c r="J265" s="2" t="s">
        <v>2227</v>
      </c>
      <c r="O265" s="2" t="s">
        <v>1388</v>
      </c>
      <c r="P265" s="2" t="s">
        <v>1759</v>
      </c>
    </row>
    <row r="266" spans="1:16" x14ac:dyDescent="0.2">
      <c r="A266" s="2" t="s">
        <v>2424</v>
      </c>
      <c r="B266" s="2" t="s">
        <v>2683</v>
      </c>
      <c r="H266" s="2">
        <v>22</v>
      </c>
      <c r="I266" s="2">
        <v>501</v>
      </c>
      <c r="J266" s="2" t="s">
        <v>2228</v>
      </c>
      <c r="O266" s="2" t="s">
        <v>1389</v>
      </c>
      <c r="P266" s="2" t="s">
        <v>1760</v>
      </c>
    </row>
    <row r="267" spans="1:16" x14ac:dyDescent="0.2">
      <c r="A267" s="2" t="s">
        <v>2424</v>
      </c>
      <c r="B267" s="2" t="s">
        <v>2684</v>
      </c>
      <c r="H267" s="2">
        <v>22</v>
      </c>
      <c r="I267" s="2">
        <v>501</v>
      </c>
      <c r="J267" s="2" t="s">
        <v>2229</v>
      </c>
      <c r="O267" s="2" t="s">
        <v>1390</v>
      </c>
      <c r="P267" s="2" t="s">
        <v>1761</v>
      </c>
    </row>
    <row r="268" spans="1:16" x14ac:dyDescent="0.2">
      <c r="A268" s="2" t="s">
        <v>2424</v>
      </c>
      <c r="B268" s="2" t="s">
        <v>2685</v>
      </c>
      <c r="H268" s="2">
        <v>22</v>
      </c>
      <c r="I268" s="2">
        <v>501</v>
      </c>
      <c r="J268" s="2" t="s">
        <v>2230</v>
      </c>
      <c r="O268" s="2" t="s">
        <v>1391</v>
      </c>
      <c r="P268" s="2" t="s">
        <v>1762</v>
      </c>
    </row>
    <row r="269" spans="1:16" x14ac:dyDescent="0.2">
      <c r="A269" s="2" t="s">
        <v>2424</v>
      </c>
      <c r="B269" s="2" t="s">
        <v>2686</v>
      </c>
      <c r="H269" s="2">
        <v>22</v>
      </c>
      <c r="I269" s="2">
        <v>501</v>
      </c>
      <c r="J269" s="2" t="s">
        <v>2231</v>
      </c>
      <c r="O269" s="2" t="s">
        <v>1392</v>
      </c>
      <c r="P269" s="2" t="s">
        <v>1763</v>
      </c>
    </row>
    <row r="270" spans="1:16" x14ac:dyDescent="0.2">
      <c r="A270" s="2" t="s">
        <v>2424</v>
      </c>
      <c r="B270" s="2" t="s">
        <v>2687</v>
      </c>
      <c r="H270" s="2">
        <v>22</v>
      </c>
      <c r="I270" s="2">
        <v>501</v>
      </c>
      <c r="J270" s="2" t="s">
        <v>2232</v>
      </c>
      <c r="O270" s="2" t="s">
        <v>1393</v>
      </c>
      <c r="P270" s="2" t="s">
        <v>1764</v>
      </c>
    </row>
    <row r="271" spans="1:16" x14ac:dyDescent="0.2">
      <c r="A271" s="2" t="s">
        <v>2424</v>
      </c>
      <c r="B271" s="2" t="s">
        <v>2688</v>
      </c>
      <c r="H271" s="2">
        <v>22</v>
      </c>
      <c r="I271" s="2">
        <v>501</v>
      </c>
      <c r="J271" s="2" t="s">
        <v>2233</v>
      </c>
      <c r="O271" s="2" t="s">
        <v>1394</v>
      </c>
      <c r="P271" s="2" t="s">
        <v>1765</v>
      </c>
    </row>
    <row r="272" spans="1:16" x14ac:dyDescent="0.2">
      <c r="A272" s="2" t="s">
        <v>2424</v>
      </c>
      <c r="B272" s="2" t="s">
        <v>2689</v>
      </c>
      <c r="H272" s="2">
        <v>22</v>
      </c>
      <c r="I272" s="2">
        <v>501</v>
      </c>
      <c r="J272" s="2" t="s">
        <v>2234</v>
      </c>
      <c r="O272" s="2" t="s">
        <v>1395</v>
      </c>
      <c r="P272" s="2" t="s">
        <v>1766</v>
      </c>
    </row>
    <row r="273" spans="1:16" x14ac:dyDescent="0.2">
      <c r="A273" s="2" t="s">
        <v>2424</v>
      </c>
      <c r="B273" s="2" t="s">
        <v>2690</v>
      </c>
      <c r="H273" s="2">
        <v>22</v>
      </c>
      <c r="I273" s="2">
        <v>501</v>
      </c>
      <c r="J273" s="2" t="s">
        <v>2235</v>
      </c>
      <c r="O273" s="2" t="s">
        <v>1396</v>
      </c>
      <c r="P273" s="2" t="s">
        <v>1767</v>
      </c>
    </row>
    <row r="274" spans="1:16" x14ac:dyDescent="0.2">
      <c r="A274" s="2" t="s">
        <v>2424</v>
      </c>
      <c r="B274" s="2" t="s">
        <v>2691</v>
      </c>
      <c r="H274" s="2">
        <v>22</v>
      </c>
      <c r="I274" s="2">
        <v>501</v>
      </c>
      <c r="J274" s="2" t="s">
        <v>2236</v>
      </c>
      <c r="O274" s="2" t="s">
        <v>1397</v>
      </c>
      <c r="P274" s="2" t="s">
        <v>1768</v>
      </c>
    </row>
    <row r="275" spans="1:16" x14ac:dyDescent="0.2">
      <c r="A275" s="2" t="s">
        <v>2424</v>
      </c>
      <c r="B275" s="2" t="s">
        <v>2692</v>
      </c>
      <c r="H275" s="2">
        <v>22</v>
      </c>
      <c r="I275" s="2">
        <v>501</v>
      </c>
      <c r="J275" s="2" t="s">
        <v>2237</v>
      </c>
      <c r="O275" s="2" t="s">
        <v>1398</v>
      </c>
      <c r="P275" s="2" t="s">
        <v>1769</v>
      </c>
    </row>
    <row r="276" spans="1:16" x14ac:dyDescent="0.2">
      <c r="A276" s="2" t="s">
        <v>2424</v>
      </c>
      <c r="B276" s="2" t="s">
        <v>2693</v>
      </c>
      <c r="H276" s="2">
        <v>22</v>
      </c>
      <c r="I276" s="2">
        <v>501</v>
      </c>
      <c r="J276" s="2" t="s">
        <v>2238</v>
      </c>
      <c r="O276" s="2" t="s">
        <v>1399</v>
      </c>
      <c r="P276" s="2" t="s">
        <v>1770</v>
      </c>
    </row>
    <row r="277" spans="1:16" x14ac:dyDescent="0.2">
      <c r="A277" s="2" t="s">
        <v>2424</v>
      </c>
      <c r="B277" s="2" t="s">
        <v>2694</v>
      </c>
      <c r="H277" s="2">
        <v>22</v>
      </c>
      <c r="I277" s="2">
        <v>501</v>
      </c>
      <c r="J277" s="2" t="s">
        <v>2239</v>
      </c>
      <c r="O277" s="2" t="s">
        <v>1400</v>
      </c>
      <c r="P277" s="2" t="s">
        <v>1771</v>
      </c>
    </row>
    <row r="278" spans="1:16" x14ac:dyDescent="0.2">
      <c r="A278" s="2" t="s">
        <v>2424</v>
      </c>
      <c r="B278" s="2" t="s">
        <v>2695</v>
      </c>
      <c r="H278" s="2">
        <v>22</v>
      </c>
      <c r="I278" s="2">
        <v>501</v>
      </c>
      <c r="J278" s="2" t="s">
        <v>2240</v>
      </c>
      <c r="O278" s="2" t="s">
        <v>1401</v>
      </c>
      <c r="P278" s="2" t="s">
        <v>1772</v>
      </c>
    </row>
    <row r="279" spans="1:16" x14ac:dyDescent="0.2">
      <c r="A279" s="2" t="s">
        <v>2424</v>
      </c>
      <c r="B279" s="2" t="s">
        <v>2696</v>
      </c>
      <c r="H279" s="2">
        <v>22</v>
      </c>
      <c r="I279" s="2">
        <v>501</v>
      </c>
      <c r="J279" s="2" t="s">
        <v>2241</v>
      </c>
      <c r="O279" s="2" t="s">
        <v>1402</v>
      </c>
      <c r="P279" s="2" t="s">
        <v>1773</v>
      </c>
    </row>
    <row r="280" spans="1:16" x14ac:dyDescent="0.2">
      <c r="A280" s="2" t="s">
        <v>2424</v>
      </c>
      <c r="B280" s="2" t="s">
        <v>2697</v>
      </c>
      <c r="H280" s="2">
        <v>22</v>
      </c>
      <c r="I280" s="2">
        <v>501</v>
      </c>
      <c r="J280" s="2" t="s">
        <v>2242</v>
      </c>
      <c r="O280" s="2" t="s">
        <v>1403</v>
      </c>
      <c r="P280" s="2" t="s">
        <v>1774</v>
      </c>
    </row>
    <row r="281" spans="1:16" x14ac:dyDescent="0.2">
      <c r="A281" s="2" t="s">
        <v>2424</v>
      </c>
      <c r="B281" s="2" t="s">
        <v>2698</v>
      </c>
      <c r="H281" s="2">
        <v>22</v>
      </c>
      <c r="I281" s="2">
        <v>501</v>
      </c>
      <c r="J281" s="2" t="s">
        <v>2243</v>
      </c>
      <c r="O281" s="2" t="s">
        <v>1404</v>
      </c>
      <c r="P281" s="2" t="s">
        <v>1775</v>
      </c>
    </row>
    <row r="282" spans="1:16" x14ac:dyDescent="0.2">
      <c r="A282" s="2" t="s">
        <v>2424</v>
      </c>
      <c r="B282" s="2" t="s">
        <v>2699</v>
      </c>
      <c r="H282" s="2">
        <v>22</v>
      </c>
      <c r="I282" s="2">
        <v>501</v>
      </c>
      <c r="J282" s="2" t="s">
        <v>2244</v>
      </c>
      <c r="O282" s="2" t="s">
        <v>1405</v>
      </c>
      <c r="P282" s="2" t="s">
        <v>1776</v>
      </c>
    </row>
    <row r="283" spans="1:16" x14ac:dyDescent="0.2">
      <c r="A283" s="2" t="s">
        <v>2424</v>
      </c>
      <c r="B283" s="2" t="s">
        <v>2700</v>
      </c>
      <c r="H283" s="2">
        <v>22</v>
      </c>
      <c r="I283" s="2">
        <v>501</v>
      </c>
      <c r="J283" s="2" t="s">
        <v>2245</v>
      </c>
      <c r="O283" s="2" t="s">
        <v>1406</v>
      </c>
      <c r="P283" s="2" t="s">
        <v>1777</v>
      </c>
    </row>
    <row r="284" spans="1:16" x14ac:dyDescent="0.2">
      <c r="A284" s="2" t="s">
        <v>2424</v>
      </c>
      <c r="B284" s="2" t="s">
        <v>2701</v>
      </c>
      <c r="H284" s="2">
        <v>22</v>
      </c>
      <c r="I284" s="2">
        <v>501</v>
      </c>
      <c r="J284" s="2" t="s">
        <v>2246</v>
      </c>
      <c r="O284" s="2" t="s">
        <v>1407</v>
      </c>
      <c r="P284" s="2" t="s">
        <v>1778</v>
      </c>
    </row>
    <row r="285" spans="1:16" x14ac:dyDescent="0.2">
      <c r="A285" s="2" t="s">
        <v>2424</v>
      </c>
      <c r="B285" s="2" t="s">
        <v>2702</v>
      </c>
      <c r="H285" s="2">
        <v>22</v>
      </c>
      <c r="I285" s="2">
        <v>501</v>
      </c>
      <c r="J285" s="2" t="s">
        <v>2247</v>
      </c>
      <c r="O285" s="2" t="s">
        <v>1408</v>
      </c>
      <c r="P285" s="2" t="s">
        <v>1779</v>
      </c>
    </row>
    <row r="286" spans="1:16" x14ac:dyDescent="0.2">
      <c r="A286" s="2" t="s">
        <v>2424</v>
      </c>
      <c r="B286" s="2" t="s">
        <v>2703</v>
      </c>
      <c r="H286" s="2">
        <v>22</v>
      </c>
      <c r="I286" s="2">
        <v>501</v>
      </c>
      <c r="J286" s="2" t="s">
        <v>2248</v>
      </c>
      <c r="O286" s="2" t="s">
        <v>1409</v>
      </c>
      <c r="P286" s="2" t="s">
        <v>1780</v>
      </c>
    </row>
    <row r="287" spans="1:16" x14ac:dyDescent="0.2">
      <c r="A287" s="2" t="s">
        <v>2424</v>
      </c>
      <c r="B287" s="2" t="s">
        <v>2704</v>
      </c>
      <c r="H287" s="2">
        <v>22</v>
      </c>
      <c r="I287" s="2">
        <v>501</v>
      </c>
      <c r="J287" s="2" t="s">
        <v>2249</v>
      </c>
      <c r="O287" s="2" t="s">
        <v>1410</v>
      </c>
      <c r="P287" s="2" t="s">
        <v>1781</v>
      </c>
    </row>
    <row r="288" spans="1:16" x14ac:dyDescent="0.2">
      <c r="A288" s="2" t="s">
        <v>2424</v>
      </c>
      <c r="B288" s="2" t="s">
        <v>2705</v>
      </c>
      <c r="H288" s="2">
        <v>22</v>
      </c>
      <c r="I288" s="2">
        <v>501</v>
      </c>
      <c r="J288" s="2" t="s">
        <v>2250</v>
      </c>
      <c r="O288" s="2" t="s">
        <v>1411</v>
      </c>
      <c r="P288" s="2" t="s">
        <v>1782</v>
      </c>
    </row>
    <row r="289" spans="1:16" x14ac:dyDescent="0.2">
      <c r="A289" s="2" t="s">
        <v>2424</v>
      </c>
      <c r="B289" s="2" t="s">
        <v>2706</v>
      </c>
      <c r="H289" s="2">
        <v>22</v>
      </c>
      <c r="I289" s="2">
        <v>501</v>
      </c>
      <c r="J289" s="2" t="s">
        <v>2251</v>
      </c>
      <c r="O289" s="2" t="s">
        <v>1412</v>
      </c>
      <c r="P289" s="2" t="s">
        <v>1783</v>
      </c>
    </row>
    <row r="290" spans="1:16" x14ac:dyDescent="0.2">
      <c r="A290" s="2" t="s">
        <v>2424</v>
      </c>
      <c r="B290" s="2" t="s">
        <v>2707</v>
      </c>
      <c r="H290" s="2">
        <v>22</v>
      </c>
      <c r="I290" s="2">
        <v>501</v>
      </c>
      <c r="J290" s="2" t="s">
        <v>2252</v>
      </c>
      <c r="O290" s="2" t="s">
        <v>1413</v>
      </c>
      <c r="P290" s="2" t="s">
        <v>1784</v>
      </c>
    </row>
    <row r="291" spans="1:16" x14ac:dyDescent="0.2">
      <c r="A291" s="2" t="s">
        <v>2424</v>
      </c>
      <c r="B291" s="2" t="s">
        <v>2708</v>
      </c>
      <c r="H291" s="2">
        <v>22</v>
      </c>
      <c r="I291" s="2">
        <v>501</v>
      </c>
      <c r="J291" s="2" t="s">
        <v>2253</v>
      </c>
      <c r="O291" s="2" t="s">
        <v>1414</v>
      </c>
      <c r="P291" s="2" t="s">
        <v>1785</v>
      </c>
    </row>
    <row r="292" spans="1:16" x14ac:dyDescent="0.2">
      <c r="A292" s="2" t="s">
        <v>2424</v>
      </c>
      <c r="B292" s="2" t="s">
        <v>2709</v>
      </c>
      <c r="H292" s="2">
        <v>22</v>
      </c>
      <c r="I292" s="2">
        <v>501</v>
      </c>
      <c r="J292" s="2" t="s">
        <v>2254</v>
      </c>
      <c r="O292" s="2" t="s">
        <v>1415</v>
      </c>
      <c r="P292" s="2" t="s">
        <v>1786</v>
      </c>
    </row>
    <row r="293" spans="1:16" x14ac:dyDescent="0.2">
      <c r="A293" s="2" t="s">
        <v>2424</v>
      </c>
      <c r="B293" s="2" t="s">
        <v>2710</v>
      </c>
      <c r="H293" s="2">
        <v>22</v>
      </c>
      <c r="I293" s="2">
        <v>501</v>
      </c>
      <c r="J293" s="2" t="s">
        <v>2255</v>
      </c>
      <c r="O293" s="2" t="s">
        <v>1416</v>
      </c>
      <c r="P293" s="2" t="s">
        <v>1787</v>
      </c>
    </row>
    <row r="294" spans="1:16" x14ac:dyDescent="0.2">
      <c r="A294" s="2" t="s">
        <v>2424</v>
      </c>
      <c r="B294" s="2" t="s">
        <v>2711</v>
      </c>
      <c r="H294" s="2">
        <v>22</v>
      </c>
      <c r="I294" s="2">
        <v>501</v>
      </c>
      <c r="J294" s="2" t="s">
        <v>2256</v>
      </c>
      <c r="O294" s="2" t="s">
        <v>1417</v>
      </c>
      <c r="P294" s="2" t="s">
        <v>1788</v>
      </c>
    </row>
    <row r="295" spans="1:16" x14ac:dyDescent="0.2">
      <c r="A295" s="2" t="s">
        <v>2424</v>
      </c>
      <c r="B295" s="2" t="s">
        <v>2712</v>
      </c>
      <c r="H295" s="2">
        <v>22</v>
      </c>
      <c r="I295" s="2">
        <v>501</v>
      </c>
      <c r="J295" s="2" t="s">
        <v>2257</v>
      </c>
      <c r="O295" s="2" t="s">
        <v>1418</v>
      </c>
      <c r="P295" s="2" t="s">
        <v>1789</v>
      </c>
    </row>
    <row r="296" spans="1:16" x14ac:dyDescent="0.2">
      <c r="A296" s="2" t="s">
        <v>2424</v>
      </c>
      <c r="B296" s="2" t="s">
        <v>2713</v>
      </c>
      <c r="H296" s="2">
        <v>22</v>
      </c>
      <c r="I296" s="2">
        <v>501</v>
      </c>
      <c r="J296" s="2" t="s">
        <v>2258</v>
      </c>
      <c r="O296" s="2" t="s">
        <v>1418</v>
      </c>
      <c r="P296" s="2" t="s">
        <v>1790</v>
      </c>
    </row>
    <row r="297" spans="1:16" x14ac:dyDescent="0.2">
      <c r="A297" s="2" t="s">
        <v>2424</v>
      </c>
      <c r="B297" s="2" t="s">
        <v>2714</v>
      </c>
      <c r="H297" s="2">
        <v>22</v>
      </c>
      <c r="I297" s="2">
        <v>501</v>
      </c>
      <c r="J297" s="2" t="s">
        <v>2259</v>
      </c>
      <c r="O297" s="2" t="s">
        <v>1419</v>
      </c>
      <c r="P297" s="2" t="s">
        <v>1791</v>
      </c>
    </row>
    <row r="298" spans="1:16" x14ac:dyDescent="0.2">
      <c r="A298" s="2" t="s">
        <v>2424</v>
      </c>
      <c r="B298" s="2" t="s">
        <v>2715</v>
      </c>
      <c r="H298" s="2">
        <v>22</v>
      </c>
      <c r="I298" s="2">
        <v>501</v>
      </c>
      <c r="J298" s="2" t="s">
        <v>2260</v>
      </c>
      <c r="O298" s="2" t="s">
        <v>1420</v>
      </c>
      <c r="P298" s="2" t="s">
        <v>1792</v>
      </c>
    </row>
    <row r="299" spans="1:16" x14ac:dyDescent="0.2">
      <c r="A299" s="2" t="s">
        <v>2424</v>
      </c>
      <c r="B299" s="2" t="s">
        <v>2716</v>
      </c>
      <c r="H299" s="2">
        <v>22</v>
      </c>
      <c r="I299" s="2">
        <v>501</v>
      </c>
      <c r="J299" s="2" t="s">
        <v>2261</v>
      </c>
      <c r="O299" s="2" t="s">
        <v>1421</v>
      </c>
      <c r="P299" s="2" t="s">
        <v>1793</v>
      </c>
    </row>
    <row r="300" spans="1:16" x14ac:dyDescent="0.2">
      <c r="A300" s="2" t="s">
        <v>2424</v>
      </c>
      <c r="B300" s="2" t="s">
        <v>2717</v>
      </c>
      <c r="H300" s="2">
        <v>22</v>
      </c>
      <c r="I300" s="2">
        <v>501</v>
      </c>
      <c r="J300" s="2" t="s">
        <v>2262</v>
      </c>
      <c r="O300" s="2" t="s">
        <v>1422</v>
      </c>
      <c r="P300" s="2" t="s">
        <v>1794</v>
      </c>
    </row>
    <row r="301" spans="1:16" x14ac:dyDescent="0.2">
      <c r="A301" s="2" t="s">
        <v>2424</v>
      </c>
      <c r="B301" s="2" t="s">
        <v>2718</v>
      </c>
      <c r="H301" s="2">
        <v>22</v>
      </c>
      <c r="I301" s="2">
        <v>501</v>
      </c>
      <c r="J301" s="2" t="s">
        <v>2263</v>
      </c>
      <c r="O301" s="2" t="s">
        <v>1423</v>
      </c>
      <c r="P301" s="2" t="s">
        <v>1795</v>
      </c>
    </row>
    <row r="302" spans="1:16" x14ac:dyDescent="0.2">
      <c r="A302" s="2" t="s">
        <v>2424</v>
      </c>
      <c r="B302" s="2" t="s">
        <v>2719</v>
      </c>
      <c r="H302" s="2">
        <v>22</v>
      </c>
      <c r="I302" s="2">
        <v>501</v>
      </c>
      <c r="J302" s="2" t="s">
        <v>2264</v>
      </c>
      <c r="O302" s="2" t="s">
        <v>1424</v>
      </c>
      <c r="P302" s="2" t="s">
        <v>1796</v>
      </c>
    </row>
    <row r="303" spans="1:16" x14ac:dyDescent="0.2">
      <c r="A303" s="2" t="s">
        <v>2424</v>
      </c>
      <c r="B303" s="2" t="s">
        <v>2720</v>
      </c>
      <c r="H303" s="2">
        <v>22</v>
      </c>
      <c r="I303" s="2">
        <v>501</v>
      </c>
      <c r="J303" s="2" t="s">
        <v>2265</v>
      </c>
      <c r="O303" s="2" t="s">
        <v>1425</v>
      </c>
      <c r="P303" s="2" t="s">
        <v>1797</v>
      </c>
    </row>
    <row r="304" spans="1:16" x14ac:dyDescent="0.2">
      <c r="A304" s="2" t="s">
        <v>2424</v>
      </c>
      <c r="B304" s="2" t="s">
        <v>2721</v>
      </c>
      <c r="H304" s="2">
        <v>22</v>
      </c>
      <c r="I304" s="2">
        <v>501</v>
      </c>
      <c r="J304" s="2" t="s">
        <v>2266</v>
      </c>
      <c r="O304" s="2" t="s">
        <v>1426</v>
      </c>
      <c r="P304" s="2" t="s">
        <v>1798</v>
      </c>
    </row>
    <row r="305" spans="1:16" x14ac:dyDescent="0.2">
      <c r="A305" s="2" t="s">
        <v>2424</v>
      </c>
      <c r="B305" s="2" t="s">
        <v>2722</v>
      </c>
      <c r="H305" s="2">
        <v>22</v>
      </c>
      <c r="I305" s="2">
        <v>501</v>
      </c>
      <c r="J305" s="2" t="s">
        <v>2267</v>
      </c>
      <c r="O305" s="2" t="s">
        <v>1427</v>
      </c>
      <c r="P305" s="2" t="s">
        <v>1799</v>
      </c>
    </row>
    <row r="306" spans="1:16" x14ac:dyDescent="0.2">
      <c r="A306" s="2" t="s">
        <v>2424</v>
      </c>
      <c r="B306" s="2" t="s">
        <v>2723</v>
      </c>
      <c r="H306" s="2">
        <v>22</v>
      </c>
      <c r="I306" s="2">
        <v>501</v>
      </c>
      <c r="J306" s="2" t="s">
        <v>2268</v>
      </c>
      <c r="O306" s="2" t="s">
        <v>1428</v>
      </c>
      <c r="P306" s="2" t="s">
        <v>1800</v>
      </c>
    </row>
    <row r="307" spans="1:16" x14ac:dyDescent="0.2">
      <c r="A307" s="2" t="s">
        <v>2424</v>
      </c>
      <c r="B307" s="2" t="s">
        <v>2724</v>
      </c>
      <c r="H307" s="2">
        <v>22</v>
      </c>
      <c r="I307" s="2">
        <v>501</v>
      </c>
      <c r="J307" s="2" t="s">
        <v>2269</v>
      </c>
      <c r="O307" s="2" t="s">
        <v>1429</v>
      </c>
      <c r="P307" s="2" t="s">
        <v>1801</v>
      </c>
    </row>
    <row r="308" spans="1:16" x14ac:dyDescent="0.2">
      <c r="A308" s="2" t="s">
        <v>2424</v>
      </c>
      <c r="B308" s="2" t="s">
        <v>2725</v>
      </c>
      <c r="H308" s="2">
        <v>22</v>
      </c>
      <c r="I308" s="2">
        <v>501</v>
      </c>
      <c r="J308" s="2" t="s">
        <v>2270</v>
      </c>
      <c r="O308" s="2" t="s">
        <v>1430</v>
      </c>
      <c r="P308" s="2" t="s">
        <v>1802</v>
      </c>
    </row>
    <row r="309" spans="1:16" x14ac:dyDescent="0.2">
      <c r="A309" s="2" t="s">
        <v>2424</v>
      </c>
      <c r="B309" s="2" t="s">
        <v>2726</v>
      </c>
      <c r="H309" s="2">
        <v>22</v>
      </c>
      <c r="I309" s="2">
        <v>501</v>
      </c>
      <c r="J309" s="2" t="s">
        <v>2271</v>
      </c>
      <c r="O309" s="2" t="s">
        <v>1431</v>
      </c>
      <c r="P309" s="2" t="s">
        <v>1803</v>
      </c>
    </row>
    <row r="310" spans="1:16" x14ac:dyDescent="0.2">
      <c r="A310" s="2" t="s">
        <v>2424</v>
      </c>
      <c r="B310" s="2" t="s">
        <v>2727</v>
      </c>
      <c r="H310" s="2">
        <v>22</v>
      </c>
      <c r="I310" s="2">
        <v>501</v>
      </c>
      <c r="J310" s="2" t="s">
        <v>2271</v>
      </c>
      <c r="O310" s="2" t="s">
        <v>1432</v>
      </c>
      <c r="P310" s="2" t="s">
        <v>1804</v>
      </c>
    </row>
    <row r="311" spans="1:16" x14ac:dyDescent="0.2">
      <c r="A311" s="2" t="s">
        <v>2424</v>
      </c>
      <c r="B311" s="2" t="s">
        <v>2728</v>
      </c>
      <c r="H311" s="2">
        <v>22</v>
      </c>
      <c r="I311" s="2">
        <v>501</v>
      </c>
      <c r="J311" s="2" t="s">
        <v>2272</v>
      </c>
      <c r="O311" s="2" t="s">
        <v>1433</v>
      </c>
      <c r="P311" s="2" t="s">
        <v>1805</v>
      </c>
    </row>
    <row r="312" spans="1:16" x14ac:dyDescent="0.2">
      <c r="A312" s="2" t="s">
        <v>2424</v>
      </c>
      <c r="B312" s="2" t="s">
        <v>2729</v>
      </c>
      <c r="H312" s="2">
        <v>22</v>
      </c>
      <c r="I312" s="2">
        <v>501</v>
      </c>
      <c r="J312" s="2" t="s">
        <v>2273</v>
      </c>
      <c r="O312" s="2" t="s">
        <v>1434</v>
      </c>
      <c r="P312" s="2" t="s">
        <v>1806</v>
      </c>
    </row>
    <row r="313" spans="1:16" x14ac:dyDescent="0.2">
      <c r="A313" s="2" t="s">
        <v>2424</v>
      </c>
      <c r="B313" s="2" t="s">
        <v>2730</v>
      </c>
      <c r="H313" s="2">
        <v>22</v>
      </c>
      <c r="I313" s="2">
        <v>501</v>
      </c>
      <c r="J313" s="2" t="s">
        <v>2274</v>
      </c>
      <c r="O313" s="2" t="s">
        <v>1435</v>
      </c>
      <c r="P313" s="2" t="s">
        <v>1807</v>
      </c>
    </row>
    <row r="314" spans="1:16" x14ac:dyDescent="0.2">
      <c r="A314" s="2" t="s">
        <v>2424</v>
      </c>
      <c r="B314" s="2" t="s">
        <v>2731</v>
      </c>
      <c r="H314" s="2">
        <v>22</v>
      </c>
      <c r="I314" s="2">
        <v>501</v>
      </c>
      <c r="J314" s="2" t="s">
        <v>2275</v>
      </c>
      <c r="O314" s="2" t="s">
        <v>1436</v>
      </c>
      <c r="P314" s="2" t="s">
        <v>1808</v>
      </c>
    </row>
    <row r="315" spans="1:16" x14ac:dyDescent="0.2">
      <c r="A315" s="2" t="s">
        <v>2424</v>
      </c>
      <c r="B315" s="2" t="s">
        <v>2732</v>
      </c>
      <c r="H315" s="2">
        <v>22</v>
      </c>
      <c r="I315" s="2">
        <v>501</v>
      </c>
      <c r="J315" s="2" t="s">
        <v>2276</v>
      </c>
      <c r="O315" s="2" t="s">
        <v>1437</v>
      </c>
      <c r="P315" s="2" t="s">
        <v>1809</v>
      </c>
    </row>
    <row r="316" spans="1:16" x14ac:dyDescent="0.2">
      <c r="A316" s="2" t="s">
        <v>2424</v>
      </c>
      <c r="B316" s="2" t="s">
        <v>2733</v>
      </c>
      <c r="H316" s="2">
        <v>22</v>
      </c>
      <c r="I316" s="2">
        <v>501</v>
      </c>
      <c r="J316" s="2" t="s">
        <v>2277</v>
      </c>
      <c r="O316" s="2" t="s">
        <v>1438</v>
      </c>
      <c r="P316" s="2" t="s">
        <v>1810</v>
      </c>
    </row>
    <row r="317" spans="1:16" x14ac:dyDescent="0.2">
      <c r="A317" s="2" t="s">
        <v>2424</v>
      </c>
      <c r="B317" s="2" t="s">
        <v>2734</v>
      </c>
      <c r="H317" s="2">
        <v>22</v>
      </c>
      <c r="I317" s="2">
        <v>501</v>
      </c>
      <c r="J317" s="2" t="s">
        <v>2278</v>
      </c>
      <c r="O317" s="2" t="s">
        <v>1439</v>
      </c>
      <c r="P317" s="2" t="s">
        <v>1811</v>
      </c>
    </row>
    <row r="318" spans="1:16" x14ac:dyDescent="0.2">
      <c r="A318" s="2" t="s">
        <v>2424</v>
      </c>
      <c r="B318" s="2" t="s">
        <v>2735</v>
      </c>
      <c r="H318" s="2">
        <v>22</v>
      </c>
      <c r="I318" s="2">
        <v>501</v>
      </c>
      <c r="J318" s="2" t="s">
        <v>2279</v>
      </c>
      <c r="O318" s="2" t="s">
        <v>1440</v>
      </c>
      <c r="P318" s="2" t="s">
        <v>1812</v>
      </c>
    </row>
    <row r="319" spans="1:16" x14ac:dyDescent="0.2">
      <c r="A319" s="2" t="s">
        <v>2424</v>
      </c>
      <c r="B319" s="2" t="s">
        <v>2736</v>
      </c>
      <c r="H319" s="2">
        <v>22</v>
      </c>
      <c r="I319" s="2">
        <v>501</v>
      </c>
      <c r="J319" s="2" t="s">
        <v>2280</v>
      </c>
      <c r="O319" s="2" t="s">
        <v>1441</v>
      </c>
      <c r="P319" s="2" t="s">
        <v>1813</v>
      </c>
    </row>
    <row r="320" spans="1:16" x14ac:dyDescent="0.2">
      <c r="A320" s="2" t="s">
        <v>2424</v>
      </c>
      <c r="B320" s="2" t="s">
        <v>2737</v>
      </c>
      <c r="H320" s="2">
        <v>22</v>
      </c>
      <c r="I320" s="2">
        <v>501</v>
      </c>
      <c r="J320" s="2" t="s">
        <v>2281</v>
      </c>
      <c r="O320" s="2" t="s">
        <v>1442</v>
      </c>
      <c r="P320" s="2" t="s">
        <v>1814</v>
      </c>
    </row>
    <row r="321" spans="1:16" x14ac:dyDescent="0.2">
      <c r="A321" s="2" t="s">
        <v>2424</v>
      </c>
      <c r="B321" s="2" t="s">
        <v>2738</v>
      </c>
      <c r="H321" s="2">
        <v>22</v>
      </c>
      <c r="I321" s="2">
        <v>501</v>
      </c>
      <c r="J321" s="2" t="s">
        <v>2282</v>
      </c>
      <c r="O321" s="2" t="s">
        <v>1443</v>
      </c>
      <c r="P321" s="2" t="s">
        <v>1815</v>
      </c>
    </row>
    <row r="322" spans="1:16" x14ac:dyDescent="0.2">
      <c r="A322" s="2" t="s">
        <v>2424</v>
      </c>
      <c r="B322" s="2" t="s">
        <v>2739</v>
      </c>
      <c r="H322" s="2">
        <v>22</v>
      </c>
      <c r="I322" s="2">
        <v>501</v>
      </c>
      <c r="J322" s="2" t="s">
        <v>2078</v>
      </c>
      <c r="O322" s="2" t="s">
        <v>1444</v>
      </c>
      <c r="P322" s="2" t="s">
        <v>1816</v>
      </c>
    </row>
    <row r="323" spans="1:16" x14ac:dyDescent="0.2">
      <c r="A323" s="2" t="s">
        <v>2424</v>
      </c>
      <c r="B323" s="2" t="s">
        <v>2740</v>
      </c>
      <c r="H323" s="2">
        <v>22</v>
      </c>
      <c r="I323" s="2">
        <v>501</v>
      </c>
      <c r="J323" s="2" t="s">
        <v>2283</v>
      </c>
      <c r="O323" s="2" t="s">
        <v>1256</v>
      </c>
      <c r="P323" s="2" t="s">
        <v>1817</v>
      </c>
    </row>
    <row r="324" spans="1:16" x14ac:dyDescent="0.2">
      <c r="A324" s="2" t="s">
        <v>2424</v>
      </c>
      <c r="B324" s="2" t="s">
        <v>2741</v>
      </c>
      <c r="H324" s="2">
        <v>22</v>
      </c>
      <c r="I324" s="2">
        <v>501</v>
      </c>
      <c r="J324" s="2" t="s">
        <v>2284</v>
      </c>
      <c r="O324" s="2" t="s">
        <v>1445</v>
      </c>
      <c r="P324" s="2" t="s">
        <v>1818</v>
      </c>
    </row>
    <row r="325" spans="1:16" x14ac:dyDescent="0.2">
      <c r="A325" s="2" t="s">
        <v>2424</v>
      </c>
      <c r="B325" s="2" t="s">
        <v>2742</v>
      </c>
      <c r="H325" s="2">
        <v>22</v>
      </c>
      <c r="I325" s="2">
        <v>501</v>
      </c>
      <c r="J325" s="2" t="s">
        <v>2285</v>
      </c>
      <c r="O325" s="2" t="s">
        <v>1255</v>
      </c>
      <c r="P325" s="2" t="s">
        <v>1819</v>
      </c>
    </row>
    <row r="326" spans="1:16" x14ac:dyDescent="0.2">
      <c r="A326" s="2" t="s">
        <v>2424</v>
      </c>
      <c r="B326" s="2" t="s">
        <v>2743</v>
      </c>
      <c r="H326" s="2">
        <v>22</v>
      </c>
      <c r="I326" s="2">
        <v>501</v>
      </c>
      <c r="J326" s="2" t="s">
        <v>2286</v>
      </c>
      <c r="O326" s="2" t="s">
        <v>1252</v>
      </c>
      <c r="P326" s="2" t="s">
        <v>1820</v>
      </c>
    </row>
    <row r="327" spans="1:16" x14ac:dyDescent="0.2">
      <c r="A327" s="2" t="s">
        <v>2424</v>
      </c>
      <c r="B327" s="2" t="s">
        <v>2744</v>
      </c>
      <c r="H327" s="2">
        <v>22</v>
      </c>
      <c r="I327" s="2">
        <v>501</v>
      </c>
      <c r="J327" s="2" t="s">
        <v>2287</v>
      </c>
      <c r="O327" s="2" t="s">
        <v>1251</v>
      </c>
      <c r="P327" s="2" t="s">
        <v>1821</v>
      </c>
    </row>
    <row r="328" spans="1:16" x14ac:dyDescent="0.2">
      <c r="A328" s="2" t="s">
        <v>2424</v>
      </c>
      <c r="B328" s="2" t="s">
        <v>2745</v>
      </c>
      <c r="H328" s="2">
        <v>22</v>
      </c>
      <c r="I328" s="2">
        <v>501</v>
      </c>
      <c r="J328" s="2" t="s">
        <v>2288</v>
      </c>
      <c r="O328" s="2" t="s">
        <v>1446</v>
      </c>
      <c r="P328" s="2" t="s">
        <v>1822</v>
      </c>
    </row>
    <row r="329" spans="1:16" x14ac:dyDescent="0.2">
      <c r="A329" s="2" t="s">
        <v>2424</v>
      </c>
      <c r="B329" s="2" t="s">
        <v>2746</v>
      </c>
      <c r="H329" s="2">
        <v>22</v>
      </c>
      <c r="I329" s="2">
        <v>501</v>
      </c>
      <c r="J329" s="2" t="s">
        <v>2289</v>
      </c>
      <c r="O329" s="2" t="s">
        <v>1250</v>
      </c>
      <c r="P329" s="2" t="s">
        <v>1823</v>
      </c>
    </row>
    <row r="330" spans="1:16" x14ac:dyDescent="0.2">
      <c r="A330" s="2" t="s">
        <v>2424</v>
      </c>
      <c r="B330" s="2" t="s">
        <v>2747</v>
      </c>
      <c r="H330" s="2">
        <v>22</v>
      </c>
      <c r="I330" s="2">
        <v>501</v>
      </c>
      <c r="J330" s="2" t="s">
        <v>2290</v>
      </c>
      <c r="O330" s="2" t="s">
        <v>1249</v>
      </c>
      <c r="P330" s="2" t="s">
        <v>1824</v>
      </c>
    </row>
    <row r="331" spans="1:16" x14ac:dyDescent="0.2">
      <c r="A331" s="2" t="s">
        <v>2424</v>
      </c>
      <c r="B331" s="2" t="s">
        <v>2748</v>
      </c>
      <c r="H331" s="2">
        <v>22</v>
      </c>
      <c r="I331" s="2">
        <v>501</v>
      </c>
      <c r="J331" s="2" t="s">
        <v>2291</v>
      </c>
      <c r="O331" s="2" t="s">
        <v>1248</v>
      </c>
      <c r="P331" s="2" t="s">
        <v>1825</v>
      </c>
    </row>
    <row r="332" spans="1:16" x14ac:dyDescent="0.2">
      <c r="A332" s="2" t="s">
        <v>2424</v>
      </c>
      <c r="B332" s="2" t="s">
        <v>2749</v>
      </c>
      <c r="H332" s="2">
        <v>22</v>
      </c>
      <c r="I332" s="2">
        <v>501</v>
      </c>
      <c r="J332" s="2" t="s">
        <v>2292</v>
      </c>
      <c r="O332" s="2" t="s">
        <v>1247</v>
      </c>
      <c r="P332" s="2" t="s">
        <v>1826</v>
      </c>
    </row>
    <row r="333" spans="1:16" x14ac:dyDescent="0.2">
      <c r="A333" s="2" t="s">
        <v>2424</v>
      </c>
      <c r="B333" s="2" t="s">
        <v>2750</v>
      </c>
      <c r="H333" s="2">
        <v>22</v>
      </c>
      <c r="I333" s="2">
        <v>501</v>
      </c>
      <c r="J333" s="2" t="s">
        <v>2293</v>
      </c>
      <c r="O333" s="2" t="s">
        <v>1245</v>
      </c>
      <c r="P333" s="2" t="s">
        <v>1827</v>
      </c>
    </row>
    <row r="334" spans="1:16" x14ac:dyDescent="0.2">
      <c r="A334" s="2" t="s">
        <v>2424</v>
      </c>
      <c r="B334" s="2" t="s">
        <v>2751</v>
      </c>
      <c r="H334" s="2">
        <v>22</v>
      </c>
      <c r="I334" s="2">
        <v>501</v>
      </c>
      <c r="J334" s="2" t="s">
        <v>2294</v>
      </c>
      <c r="O334" s="2" t="s">
        <v>1244</v>
      </c>
      <c r="P334" s="2" t="s">
        <v>1828</v>
      </c>
    </row>
    <row r="335" spans="1:16" x14ac:dyDescent="0.2">
      <c r="A335" s="2" t="s">
        <v>2424</v>
      </c>
      <c r="B335" s="2" t="s">
        <v>2752</v>
      </c>
      <c r="H335" s="2">
        <v>22</v>
      </c>
      <c r="I335" s="2">
        <v>501</v>
      </c>
      <c r="J335" s="2" t="s">
        <v>2295</v>
      </c>
      <c r="O335" s="2" t="s">
        <v>1447</v>
      </c>
      <c r="P335" s="2" t="s">
        <v>1829</v>
      </c>
    </row>
    <row r="336" spans="1:16" x14ac:dyDescent="0.2">
      <c r="A336" s="2" t="s">
        <v>2424</v>
      </c>
      <c r="B336" s="2" t="s">
        <v>2753</v>
      </c>
      <c r="H336" s="2">
        <v>22</v>
      </c>
      <c r="I336" s="2">
        <v>501</v>
      </c>
      <c r="J336" s="2" t="s">
        <v>2296</v>
      </c>
      <c r="O336" s="2" t="s">
        <v>1243</v>
      </c>
      <c r="P336" s="2" t="s">
        <v>1830</v>
      </c>
    </row>
    <row r="337" spans="1:16" x14ac:dyDescent="0.2">
      <c r="A337" s="2" t="s">
        <v>2424</v>
      </c>
      <c r="B337" s="2" t="s">
        <v>2754</v>
      </c>
      <c r="H337" s="2">
        <v>22</v>
      </c>
      <c r="I337" s="2">
        <v>501</v>
      </c>
      <c r="J337" s="2" t="s">
        <v>2297</v>
      </c>
      <c r="O337" s="2" t="s">
        <v>1239</v>
      </c>
      <c r="P337" s="2" t="s">
        <v>1831</v>
      </c>
    </row>
    <row r="338" spans="1:16" x14ac:dyDescent="0.2">
      <c r="A338" s="2" t="s">
        <v>2424</v>
      </c>
      <c r="B338" s="2" t="s">
        <v>2755</v>
      </c>
      <c r="H338" s="2">
        <v>22</v>
      </c>
      <c r="I338" s="2">
        <v>501</v>
      </c>
      <c r="J338" s="2" t="s">
        <v>2298</v>
      </c>
      <c r="O338" s="2" t="s">
        <v>1238</v>
      </c>
      <c r="P338" s="2" t="s">
        <v>1832</v>
      </c>
    </row>
    <row r="339" spans="1:16" x14ac:dyDescent="0.2">
      <c r="A339" s="2" t="s">
        <v>2424</v>
      </c>
      <c r="B339" s="2" t="s">
        <v>2756</v>
      </c>
      <c r="H339" s="2">
        <v>22</v>
      </c>
      <c r="I339" s="2">
        <v>501</v>
      </c>
      <c r="J339" s="2" t="s">
        <v>2299</v>
      </c>
      <c r="O339" s="2" t="s">
        <v>1237</v>
      </c>
      <c r="P339" s="2" t="s">
        <v>1833</v>
      </c>
    </row>
    <row r="340" spans="1:16" x14ac:dyDescent="0.2">
      <c r="A340" s="2" t="s">
        <v>2424</v>
      </c>
      <c r="B340" s="2" t="s">
        <v>2757</v>
      </c>
      <c r="H340" s="2">
        <v>22</v>
      </c>
      <c r="I340" s="2">
        <v>501</v>
      </c>
      <c r="J340" s="2" t="s">
        <v>2300</v>
      </c>
      <c r="O340" s="2" t="s">
        <v>1236</v>
      </c>
      <c r="P340" s="2" t="s">
        <v>1834</v>
      </c>
    </row>
    <row r="341" spans="1:16" x14ac:dyDescent="0.2">
      <c r="A341" s="2" t="s">
        <v>2424</v>
      </c>
      <c r="B341" s="2" t="s">
        <v>2758</v>
      </c>
      <c r="H341" s="2">
        <v>22</v>
      </c>
      <c r="I341" s="2">
        <v>501</v>
      </c>
      <c r="J341" s="2" t="s">
        <v>2301</v>
      </c>
      <c r="O341" s="2" t="s">
        <v>1236</v>
      </c>
      <c r="P341" s="2" t="s">
        <v>1835</v>
      </c>
    </row>
    <row r="342" spans="1:16" x14ac:dyDescent="0.2">
      <c r="A342" s="2" t="s">
        <v>2424</v>
      </c>
      <c r="B342" s="2" t="s">
        <v>2759</v>
      </c>
      <c r="H342" s="2">
        <v>22</v>
      </c>
      <c r="I342" s="2">
        <v>501</v>
      </c>
      <c r="J342" s="2" t="s">
        <v>2302</v>
      </c>
      <c r="O342" s="2" t="s">
        <v>1235</v>
      </c>
      <c r="P342" s="2" t="s">
        <v>1836</v>
      </c>
    </row>
    <row r="343" spans="1:16" x14ac:dyDescent="0.2">
      <c r="A343" s="2" t="s">
        <v>2424</v>
      </c>
      <c r="B343" s="2" t="s">
        <v>2760</v>
      </c>
      <c r="H343" s="2">
        <v>22</v>
      </c>
      <c r="I343" s="2">
        <v>501</v>
      </c>
      <c r="J343" s="2" t="s">
        <v>2303</v>
      </c>
      <c r="O343" s="2" t="s">
        <v>1240</v>
      </c>
      <c r="P343" s="2" t="s">
        <v>1837</v>
      </c>
    </row>
    <row r="344" spans="1:16" x14ac:dyDescent="0.2">
      <c r="A344" s="2" t="s">
        <v>2424</v>
      </c>
      <c r="B344" s="2" t="s">
        <v>2761</v>
      </c>
      <c r="H344" s="2">
        <v>22</v>
      </c>
      <c r="I344" s="2">
        <v>501</v>
      </c>
      <c r="J344" s="2" t="s">
        <v>2304</v>
      </c>
      <c r="O344" s="2" t="s">
        <v>1448</v>
      </c>
      <c r="P344" s="2" t="s">
        <v>1838</v>
      </c>
    </row>
    <row r="345" spans="1:16" x14ac:dyDescent="0.2">
      <c r="A345" s="2" t="s">
        <v>2424</v>
      </c>
      <c r="B345" s="2" t="s">
        <v>2762</v>
      </c>
      <c r="H345" s="2">
        <v>22</v>
      </c>
      <c r="I345" s="2">
        <v>501</v>
      </c>
      <c r="J345" s="2" t="s">
        <v>2070</v>
      </c>
      <c r="O345" s="2" t="s">
        <v>1234</v>
      </c>
      <c r="P345" s="2" t="s">
        <v>1839</v>
      </c>
    </row>
    <row r="346" spans="1:16" x14ac:dyDescent="0.2">
      <c r="A346" s="2" t="s">
        <v>2424</v>
      </c>
      <c r="B346" s="2" t="s">
        <v>2763</v>
      </c>
      <c r="H346" s="2">
        <v>22</v>
      </c>
      <c r="I346" s="2">
        <v>501</v>
      </c>
      <c r="J346" s="2" t="s">
        <v>2071</v>
      </c>
      <c r="O346" s="2" t="s">
        <v>1448</v>
      </c>
      <c r="P346" s="2" t="s">
        <v>1573</v>
      </c>
    </row>
    <row r="347" spans="1:16" x14ac:dyDescent="0.2">
      <c r="A347" s="2" t="s">
        <v>2424</v>
      </c>
      <c r="B347" s="2" t="s">
        <v>2764</v>
      </c>
      <c r="H347" s="2">
        <v>22</v>
      </c>
      <c r="I347" s="2">
        <v>501</v>
      </c>
      <c r="J347" s="2" t="s">
        <v>2305</v>
      </c>
      <c r="O347" s="2" t="s">
        <v>1233</v>
      </c>
      <c r="P347" s="2" t="s">
        <v>1840</v>
      </c>
    </row>
    <row r="348" spans="1:16" x14ac:dyDescent="0.2">
      <c r="A348" s="2" t="s">
        <v>2424</v>
      </c>
      <c r="B348" s="2" t="s">
        <v>2765</v>
      </c>
      <c r="H348" s="2">
        <v>22</v>
      </c>
      <c r="I348" s="2">
        <v>501</v>
      </c>
      <c r="J348" s="2" t="s">
        <v>2072</v>
      </c>
      <c r="O348" s="2" t="s">
        <v>1233</v>
      </c>
      <c r="P348" s="2" t="s">
        <v>1574</v>
      </c>
    </row>
    <row r="349" spans="1:16" x14ac:dyDescent="0.2">
      <c r="A349" s="2" t="s">
        <v>2423</v>
      </c>
      <c r="B349" s="2" t="s">
        <v>2547</v>
      </c>
      <c r="H349" s="2">
        <v>22</v>
      </c>
      <c r="I349" s="2">
        <v>501</v>
      </c>
      <c r="J349" s="2" t="s">
        <v>2072</v>
      </c>
      <c r="O349" s="2" t="s">
        <v>1231</v>
      </c>
      <c r="P349" s="2" t="s">
        <v>1574</v>
      </c>
    </row>
    <row r="350" spans="1:16" x14ac:dyDescent="0.2">
      <c r="A350" s="2" t="s">
        <v>2424</v>
      </c>
      <c r="B350" s="2" t="s">
        <v>2766</v>
      </c>
      <c r="H350" s="2">
        <v>22</v>
      </c>
      <c r="I350" s="2">
        <v>501</v>
      </c>
      <c r="J350" s="2" t="s">
        <v>2073</v>
      </c>
      <c r="O350" s="2" t="s">
        <v>1233</v>
      </c>
      <c r="P350" s="2" t="s">
        <v>1575</v>
      </c>
    </row>
    <row r="351" spans="1:16" x14ac:dyDescent="0.2">
      <c r="A351" s="2" t="s">
        <v>2424</v>
      </c>
      <c r="B351" s="2" t="s">
        <v>2767</v>
      </c>
      <c r="H351" s="2">
        <v>22</v>
      </c>
      <c r="I351" s="2">
        <v>501</v>
      </c>
      <c r="J351" s="2" t="s">
        <v>2075</v>
      </c>
      <c r="O351" s="2" t="s">
        <v>1233</v>
      </c>
      <c r="P351" s="2" t="s">
        <v>1577</v>
      </c>
    </row>
    <row r="352" spans="1:16" x14ac:dyDescent="0.2">
      <c r="A352" s="2" t="s">
        <v>2424</v>
      </c>
      <c r="B352" s="2" t="s">
        <v>2768</v>
      </c>
      <c r="H352" s="2">
        <v>22</v>
      </c>
      <c r="I352" s="2">
        <v>501</v>
      </c>
      <c r="J352" s="2" t="s">
        <v>2306</v>
      </c>
      <c r="O352" s="2" t="s">
        <v>1242</v>
      </c>
      <c r="P352" s="2" t="s">
        <v>1841</v>
      </c>
    </row>
    <row r="353" spans="1:16" x14ac:dyDescent="0.2">
      <c r="A353" s="2" t="s">
        <v>2424</v>
      </c>
      <c r="B353" s="2" t="s">
        <v>2769</v>
      </c>
      <c r="H353" s="2">
        <v>22</v>
      </c>
      <c r="I353" s="2">
        <v>501</v>
      </c>
      <c r="J353" s="2" t="s">
        <v>2076</v>
      </c>
      <c r="O353" s="2" t="s">
        <v>1232</v>
      </c>
      <c r="P353" s="2" t="s">
        <v>1578</v>
      </c>
    </row>
    <row r="354" spans="1:16" x14ac:dyDescent="0.2">
      <c r="A354" s="2" t="s">
        <v>2424</v>
      </c>
      <c r="B354" s="2" t="s">
        <v>2770</v>
      </c>
      <c r="H354" s="2">
        <v>22</v>
      </c>
      <c r="I354" s="2">
        <v>501</v>
      </c>
      <c r="J354" s="2" t="s">
        <v>2077</v>
      </c>
      <c r="O354" s="2" t="s">
        <v>1232</v>
      </c>
      <c r="P354" s="2" t="s">
        <v>1842</v>
      </c>
    </row>
    <row r="355" spans="1:16" x14ac:dyDescent="0.2">
      <c r="A355" s="2" t="s">
        <v>2424</v>
      </c>
      <c r="B355" s="2" t="s">
        <v>2771</v>
      </c>
      <c r="H355" s="2">
        <v>22</v>
      </c>
      <c r="I355" s="2">
        <v>501</v>
      </c>
      <c r="J355" s="2" t="s">
        <v>2307</v>
      </c>
      <c r="O355" s="2" t="s">
        <v>1232</v>
      </c>
      <c r="P355" s="2" t="s">
        <v>1580</v>
      </c>
    </row>
    <row r="356" spans="1:16" x14ac:dyDescent="0.2">
      <c r="A356" s="2" t="s">
        <v>2424</v>
      </c>
      <c r="B356" s="2" t="s">
        <v>2772</v>
      </c>
      <c r="H356" s="2">
        <v>22</v>
      </c>
      <c r="I356" s="2">
        <v>501</v>
      </c>
      <c r="J356" s="2" t="s">
        <v>2079</v>
      </c>
      <c r="O356" s="2" t="s">
        <v>1232</v>
      </c>
      <c r="P356" s="2" t="s">
        <v>1581</v>
      </c>
    </row>
    <row r="357" spans="1:16" x14ac:dyDescent="0.2">
      <c r="A357" s="2" t="s">
        <v>2424</v>
      </c>
      <c r="B357" s="2" t="s">
        <v>2773</v>
      </c>
      <c r="H357" s="2">
        <v>22</v>
      </c>
      <c r="I357" s="2">
        <v>501</v>
      </c>
      <c r="J357" s="2" t="s">
        <v>2308</v>
      </c>
      <c r="O357" s="2" t="s">
        <v>1232</v>
      </c>
      <c r="P357" s="2" t="s">
        <v>1582</v>
      </c>
    </row>
    <row r="358" spans="1:16" x14ac:dyDescent="0.2">
      <c r="A358" s="2" t="s">
        <v>2424</v>
      </c>
      <c r="B358" s="2" t="s">
        <v>2774</v>
      </c>
      <c r="H358" s="2">
        <v>22</v>
      </c>
      <c r="I358" s="2">
        <v>501</v>
      </c>
      <c r="J358" s="2" t="s">
        <v>2081</v>
      </c>
      <c r="O358" s="2" t="s">
        <v>1232</v>
      </c>
      <c r="P358" s="2" t="s">
        <v>1583</v>
      </c>
    </row>
    <row r="359" spans="1:16" x14ac:dyDescent="0.2">
      <c r="A359" s="2" t="s">
        <v>2424</v>
      </c>
      <c r="B359" s="2" t="s">
        <v>2775</v>
      </c>
      <c r="H359" s="2">
        <v>22</v>
      </c>
      <c r="I359" s="2">
        <v>501</v>
      </c>
      <c r="J359" s="2" t="s">
        <v>2082</v>
      </c>
      <c r="O359" s="2" t="s">
        <v>1231</v>
      </c>
      <c r="P359" s="2" t="s">
        <v>1584</v>
      </c>
    </row>
    <row r="360" spans="1:16" x14ac:dyDescent="0.2">
      <c r="A360" s="2" t="s">
        <v>2424</v>
      </c>
      <c r="B360" s="2" t="s">
        <v>2776</v>
      </c>
      <c r="H360" s="2">
        <v>22</v>
      </c>
      <c r="I360" s="2">
        <v>501</v>
      </c>
      <c r="J360" s="2" t="s">
        <v>2083</v>
      </c>
      <c r="O360" s="2" t="s">
        <v>1231</v>
      </c>
      <c r="P360" s="2" t="s">
        <v>1843</v>
      </c>
    </row>
    <row r="361" spans="1:16" x14ac:dyDescent="0.2">
      <c r="A361" s="2" t="s">
        <v>2424</v>
      </c>
      <c r="B361" s="2" t="s">
        <v>2777</v>
      </c>
      <c r="H361" s="2">
        <v>22</v>
      </c>
      <c r="I361" s="2">
        <v>501</v>
      </c>
      <c r="J361" s="2" t="s">
        <v>2084</v>
      </c>
      <c r="O361" s="2" t="s">
        <v>1231</v>
      </c>
      <c r="P361" s="2" t="s">
        <v>1586</v>
      </c>
    </row>
    <row r="362" spans="1:16" x14ac:dyDescent="0.2">
      <c r="A362" s="2" t="s">
        <v>2424</v>
      </c>
      <c r="B362" s="2" t="s">
        <v>2778</v>
      </c>
      <c r="H362" s="2">
        <v>22</v>
      </c>
      <c r="I362" s="2">
        <v>501</v>
      </c>
      <c r="J362" s="2" t="s">
        <v>2085</v>
      </c>
      <c r="O362" s="2" t="s">
        <v>1231</v>
      </c>
      <c r="P362" s="2" t="s">
        <v>1587</v>
      </c>
    </row>
    <row r="363" spans="1:16" x14ac:dyDescent="0.2">
      <c r="A363" s="2" t="s">
        <v>2424</v>
      </c>
      <c r="B363" s="2" t="s">
        <v>2779</v>
      </c>
      <c r="H363" s="2">
        <v>22</v>
      </c>
      <c r="I363" s="2">
        <v>501</v>
      </c>
      <c r="J363" s="2" t="s">
        <v>2086</v>
      </c>
      <c r="O363" s="2" t="s">
        <v>1231</v>
      </c>
      <c r="P363" s="2" t="s">
        <v>1844</v>
      </c>
    </row>
    <row r="364" spans="1:16" x14ac:dyDescent="0.2">
      <c r="A364" s="2" t="s">
        <v>2424</v>
      </c>
      <c r="B364" s="2" t="s">
        <v>2780</v>
      </c>
      <c r="H364" s="2">
        <v>22</v>
      </c>
      <c r="I364" s="2">
        <v>501</v>
      </c>
      <c r="J364" s="2" t="s">
        <v>2087</v>
      </c>
      <c r="O364" s="2" t="s">
        <v>1231</v>
      </c>
      <c r="P364" s="2" t="s">
        <v>1589</v>
      </c>
    </row>
    <row r="365" spans="1:16" x14ac:dyDescent="0.2">
      <c r="A365" s="2" t="s">
        <v>2424</v>
      </c>
      <c r="B365" s="2" t="s">
        <v>2781</v>
      </c>
      <c r="H365" s="2">
        <v>22</v>
      </c>
      <c r="I365" s="2">
        <v>501</v>
      </c>
      <c r="J365" s="2" t="s">
        <v>2088</v>
      </c>
      <c r="O365" s="2" t="s">
        <v>1230</v>
      </c>
      <c r="P365" s="2" t="s">
        <v>1590</v>
      </c>
    </row>
    <row r="366" spans="1:16" x14ac:dyDescent="0.2">
      <c r="A366" s="2" t="s">
        <v>2424</v>
      </c>
      <c r="B366" s="2" t="s">
        <v>2782</v>
      </c>
      <c r="H366" s="2">
        <v>22</v>
      </c>
      <c r="I366" s="2">
        <v>501</v>
      </c>
      <c r="J366" s="2" t="s">
        <v>2309</v>
      </c>
      <c r="O366" s="2" t="s">
        <v>1230</v>
      </c>
      <c r="P366" s="2" t="s">
        <v>1591</v>
      </c>
    </row>
    <row r="367" spans="1:16" x14ac:dyDescent="0.2">
      <c r="A367" s="2" t="s">
        <v>2424</v>
      </c>
      <c r="B367" s="2" t="s">
        <v>2783</v>
      </c>
      <c r="H367" s="2">
        <v>22</v>
      </c>
      <c r="I367" s="2">
        <v>501</v>
      </c>
      <c r="J367" s="2" t="s">
        <v>2310</v>
      </c>
      <c r="O367" s="2" t="s">
        <v>1230</v>
      </c>
      <c r="P367" s="2" t="s">
        <v>1592</v>
      </c>
    </row>
    <row r="368" spans="1:16" x14ac:dyDescent="0.2">
      <c r="A368" s="2" t="s">
        <v>2424</v>
      </c>
      <c r="B368" s="2" t="s">
        <v>2784</v>
      </c>
      <c r="H368" s="2">
        <v>22</v>
      </c>
      <c r="I368" s="2">
        <v>501</v>
      </c>
      <c r="J368" s="2" t="s">
        <v>2091</v>
      </c>
      <c r="O368" s="2" t="s">
        <v>1230</v>
      </c>
      <c r="P368" s="2" t="s">
        <v>1593</v>
      </c>
    </row>
    <row r="369" spans="1:16" x14ac:dyDescent="0.2">
      <c r="A369" s="2" t="s">
        <v>2424</v>
      </c>
      <c r="B369" s="2" t="s">
        <v>2785</v>
      </c>
      <c r="H369" s="2">
        <v>22</v>
      </c>
      <c r="I369" s="2">
        <v>501</v>
      </c>
      <c r="J369" s="2" t="s">
        <v>2092</v>
      </c>
      <c r="O369" s="2" t="s">
        <v>1230</v>
      </c>
      <c r="P369" s="2" t="s">
        <v>1594</v>
      </c>
    </row>
    <row r="370" spans="1:16" x14ac:dyDescent="0.2">
      <c r="A370" s="2" t="s">
        <v>2424</v>
      </c>
      <c r="B370" s="2" t="s">
        <v>2786</v>
      </c>
      <c r="H370" s="2">
        <v>22</v>
      </c>
      <c r="I370" s="2">
        <v>501</v>
      </c>
      <c r="J370" s="2" t="s">
        <v>2093</v>
      </c>
      <c r="O370" s="2" t="s">
        <v>1230</v>
      </c>
      <c r="P370" s="2" t="s">
        <v>1845</v>
      </c>
    </row>
    <row r="371" spans="1:16" x14ac:dyDescent="0.2">
      <c r="A371" s="2" t="s">
        <v>2424</v>
      </c>
      <c r="B371" s="2" t="s">
        <v>2787</v>
      </c>
      <c r="H371" s="2">
        <v>22</v>
      </c>
      <c r="I371" s="2">
        <v>501</v>
      </c>
      <c r="J371" s="2" t="s">
        <v>2311</v>
      </c>
      <c r="O371" s="2" t="s">
        <v>1229</v>
      </c>
      <c r="P371" s="2" t="s">
        <v>1846</v>
      </c>
    </row>
    <row r="372" spans="1:16" x14ac:dyDescent="0.2">
      <c r="A372" s="2" t="s">
        <v>2423</v>
      </c>
      <c r="B372" s="2" t="s">
        <v>2788</v>
      </c>
      <c r="H372" s="2">
        <v>22</v>
      </c>
      <c r="I372" s="2">
        <v>501</v>
      </c>
      <c r="J372" s="2" t="s">
        <v>2311</v>
      </c>
      <c r="O372" s="2" t="s">
        <v>1449</v>
      </c>
      <c r="P372" s="2" t="s">
        <v>1846</v>
      </c>
    </row>
    <row r="373" spans="1:16" x14ac:dyDescent="0.2">
      <c r="A373" s="2" t="s">
        <v>2424</v>
      </c>
      <c r="B373" s="2" t="s">
        <v>2789</v>
      </c>
      <c r="H373" s="2">
        <v>22</v>
      </c>
      <c r="I373" s="2">
        <v>501</v>
      </c>
      <c r="J373" s="2" t="s">
        <v>2312</v>
      </c>
      <c r="O373" s="2" t="s">
        <v>1229</v>
      </c>
      <c r="P373" s="2" t="s">
        <v>1847</v>
      </c>
    </row>
    <row r="374" spans="1:16" x14ac:dyDescent="0.2">
      <c r="A374" s="2" t="s">
        <v>2423</v>
      </c>
      <c r="B374" s="2" t="s">
        <v>2790</v>
      </c>
      <c r="H374" s="2">
        <v>22</v>
      </c>
      <c r="I374" s="2">
        <v>501</v>
      </c>
      <c r="J374" s="2" t="s">
        <v>2312</v>
      </c>
      <c r="O374" s="2" t="s">
        <v>1231</v>
      </c>
      <c r="P374" s="2" t="s">
        <v>1847</v>
      </c>
    </row>
    <row r="375" spans="1:16" x14ac:dyDescent="0.2">
      <c r="A375" s="2" t="s">
        <v>2424</v>
      </c>
      <c r="B375" s="2" t="s">
        <v>2791</v>
      </c>
      <c r="H375" s="2">
        <v>22</v>
      </c>
      <c r="I375" s="2">
        <v>501</v>
      </c>
      <c r="J375" s="2" t="s">
        <v>2313</v>
      </c>
      <c r="O375" s="2" t="s">
        <v>1229</v>
      </c>
      <c r="P375" s="2" t="s">
        <v>1848</v>
      </c>
    </row>
    <row r="376" spans="1:16" x14ac:dyDescent="0.2">
      <c r="A376" s="2" t="s">
        <v>2424</v>
      </c>
      <c r="B376" s="2" t="s">
        <v>2792</v>
      </c>
      <c r="H376" s="2">
        <v>22</v>
      </c>
      <c r="I376" s="2">
        <v>501</v>
      </c>
      <c r="J376" s="2" t="s">
        <v>2314</v>
      </c>
      <c r="O376" s="2" t="s">
        <v>1229</v>
      </c>
      <c r="P376" s="2" t="s">
        <v>1849</v>
      </c>
    </row>
    <row r="377" spans="1:16" x14ac:dyDescent="0.2">
      <c r="A377" s="2" t="s">
        <v>2424</v>
      </c>
      <c r="B377" s="2" t="s">
        <v>2793</v>
      </c>
      <c r="H377" s="2">
        <v>22</v>
      </c>
      <c r="I377" s="2">
        <v>501</v>
      </c>
      <c r="J377" s="2" t="s">
        <v>2315</v>
      </c>
      <c r="O377" s="2" t="s">
        <v>1229</v>
      </c>
      <c r="P377" s="2" t="s">
        <v>1850</v>
      </c>
    </row>
    <row r="378" spans="1:16" x14ac:dyDescent="0.2">
      <c r="A378" s="2" t="s">
        <v>2424</v>
      </c>
      <c r="B378" s="2" t="s">
        <v>2794</v>
      </c>
      <c r="H378" s="2">
        <v>22</v>
      </c>
      <c r="I378" s="2">
        <v>501</v>
      </c>
      <c r="J378" s="2" t="s">
        <v>2316</v>
      </c>
      <c r="O378" s="2" t="s">
        <v>1229</v>
      </c>
      <c r="P378" s="2" t="s">
        <v>1851</v>
      </c>
    </row>
    <row r="379" spans="1:16" x14ac:dyDescent="0.2">
      <c r="A379" s="2" t="s">
        <v>2424</v>
      </c>
      <c r="B379" s="2" t="s">
        <v>2795</v>
      </c>
      <c r="H379" s="2">
        <v>22</v>
      </c>
      <c r="I379" s="2">
        <v>501</v>
      </c>
      <c r="J379" s="2" t="s">
        <v>2317</v>
      </c>
      <c r="O379" s="2" t="s">
        <v>1227</v>
      </c>
      <c r="P379" s="2" t="s">
        <v>1852</v>
      </c>
    </row>
    <row r="380" spans="1:16" x14ac:dyDescent="0.2">
      <c r="A380" s="2" t="s">
        <v>2424</v>
      </c>
      <c r="B380" s="2" t="s">
        <v>2796</v>
      </c>
      <c r="H380" s="2">
        <v>22</v>
      </c>
      <c r="I380" s="2">
        <v>501</v>
      </c>
      <c r="J380" s="2" t="s">
        <v>2318</v>
      </c>
      <c r="O380" s="2" t="s">
        <v>1227</v>
      </c>
      <c r="P380" s="2" t="s">
        <v>1853</v>
      </c>
    </row>
    <row r="381" spans="1:16" x14ac:dyDescent="0.2">
      <c r="A381" s="2" t="s">
        <v>2424</v>
      </c>
      <c r="B381" s="2" t="s">
        <v>2797</v>
      </c>
      <c r="H381" s="2">
        <v>22</v>
      </c>
      <c r="I381" s="2">
        <v>501</v>
      </c>
      <c r="J381" s="2" t="s">
        <v>2319</v>
      </c>
      <c r="O381" s="2" t="s">
        <v>1227</v>
      </c>
      <c r="P381" s="2" t="s">
        <v>1854</v>
      </c>
    </row>
    <row r="382" spans="1:16" x14ac:dyDescent="0.2">
      <c r="A382" s="2" t="s">
        <v>2424</v>
      </c>
      <c r="B382" s="2" t="s">
        <v>2798</v>
      </c>
      <c r="H382" s="2">
        <v>22</v>
      </c>
      <c r="I382" s="2">
        <v>501</v>
      </c>
      <c r="J382" s="2" t="s">
        <v>2320</v>
      </c>
      <c r="O382" s="2" t="s">
        <v>1227</v>
      </c>
      <c r="P382" s="2" t="s">
        <v>1855</v>
      </c>
    </row>
    <row r="383" spans="1:16" x14ac:dyDescent="0.2">
      <c r="A383" s="2" t="s">
        <v>2424</v>
      </c>
      <c r="B383" s="2" t="s">
        <v>2799</v>
      </c>
      <c r="H383" s="2">
        <v>22</v>
      </c>
      <c r="I383" s="2">
        <v>501</v>
      </c>
      <c r="J383" s="2" t="s">
        <v>2321</v>
      </c>
      <c r="O383" s="2" t="s">
        <v>1227</v>
      </c>
      <c r="P383" s="2" t="s">
        <v>1856</v>
      </c>
    </row>
    <row r="384" spans="1:16" x14ac:dyDescent="0.2">
      <c r="A384" s="2" t="s">
        <v>2424</v>
      </c>
      <c r="B384" s="2" t="s">
        <v>2800</v>
      </c>
      <c r="H384" s="2">
        <v>22</v>
      </c>
      <c r="I384" s="2">
        <v>501</v>
      </c>
      <c r="J384" s="2" t="s">
        <v>2322</v>
      </c>
      <c r="O384" s="2" t="s">
        <v>1226</v>
      </c>
      <c r="P384" s="2" t="s">
        <v>1857</v>
      </c>
    </row>
    <row r="385" spans="1:16" x14ac:dyDescent="0.2">
      <c r="A385" s="2" t="s">
        <v>2424</v>
      </c>
      <c r="B385" s="2" t="s">
        <v>2801</v>
      </c>
      <c r="H385" s="2">
        <v>22</v>
      </c>
      <c r="I385" s="2">
        <v>501</v>
      </c>
      <c r="J385" s="2" t="s">
        <v>2323</v>
      </c>
      <c r="O385" s="2" t="s">
        <v>1226</v>
      </c>
      <c r="P385" s="2" t="s">
        <v>1858</v>
      </c>
    </row>
    <row r="386" spans="1:16" x14ac:dyDescent="0.2">
      <c r="A386" s="2" t="s">
        <v>2424</v>
      </c>
      <c r="B386" s="2" t="s">
        <v>2802</v>
      </c>
      <c r="H386" s="2">
        <v>22</v>
      </c>
      <c r="I386" s="2">
        <v>501</v>
      </c>
      <c r="J386" s="2" t="s">
        <v>2324</v>
      </c>
      <c r="O386" s="2" t="s">
        <v>1226</v>
      </c>
      <c r="P386" s="2" t="s">
        <v>1859</v>
      </c>
    </row>
    <row r="387" spans="1:16" x14ac:dyDescent="0.2">
      <c r="A387" s="2" t="s">
        <v>2424</v>
      </c>
      <c r="B387" s="2" t="s">
        <v>2803</v>
      </c>
      <c r="H387" s="2">
        <v>22</v>
      </c>
      <c r="I387" s="2">
        <v>501</v>
      </c>
      <c r="J387" s="2" t="s">
        <v>2325</v>
      </c>
      <c r="O387" s="2" t="s">
        <v>1226</v>
      </c>
      <c r="P387" s="2" t="s">
        <v>1860</v>
      </c>
    </row>
    <row r="388" spans="1:16" x14ac:dyDescent="0.2">
      <c r="A388" s="2" t="s">
        <v>2424</v>
      </c>
      <c r="B388" s="2" t="s">
        <v>2804</v>
      </c>
      <c r="H388" s="2">
        <v>22</v>
      </c>
      <c r="I388" s="2">
        <v>501</v>
      </c>
      <c r="J388" s="2" t="s">
        <v>2326</v>
      </c>
      <c r="O388" s="2" t="s">
        <v>1226</v>
      </c>
      <c r="P388" s="2" t="s">
        <v>1861</v>
      </c>
    </row>
    <row r="389" spans="1:16" x14ac:dyDescent="0.2">
      <c r="A389" s="2" t="s">
        <v>2424</v>
      </c>
      <c r="B389" s="2" t="s">
        <v>2805</v>
      </c>
      <c r="H389" s="2">
        <v>22</v>
      </c>
      <c r="I389" s="2">
        <v>501</v>
      </c>
      <c r="J389" s="2" t="s">
        <v>2327</v>
      </c>
      <c r="O389" s="2" t="s">
        <v>1226</v>
      </c>
      <c r="P389" s="2" t="s">
        <v>1862</v>
      </c>
    </row>
    <row r="390" spans="1:16" x14ac:dyDescent="0.2">
      <c r="A390" s="2" t="s">
        <v>2424</v>
      </c>
      <c r="B390" s="2" t="s">
        <v>2806</v>
      </c>
      <c r="H390" s="2">
        <v>22</v>
      </c>
      <c r="I390" s="2">
        <v>501</v>
      </c>
      <c r="J390" s="2" t="s">
        <v>2328</v>
      </c>
      <c r="O390" s="2" t="s">
        <v>1226</v>
      </c>
      <c r="P390" s="2" t="s">
        <v>1863</v>
      </c>
    </row>
    <row r="391" spans="1:16" x14ac:dyDescent="0.2">
      <c r="A391" s="2" t="s">
        <v>2424</v>
      </c>
      <c r="B391" s="2" t="s">
        <v>2807</v>
      </c>
      <c r="H391" s="2">
        <v>22</v>
      </c>
      <c r="I391" s="2">
        <v>501</v>
      </c>
      <c r="J391" s="2" t="s">
        <v>2329</v>
      </c>
      <c r="O391" s="2" t="s">
        <v>1228</v>
      </c>
      <c r="P391" s="2" t="s">
        <v>1864</v>
      </c>
    </row>
    <row r="392" spans="1:16" x14ac:dyDescent="0.2">
      <c r="A392" s="2" t="s">
        <v>2424</v>
      </c>
      <c r="B392" s="2" t="s">
        <v>2808</v>
      </c>
      <c r="H392" s="2">
        <v>22</v>
      </c>
      <c r="I392" s="2">
        <v>501</v>
      </c>
      <c r="J392" s="2" t="s">
        <v>2330</v>
      </c>
      <c r="O392" s="2" t="s">
        <v>1228</v>
      </c>
      <c r="P392" s="2" t="s">
        <v>1865</v>
      </c>
    </row>
    <row r="393" spans="1:16" x14ac:dyDescent="0.2">
      <c r="A393" s="2" t="s">
        <v>2424</v>
      </c>
      <c r="B393" s="2" t="s">
        <v>2809</v>
      </c>
      <c r="H393" s="2">
        <v>22</v>
      </c>
      <c r="I393" s="2">
        <v>501</v>
      </c>
      <c r="J393" s="2" t="s">
        <v>2331</v>
      </c>
      <c r="O393" s="2" t="s">
        <v>1228</v>
      </c>
      <c r="P393" s="2" t="s">
        <v>1866</v>
      </c>
    </row>
    <row r="394" spans="1:16" x14ac:dyDescent="0.2">
      <c r="A394" s="2" t="s">
        <v>2424</v>
      </c>
      <c r="B394" s="2" t="s">
        <v>2810</v>
      </c>
      <c r="H394" s="2">
        <v>22</v>
      </c>
      <c r="I394" s="2">
        <v>501</v>
      </c>
      <c r="J394" s="2" t="s">
        <v>2332</v>
      </c>
      <c r="O394" s="2" t="s">
        <v>1228</v>
      </c>
      <c r="P394" s="2" t="s">
        <v>1867</v>
      </c>
    </row>
    <row r="395" spans="1:16" x14ac:dyDescent="0.2">
      <c r="A395" s="2" t="s">
        <v>2424</v>
      </c>
      <c r="B395" s="2" t="s">
        <v>2811</v>
      </c>
      <c r="H395" s="2">
        <v>22</v>
      </c>
      <c r="I395" s="2">
        <v>501</v>
      </c>
      <c r="J395" s="2" t="s">
        <v>2333</v>
      </c>
      <c r="O395" s="2" t="s">
        <v>1228</v>
      </c>
      <c r="P395" s="2" t="s">
        <v>1868</v>
      </c>
    </row>
    <row r="396" spans="1:16" x14ac:dyDescent="0.2">
      <c r="A396" s="2" t="s">
        <v>2424</v>
      </c>
      <c r="B396" s="2" t="s">
        <v>2812</v>
      </c>
      <c r="H396" s="2">
        <v>22</v>
      </c>
      <c r="I396" s="2">
        <v>501</v>
      </c>
      <c r="J396" s="2" t="s">
        <v>2334</v>
      </c>
      <c r="O396" s="2" t="s">
        <v>1450</v>
      </c>
      <c r="P396" s="2" t="s">
        <v>1869</v>
      </c>
    </row>
    <row r="397" spans="1:16" x14ac:dyDescent="0.2">
      <c r="A397" s="2" t="s">
        <v>2424</v>
      </c>
      <c r="B397" s="2" t="s">
        <v>2813</v>
      </c>
      <c r="H397" s="2">
        <v>22</v>
      </c>
      <c r="I397" s="2">
        <v>501</v>
      </c>
      <c r="J397" s="2" t="s">
        <v>2335</v>
      </c>
      <c r="O397" s="2" t="s">
        <v>1450</v>
      </c>
      <c r="P397" s="2" t="s">
        <v>1870</v>
      </c>
    </row>
    <row r="398" spans="1:16" x14ac:dyDescent="0.2">
      <c r="A398" s="2" t="s">
        <v>2424</v>
      </c>
      <c r="B398" s="2" t="s">
        <v>2814</v>
      </c>
      <c r="H398" s="2">
        <v>22</v>
      </c>
      <c r="I398" s="2">
        <v>501</v>
      </c>
      <c r="J398" s="2" t="s">
        <v>2336</v>
      </c>
      <c r="O398" s="2" t="s">
        <v>1450</v>
      </c>
      <c r="P398" s="2" t="s">
        <v>1871</v>
      </c>
    </row>
    <row r="399" spans="1:16" x14ac:dyDescent="0.2">
      <c r="A399" s="2" t="s">
        <v>2424</v>
      </c>
      <c r="B399" s="2" t="s">
        <v>2815</v>
      </c>
      <c r="H399" s="2">
        <v>22</v>
      </c>
      <c r="I399" s="2">
        <v>501</v>
      </c>
      <c r="J399" s="2" t="s">
        <v>2337</v>
      </c>
      <c r="O399" s="2" t="s">
        <v>1451</v>
      </c>
      <c r="P399" s="2" t="s">
        <v>1872</v>
      </c>
    </row>
    <row r="400" spans="1:16" x14ac:dyDescent="0.2">
      <c r="A400" s="2" t="s">
        <v>2424</v>
      </c>
      <c r="B400" s="2" t="s">
        <v>2816</v>
      </c>
      <c r="H400" s="2">
        <v>22</v>
      </c>
      <c r="I400" s="2">
        <v>501</v>
      </c>
      <c r="J400" s="2" t="s">
        <v>2047</v>
      </c>
      <c r="O400" s="2" t="s">
        <v>1450</v>
      </c>
      <c r="P400" s="2" t="s">
        <v>1549</v>
      </c>
    </row>
    <row r="401" spans="1:16" x14ac:dyDescent="0.2">
      <c r="A401" s="2" t="s">
        <v>2424</v>
      </c>
      <c r="B401" s="2" t="s">
        <v>2817</v>
      </c>
      <c r="H401" s="2">
        <v>22</v>
      </c>
      <c r="I401" s="2">
        <v>501</v>
      </c>
      <c r="J401" s="2" t="s">
        <v>2048</v>
      </c>
      <c r="O401" s="2" t="s">
        <v>1450</v>
      </c>
      <c r="P401" s="2" t="s">
        <v>1550</v>
      </c>
    </row>
    <row r="402" spans="1:16" x14ac:dyDescent="0.2">
      <c r="A402" s="2" t="s">
        <v>2424</v>
      </c>
      <c r="B402" s="2" t="s">
        <v>2818</v>
      </c>
      <c r="H402" s="2">
        <v>22</v>
      </c>
      <c r="I402" s="2">
        <v>501</v>
      </c>
      <c r="J402" s="2" t="s">
        <v>2049</v>
      </c>
      <c r="O402" s="2" t="s">
        <v>1450</v>
      </c>
      <c r="P402" s="2" t="s">
        <v>1551</v>
      </c>
    </row>
    <row r="403" spans="1:16" x14ac:dyDescent="0.2">
      <c r="A403" s="2" t="s">
        <v>2424</v>
      </c>
      <c r="B403" s="2" t="s">
        <v>2819</v>
      </c>
      <c r="H403" s="2">
        <v>22</v>
      </c>
      <c r="I403" s="2">
        <v>501</v>
      </c>
      <c r="J403" s="2" t="s">
        <v>2052</v>
      </c>
      <c r="O403" s="2" t="s">
        <v>1452</v>
      </c>
      <c r="P403" s="2" t="s">
        <v>1554</v>
      </c>
    </row>
    <row r="404" spans="1:16" x14ac:dyDescent="0.2">
      <c r="A404" s="2" t="s">
        <v>2424</v>
      </c>
      <c r="B404" s="2" t="s">
        <v>2820</v>
      </c>
      <c r="H404" s="2">
        <v>22</v>
      </c>
      <c r="I404" s="2">
        <v>501</v>
      </c>
      <c r="J404" s="2" t="s">
        <v>2053</v>
      </c>
      <c r="O404" s="2" t="s">
        <v>1452</v>
      </c>
      <c r="P404" s="2" t="s">
        <v>1555</v>
      </c>
    </row>
    <row r="405" spans="1:16" x14ac:dyDescent="0.2">
      <c r="A405" s="2" t="s">
        <v>2424</v>
      </c>
      <c r="B405" s="2" t="s">
        <v>2821</v>
      </c>
      <c r="H405" s="2">
        <v>22</v>
      </c>
      <c r="I405" s="2">
        <v>501</v>
      </c>
      <c r="J405" s="2" t="s">
        <v>2050</v>
      </c>
      <c r="O405" s="2" t="s">
        <v>1452</v>
      </c>
      <c r="P405" s="2" t="s">
        <v>1873</v>
      </c>
    </row>
    <row r="406" spans="1:16" x14ac:dyDescent="0.2">
      <c r="A406" s="2" t="s">
        <v>2424</v>
      </c>
      <c r="B406" s="2" t="s">
        <v>2822</v>
      </c>
      <c r="H406" s="2">
        <v>22</v>
      </c>
      <c r="I406" s="2">
        <v>501</v>
      </c>
      <c r="J406" s="2" t="s">
        <v>2051</v>
      </c>
      <c r="O406" s="2" t="s">
        <v>1450</v>
      </c>
      <c r="P406" s="2" t="s">
        <v>1553</v>
      </c>
    </row>
    <row r="407" spans="1:16" x14ac:dyDescent="0.2">
      <c r="A407" s="2" t="s">
        <v>2424</v>
      </c>
      <c r="B407" s="2" t="s">
        <v>2823</v>
      </c>
      <c r="H407" s="2">
        <v>22</v>
      </c>
      <c r="I407" s="2">
        <v>501</v>
      </c>
      <c r="J407" s="2" t="s">
        <v>2054</v>
      </c>
      <c r="O407" s="2" t="s">
        <v>1450</v>
      </c>
      <c r="P407" s="2" t="s">
        <v>1556</v>
      </c>
    </row>
    <row r="408" spans="1:16" x14ac:dyDescent="0.2">
      <c r="A408" s="2" t="s">
        <v>2424</v>
      </c>
      <c r="B408" s="2" t="s">
        <v>2824</v>
      </c>
      <c r="H408" s="2">
        <v>22</v>
      </c>
      <c r="I408" s="2">
        <v>501</v>
      </c>
      <c r="J408" s="2" t="s">
        <v>2055</v>
      </c>
      <c r="O408" s="2" t="s">
        <v>1450</v>
      </c>
      <c r="P408" s="2" t="s">
        <v>1874</v>
      </c>
    </row>
    <row r="409" spans="1:16" x14ac:dyDescent="0.2">
      <c r="A409" s="2" t="s">
        <v>2424</v>
      </c>
      <c r="B409" s="2" t="s">
        <v>2825</v>
      </c>
      <c r="H409" s="2">
        <v>22</v>
      </c>
      <c r="I409" s="2">
        <v>501</v>
      </c>
      <c r="J409" s="2" t="s">
        <v>2056</v>
      </c>
      <c r="O409" s="2" t="s">
        <v>1228</v>
      </c>
      <c r="P409" s="2" t="s">
        <v>1875</v>
      </c>
    </row>
    <row r="410" spans="1:16" x14ac:dyDescent="0.2">
      <c r="A410" s="2" t="s">
        <v>2424</v>
      </c>
      <c r="B410" s="2" t="s">
        <v>2826</v>
      </c>
      <c r="H410" s="2">
        <v>22</v>
      </c>
      <c r="I410" s="2">
        <v>501</v>
      </c>
      <c r="J410" s="2" t="s">
        <v>2057</v>
      </c>
      <c r="O410" s="2" t="s">
        <v>1226</v>
      </c>
      <c r="P410" s="2" t="s">
        <v>1559</v>
      </c>
    </row>
    <row r="411" spans="1:16" x14ac:dyDescent="0.2">
      <c r="A411" s="2" t="s">
        <v>2424</v>
      </c>
      <c r="B411" s="2" t="s">
        <v>2827</v>
      </c>
      <c r="H411" s="2">
        <v>22</v>
      </c>
      <c r="I411" s="2">
        <v>501</v>
      </c>
      <c r="J411" s="2" t="s">
        <v>2058</v>
      </c>
      <c r="O411" s="2" t="s">
        <v>1226</v>
      </c>
      <c r="P411" s="2" t="s">
        <v>1560</v>
      </c>
    </row>
    <row r="412" spans="1:16" x14ac:dyDescent="0.2">
      <c r="A412" s="2" t="s">
        <v>2424</v>
      </c>
      <c r="B412" s="2" t="s">
        <v>2828</v>
      </c>
      <c r="H412" s="2">
        <v>22</v>
      </c>
      <c r="I412" s="2">
        <v>501</v>
      </c>
      <c r="J412" s="2" t="s">
        <v>2338</v>
      </c>
      <c r="O412" s="2" t="s">
        <v>1227</v>
      </c>
      <c r="P412" s="2" t="s">
        <v>1561</v>
      </c>
    </row>
    <row r="413" spans="1:16" x14ac:dyDescent="0.2">
      <c r="A413" s="2" t="s">
        <v>2424</v>
      </c>
      <c r="B413" s="2" t="s">
        <v>2829</v>
      </c>
      <c r="H413" s="2">
        <v>22</v>
      </c>
      <c r="I413" s="2">
        <v>501</v>
      </c>
      <c r="J413" s="2" t="s">
        <v>2060</v>
      </c>
      <c r="O413" s="2" t="s">
        <v>1229</v>
      </c>
      <c r="P413" s="2" t="s">
        <v>1876</v>
      </c>
    </row>
    <row r="414" spans="1:16" x14ac:dyDescent="0.2">
      <c r="A414" s="2" t="s">
        <v>2424</v>
      </c>
      <c r="B414" s="2" t="s">
        <v>2830</v>
      </c>
      <c r="H414" s="2">
        <v>22</v>
      </c>
      <c r="I414" s="2">
        <v>501</v>
      </c>
      <c r="J414" s="2" t="s">
        <v>2061</v>
      </c>
      <c r="O414" s="2" t="s">
        <v>1453</v>
      </c>
      <c r="P414" s="2" t="s">
        <v>1877</v>
      </c>
    </row>
    <row r="415" spans="1:16" x14ac:dyDescent="0.2">
      <c r="A415" s="2" t="s">
        <v>2424</v>
      </c>
      <c r="B415" s="2" t="s">
        <v>2831</v>
      </c>
      <c r="H415" s="2">
        <v>22</v>
      </c>
      <c r="I415" s="2">
        <v>501</v>
      </c>
      <c r="J415" s="2" t="s">
        <v>2062</v>
      </c>
      <c r="O415" s="2" t="s">
        <v>1231</v>
      </c>
      <c r="P415" s="2" t="s">
        <v>1564</v>
      </c>
    </row>
    <row r="416" spans="1:16" x14ac:dyDescent="0.2">
      <c r="A416" s="2" t="s">
        <v>2424</v>
      </c>
      <c r="B416" s="2" t="s">
        <v>2832</v>
      </c>
      <c r="H416" s="2">
        <v>22</v>
      </c>
      <c r="I416" s="2">
        <v>501</v>
      </c>
      <c r="J416" s="2" t="s">
        <v>2063</v>
      </c>
      <c r="O416" s="2" t="s">
        <v>1231</v>
      </c>
      <c r="P416" s="2" t="s">
        <v>1565</v>
      </c>
    </row>
    <row r="417" spans="1:16" x14ac:dyDescent="0.2">
      <c r="A417" s="2" t="s">
        <v>2424</v>
      </c>
      <c r="B417" s="2" t="s">
        <v>2833</v>
      </c>
      <c r="H417" s="2">
        <v>22</v>
      </c>
      <c r="I417" s="2">
        <v>501</v>
      </c>
      <c r="J417" s="2" t="s">
        <v>2339</v>
      </c>
      <c r="O417" s="2" t="s">
        <v>1232</v>
      </c>
      <c r="P417" s="2" t="s">
        <v>1878</v>
      </c>
    </row>
    <row r="418" spans="1:16" x14ac:dyDescent="0.2">
      <c r="A418" s="2" t="s">
        <v>2424</v>
      </c>
      <c r="B418" s="2" t="s">
        <v>2834</v>
      </c>
      <c r="H418" s="2">
        <v>22</v>
      </c>
      <c r="I418" s="2">
        <v>501</v>
      </c>
      <c r="J418" s="2" t="s">
        <v>2340</v>
      </c>
      <c r="O418" s="2" t="s">
        <v>1233</v>
      </c>
      <c r="P418" s="2" t="s">
        <v>1879</v>
      </c>
    </row>
    <row r="419" spans="1:16" x14ac:dyDescent="0.2">
      <c r="A419" s="2" t="s">
        <v>2424</v>
      </c>
      <c r="B419" s="2" t="s">
        <v>2835</v>
      </c>
      <c r="H419" s="2">
        <v>22</v>
      </c>
      <c r="I419" s="2">
        <v>501</v>
      </c>
      <c r="J419" s="2" t="s">
        <v>2066</v>
      </c>
      <c r="O419" s="2" t="s">
        <v>1234</v>
      </c>
      <c r="P419" s="2" t="s">
        <v>1880</v>
      </c>
    </row>
    <row r="420" spans="1:16" x14ac:dyDescent="0.2">
      <c r="A420" s="2" t="s">
        <v>2424</v>
      </c>
      <c r="B420" s="2" t="s">
        <v>2836</v>
      </c>
      <c r="H420" s="2">
        <v>22</v>
      </c>
      <c r="I420" s="2">
        <v>501</v>
      </c>
      <c r="J420" s="2" t="s">
        <v>2067</v>
      </c>
      <c r="O420" s="2" t="s">
        <v>1235</v>
      </c>
      <c r="P420" s="2" t="s">
        <v>1881</v>
      </c>
    </row>
    <row r="421" spans="1:16" x14ac:dyDescent="0.2">
      <c r="A421" s="2" t="s">
        <v>2424</v>
      </c>
      <c r="B421" s="2" t="s">
        <v>2837</v>
      </c>
      <c r="H421" s="2">
        <v>22</v>
      </c>
      <c r="I421" s="2">
        <v>501</v>
      </c>
      <c r="J421" s="2" t="s">
        <v>2068</v>
      </c>
      <c r="O421" s="2" t="s">
        <v>1236</v>
      </c>
      <c r="P421" s="2" t="s">
        <v>1882</v>
      </c>
    </row>
    <row r="422" spans="1:16" x14ac:dyDescent="0.2">
      <c r="A422" s="2" t="s">
        <v>2424</v>
      </c>
      <c r="B422" s="2" t="s">
        <v>2838</v>
      </c>
      <c r="H422" s="2">
        <v>22</v>
      </c>
      <c r="I422" s="2">
        <v>501</v>
      </c>
      <c r="J422" s="2" t="s">
        <v>2069</v>
      </c>
      <c r="O422" s="2" t="s">
        <v>1237</v>
      </c>
      <c r="P422" s="2" t="s">
        <v>1571</v>
      </c>
    </row>
    <row r="423" spans="1:16" x14ac:dyDescent="0.2">
      <c r="A423" s="2" t="s">
        <v>2424</v>
      </c>
      <c r="B423" s="2" t="s">
        <v>2839</v>
      </c>
      <c r="H423" s="2">
        <v>22</v>
      </c>
      <c r="I423" s="2">
        <v>501</v>
      </c>
      <c r="J423" s="2" t="s">
        <v>2341</v>
      </c>
      <c r="O423" s="2" t="s">
        <v>1238</v>
      </c>
      <c r="P423" s="2" t="s">
        <v>1596</v>
      </c>
    </row>
    <row r="424" spans="1:16" x14ac:dyDescent="0.2">
      <c r="A424" s="2" t="s">
        <v>2424</v>
      </c>
      <c r="B424" s="2" t="s">
        <v>2840</v>
      </c>
      <c r="H424" s="2">
        <v>22</v>
      </c>
      <c r="I424" s="2">
        <v>501</v>
      </c>
      <c r="J424" s="2" t="s">
        <v>2095</v>
      </c>
      <c r="O424" s="2" t="s">
        <v>1239</v>
      </c>
      <c r="P424" s="2" t="s">
        <v>1597</v>
      </c>
    </row>
    <row r="425" spans="1:16" x14ac:dyDescent="0.2">
      <c r="A425" s="2" t="s">
        <v>2424</v>
      </c>
      <c r="B425" s="2" t="s">
        <v>2841</v>
      </c>
      <c r="H425" s="2">
        <v>22</v>
      </c>
      <c r="I425" s="2">
        <v>501</v>
      </c>
      <c r="J425" s="2" t="s">
        <v>2096</v>
      </c>
      <c r="O425" s="2" t="s">
        <v>1239</v>
      </c>
      <c r="P425" s="2" t="s">
        <v>1883</v>
      </c>
    </row>
    <row r="426" spans="1:16" x14ac:dyDescent="0.2">
      <c r="A426" s="2" t="s">
        <v>2424</v>
      </c>
      <c r="B426" s="2" t="s">
        <v>2842</v>
      </c>
      <c r="H426" s="2">
        <v>22</v>
      </c>
      <c r="I426" s="2">
        <v>501</v>
      </c>
      <c r="J426" s="2" t="s">
        <v>2097</v>
      </c>
      <c r="O426" s="2" t="s">
        <v>1243</v>
      </c>
      <c r="P426" s="2" t="s">
        <v>1884</v>
      </c>
    </row>
    <row r="427" spans="1:16" x14ac:dyDescent="0.2">
      <c r="A427" s="2" t="s">
        <v>2424</v>
      </c>
      <c r="B427" s="2" t="s">
        <v>2843</v>
      </c>
      <c r="H427" s="2">
        <v>22</v>
      </c>
      <c r="I427" s="2">
        <v>501</v>
      </c>
      <c r="J427" s="2" t="s">
        <v>2098</v>
      </c>
      <c r="O427" s="2" t="s">
        <v>1447</v>
      </c>
      <c r="P427" s="2" t="s">
        <v>1600</v>
      </c>
    </row>
    <row r="428" spans="1:16" x14ac:dyDescent="0.2">
      <c r="A428" s="2" t="s">
        <v>2424</v>
      </c>
      <c r="B428" s="2" t="s">
        <v>2844</v>
      </c>
      <c r="H428" s="2">
        <v>22</v>
      </c>
      <c r="I428" s="2">
        <v>501</v>
      </c>
      <c r="J428" s="2" t="s">
        <v>2099</v>
      </c>
      <c r="O428" s="2" t="s">
        <v>1454</v>
      </c>
      <c r="P428" s="2" t="s">
        <v>1885</v>
      </c>
    </row>
    <row r="429" spans="1:16" x14ac:dyDescent="0.2">
      <c r="A429" s="2" t="s">
        <v>2424</v>
      </c>
      <c r="B429" s="2" t="s">
        <v>2845</v>
      </c>
      <c r="H429" s="2">
        <v>22</v>
      </c>
      <c r="I429" s="2">
        <v>501</v>
      </c>
      <c r="J429" s="2" t="s">
        <v>2100</v>
      </c>
      <c r="O429" s="2" t="s">
        <v>1245</v>
      </c>
      <c r="P429" s="2" t="s">
        <v>1602</v>
      </c>
    </row>
    <row r="430" spans="1:16" x14ac:dyDescent="0.2">
      <c r="A430" s="2" t="s">
        <v>2424</v>
      </c>
      <c r="B430" s="2" t="s">
        <v>2846</v>
      </c>
      <c r="H430" s="2">
        <v>22</v>
      </c>
      <c r="I430" s="2">
        <v>501</v>
      </c>
      <c r="J430" s="2" t="s">
        <v>2101</v>
      </c>
      <c r="O430" s="2" t="s">
        <v>1246</v>
      </c>
      <c r="P430" s="2" t="s">
        <v>1603</v>
      </c>
    </row>
    <row r="431" spans="1:16" x14ac:dyDescent="0.2">
      <c r="A431" s="2" t="s">
        <v>2424</v>
      </c>
      <c r="B431" s="2" t="s">
        <v>2847</v>
      </c>
      <c r="H431" s="2">
        <v>22</v>
      </c>
      <c r="I431" s="2">
        <v>501</v>
      </c>
      <c r="J431" s="2" t="s">
        <v>2342</v>
      </c>
      <c r="O431" s="2" t="s">
        <v>1247</v>
      </c>
      <c r="P431" s="2" t="s">
        <v>1886</v>
      </c>
    </row>
    <row r="432" spans="1:16" x14ac:dyDescent="0.2">
      <c r="A432" s="2" t="s">
        <v>2424</v>
      </c>
      <c r="B432" s="2" t="s">
        <v>2848</v>
      </c>
      <c r="H432" s="2">
        <v>22</v>
      </c>
      <c r="I432" s="2">
        <v>501</v>
      </c>
      <c r="J432" s="2" t="s">
        <v>2343</v>
      </c>
      <c r="O432" s="2" t="s">
        <v>1248</v>
      </c>
      <c r="P432" s="2" t="s">
        <v>1605</v>
      </c>
    </row>
    <row r="433" spans="1:16" x14ac:dyDescent="0.2">
      <c r="A433" s="2" t="s">
        <v>2424</v>
      </c>
      <c r="B433" s="2" t="s">
        <v>2849</v>
      </c>
      <c r="H433" s="2">
        <v>22</v>
      </c>
      <c r="I433" s="2">
        <v>501</v>
      </c>
      <c r="J433" s="2" t="s">
        <v>2344</v>
      </c>
      <c r="O433" s="2" t="s">
        <v>1249</v>
      </c>
      <c r="P433" s="2" t="s">
        <v>1887</v>
      </c>
    </row>
    <row r="434" spans="1:16" x14ac:dyDescent="0.2">
      <c r="A434" s="2" t="s">
        <v>2424</v>
      </c>
      <c r="B434" s="2" t="s">
        <v>2850</v>
      </c>
      <c r="H434" s="2">
        <v>22</v>
      </c>
      <c r="I434" s="2">
        <v>501</v>
      </c>
      <c r="J434" s="2" t="s">
        <v>2345</v>
      </c>
      <c r="O434" s="2" t="s">
        <v>1250</v>
      </c>
      <c r="P434" s="2" t="s">
        <v>1888</v>
      </c>
    </row>
    <row r="435" spans="1:16" x14ac:dyDescent="0.2">
      <c r="A435" s="2" t="s">
        <v>2424</v>
      </c>
      <c r="B435" s="2" t="s">
        <v>2851</v>
      </c>
      <c r="H435" s="2">
        <v>22</v>
      </c>
      <c r="I435" s="2">
        <v>501</v>
      </c>
      <c r="J435" s="2" t="s">
        <v>2346</v>
      </c>
      <c r="O435" s="2" t="s">
        <v>1455</v>
      </c>
      <c r="P435" s="2" t="s">
        <v>1889</v>
      </c>
    </row>
    <row r="436" spans="1:16" x14ac:dyDescent="0.2">
      <c r="A436" s="2" t="s">
        <v>2424</v>
      </c>
      <c r="B436" s="2" t="s">
        <v>2852</v>
      </c>
      <c r="H436" s="2">
        <v>22</v>
      </c>
      <c r="I436" s="2">
        <v>501</v>
      </c>
      <c r="J436" s="2" t="s">
        <v>2347</v>
      </c>
      <c r="O436" s="2" t="s">
        <v>1437</v>
      </c>
      <c r="P436" s="2" t="s">
        <v>1890</v>
      </c>
    </row>
    <row r="437" spans="1:16" x14ac:dyDescent="0.2">
      <c r="A437" s="2" t="s">
        <v>2424</v>
      </c>
      <c r="B437" s="2" t="s">
        <v>2853</v>
      </c>
      <c r="H437" s="2">
        <v>22</v>
      </c>
      <c r="I437" s="2">
        <v>501</v>
      </c>
      <c r="J437" s="2" t="s">
        <v>2348</v>
      </c>
      <c r="O437" s="2" t="s">
        <v>1434</v>
      </c>
      <c r="P437" s="2" t="s">
        <v>1891</v>
      </c>
    </row>
    <row r="438" spans="1:16" x14ac:dyDescent="0.2">
      <c r="A438" s="2" t="s">
        <v>2424</v>
      </c>
      <c r="B438" s="2" t="s">
        <v>2854</v>
      </c>
      <c r="H438" s="2">
        <v>22</v>
      </c>
      <c r="I438" s="2">
        <v>501</v>
      </c>
      <c r="J438" s="2" t="s">
        <v>2349</v>
      </c>
      <c r="O438" s="2" t="s">
        <v>1433</v>
      </c>
      <c r="P438" s="2" t="s">
        <v>1892</v>
      </c>
    </row>
    <row r="439" spans="1:16" x14ac:dyDescent="0.2">
      <c r="A439" s="2" t="s">
        <v>2424</v>
      </c>
      <c r="B439" s="2" t="s">
        <v>2855</v>
      </c>
      <c r="H439" s="2">
        <v>22</v>
      </c>
      <c r="I439" s="2">
        <v>501</v>
      </c>
      <c r="J439" s="2" t="s">
        <v>2350</v>
      </c>
      <c r="O439" s="2" t="s">
        <v>1456</v>
      </c>
      <c r="P439" s="2" t="s">
        <v>1893</v>
      </c>
    </row>
    <row r="440" spans="1:16" x14ac:dyDescent="0.2">
      <c r="A440" s="2" t="s">
        <v>2424</v>
      </c>
      <c r="B440" s="2" t="s">
        <v>2856</v>
      </c>
      <c r="H440" s="2">
        <v>22</v>
      </c>
      <c r="I440" s="2">
        <v>501</v>
      </c>
      <c r="J440" s="2" t="s">
        <v>2351</v>
      </c>
      <c r="O440" s="2" t="s">
        <v>1457</v>
      </c>
      <c r="P440" s="2" t="s">
        <v>1894</v>
      </c>
    </row>
    <row r="441" spans="1:16" x14ac:dyDescent="0.2">
      <c r="A441" s="2" t="s">
        <v>2424</v>
      </c>
      <c r="B441" s="2" t="s">
        <v>2857</v>
      </c>
      <c r="H441" s="2">
        <v>22</v>
      </c>
      <c r="I441" s="2">
        <v>501</v>
      </c>
      <c r="J441" s="2" t="s">
        <v>2352</v>
      </c>
      <c r="O441" s="2" t="s">
        <v>1426</v>
      </c>
      <c r="P441" s="2" t="s">
        <v>1895</v>
      </c>
    </row>
    <row r="442" spans="1:16" x14ac:dyDescent="0.2">
      <c r="A442" s="2" t="s">
        <v>2425</v>
      </c>
      <c r="B442" s="2" t="s">
        <v>2858</v>
      </c>
      <c r="H442" s="2">
        <v>22</v>
      </c>
      <c r="I442" s="2">
        <v>501</v>
      </c>
      <c r="J442" s="2" t="s">
        <v>2353</v>
      </c>
      <c r="O442" s="2" t="s">
        <v>1424</v>
      </c>
      <c r="P442" s="2" t="s">
        <v>1896</v>
      </c>
    </row>
    <row r="443" spans="1:16" x14ac:dyDescent="0.2">
      <c r="A443" s="2" t="s">
        <v>2424</v>
      </c>
      <c r="B443" s="2" t="s">
        <v>2859</v>
      </c>
      <c r="H443" s="2">
        <v>22</v>
      </c>
      <c r="I443" s="2">
        <v>501</v>
      </c>
      <c r="J443" s="2" t="s">
        <v>2354</v>
      </c>
      <c r="O443" s="2" t="s">
        <v>1422</v>
      </c>
      <c r="P443" s="2" t="s">
        <v>1897</v>
      </c>
    </row>
    <row r="444" spans="1:16" x14ac:dyDescent="0.2">
      <c r="A444" s="2" t="s">
        <v>2424</v>
      </c>
      <c r="B444" s="2" t="s">
        <v>2860</v>
      </c>
      <c r="H444" s="2">
        <v>22</v>
      </c>
      <c r="I444" s="2">
        <v>501</v>
      </c>
      <c r="J444" s="2" t="s">
        <v>2355</v>
      </c>
      <c r="O444" s="2" t="s">
        <v>1419</v>
      </c>
      <c r="P444" s="2" t="s">
        <v>1898</v>
      </c>
    </row>
    <row r="445" spans="1:16" x14ac:dyDescent="0.2">
      <c r="A445" s="2" t="s">
        <v>2424</v>
      </c>
      <c r="B445" s="2" t="s">
        <v>2861</v>
      </c>
      <c r="H445" s="2">
        <v>22</v>
      </c>
      <c r="I445" s="2">
        <v>501</v>
      </c>
      <c r="J445" s="2" t="s">
        <v>2356</v>
      </c>
      <c r="O445" s="2" t="s">
        <v>1418</v>
      </c>
      <c r="P445" s="2" t="s">
        <v>1899</v>
      </c>
    </row>
    <row r="446" spans="1:16" x14ac:dyDescent="0.2">
      <c r="A446" s="2" t="s">
        <v>2424</v>
      </c>
      <c r="B446" s="2" t="s">
        <v>2862</v>
      </c>
      <c r="H446" s="2">
        <v>22</v>
      </c>
      <c r="I446" s="2">
        <v>501</v>
      </c>
      <c r="J446" s="2" t="s">
        <v>2357</v>
      </c>
      <c r="O446" s="2" t="s">
        <v>1458</v>
      </c>
      <c r="P446" s="2" t="s">
        <v>1900</v>
      </c>
    </row>
    <row r="447" spans="1:16" x14ac:dyDescent="0.2">
      <c r="A447" s="2" t="s">
        <v>2424</v>
      </c>
      <c r="B447" s="2" t="s">
        <v>2863</v>
      </c>
      <c r="H447" s="2">
        <v>22</v>
      </c>
      <c r="I447" s="2">
        <v>501</v>
      </c>
      <c r="J447" s="2" t="s">
        <v>2358</v>
      </c>
      <c r="O447" s="2" t="s">
        <v>1413</v>
      </c>
      <c r="P447" s="2" t="s">
        <v>1901</v>
      </c>
    </row>
    <row r="448" spans="1:16" x14ac:dyDescent="0.2">
      <c r="A448" s="2" t="s">
        <v>2424</v>
      </c>
      <c r="B448" s="2" t="s">
        <v>2864</v>
      </c>
      <c r="H448" s="2">
        <v>22</v>
      </c>
      <c r="I448" s="2">
        <v>501</v>
      </c>
      <c r="J448" s="2" t="s">
        <v>2359</v>
      </c>
      <c r="O448" s="2" t="s">
        <v>1411</v>
      </c>
      <c r="P448" s="2" t="s">
        <v>1902</v>
      </c>
    </row>
    <row r="449" spans="1:16" x14ac:dyDescent="0.2">
      <c r="A449" s="2" t="s">
        <v>2424</v>
      </c>
      <c r="B449" s="2" t="s">
        <v>2865</v>
      </c>
      <c r="H449" s="2">
        <v>22</v>
      </c>
      <c r="I449" s="2">
        <v>501</v>
      </c>
      <c r="J449" s="2" t="s">
        <v>2360</v>
      </c>
      <c r="O449" s="2" t="s">
        <v>1363</v>
      </c>
      <c r="P449" s="2" t="s">
        <v>1903</v>
      </c>
    </row>
    <row r="450" spans="1:16" x14ac:dyDescent="0.2">
      <c r="A450" s="2" t="s">
        <v>2424</v>
      </c>
      <c r="B450" s="2" t="s">
        <v>2866</v>
      </c>
      <c r="H450" s="2">
        <v>22</v>
      </c>
      <c r="I450" s="2">
        <v>501</v>
      </c>
      <c r="J450" s="2" t="s">
        <v>2361</v>
      </c>
      <c r="O450" s="2" t="s">
        <v>1362</v>
      </c>
      <c r="P450" s="2" t="s">
        <v>1904</v>
      </c>
    </row>
    <row r="451" spans="1:16" x14ac:dyDescent="0.2">
      <c r="A451" s="2" t="s">
        <v>2424</v>
      </c>
      <c r="B451" s="2" t="s">
        <v>2867</v>
      </c>
      <c r="H451" s="2">
        <v>22</v>
      </c>
      <c r="I451" s="2">
        <v>501</v>
      </c>
      <c r="J451" s="2" t="s">
        <v>2362</v>
      </c>
      <c r="O451" s="2" t="s">
        <v>1459</v>
      </c>
      <c r="P451" s="2" t="s">
        <v>1905</v>
      </c>
    </row>
    <row r="452" spans="1:16" x14ac:dyDescent="0.2">
      <c r="A452" s="2" t="s">
        <v>2424</v>
      </c>
      <c r="B452" s="2" t="s">
        <v>2868</v>
      </c>
      <c r="H452" s="2">
        <v>22</v>
      </c>
      <c r="I452" s="2">
        <v>501</v>
      </c>
      <c r="J452" s="2" t="s">
        <v>2363</v>
      </c>
      <c r="O452" s="2" t="s">
        <v>1460</v>
      </c>
      <c r="P452" s="2" t="s">
        <v>1906</v>
      </c>
    </row>
    <row r="453" spans="1:16" x14ac:dyDescent="0.2">
      <c r="A453" s="2" t="s">
        <v>2424</v>
      </c>
      <c r="B453" s="2" t="s">
        <v>2869</v>
      </c>
      <c r="H453" s="2">
        <v>22</v>
      </c>
      <c r="I453" s="2">
        <v>501</v>
      </c>
      <c r="J453" s="2" t="s">
        <v>2364</v>
      </c>
      <c r="O453" s="2" t="s">
        <v>1461</v>
      </c>
      <c r="P453" s="2" t="s">
        <v>1907</v>
      </c>
    </row>
    <row r="454" spans="1:16" x14ac:dyDescent="0.2">
      <c r="A454" s="2" t="s">
        <v>2424</v>
      </c>
      <c r="B454" s="2" t="s">
        <v>2870</v>
      </c>
      <c r="H454" s="2">
        <v>22</v>
      </c>
      <c r="I454" s="2">
        <v>501</v>
      </c>
      <c r="J454" s="2" t="s">
        <v>2365</v>
      </c>
      <c r="O454" s="2" t="s">
        <v>1462</v>
      </c>
      <c r="P454" s="2" t="s">
        <v>1908</v>
      </c>
    </row>
    <row r="455" spans="1:16" x14ac:dyDescent="0.2">
      <c r="A455" s="2" t="s">
        <v>2424</v>
      </c>
      <c r="B455" s="2" t="s">
        <v>2871</v>
      </c>
      <c r="H455" s="2">
        <v>22</v>
      </c>
      <c r="I455" s="2">
        <v>501</v>
      </c>
      <c r="J455" s="2" t="s">
        <v>2366</v>
      </c>
      <c r="O455" s="2" t="s">
        <v>1463</v>
      </c>
      <c r="P455" s="2" t="s">
        <v>1909</v>
      </c>
    </row>
    <row r="456" spans="1:16" x14ac:dyDescent="0.2">
      <c r="A456" s="2" t="s">
        <v>2424</v>
      </c>
      <c r="B456" s="2" t="s">
        <v>2872</v>
      </c>
      <c r="H456" s="2">
        <v>22</v>
      </c>
      <c r="I456" s="2">
        <v>501</v>
      </c>
      <c r="J456" s="2" t="s">
        <v>2367</v>
      </c>
      <c r="O456" s="2" t="s">
        <v>1464</v>
      </c>
      <c r="P456" s="2" t="s">
        <v>1910</v>
      </c>
    </row>
    <row r="457" spans="1:16" x14ac:dyDescent="0.2">
      <c r="A457" s="2" t="s">
        <v>2424</v>
      </c>
      <c r="B457" s="2" t="s">
        <v>2873</v>
      </c>
      <c r="H457" s="2">
        <v>22</v>
      </c>
      <c r="I457" s="2">
        <v>501</v>
      </c>
      <c r="J457" s="2" t="s">
        <v>2368</v>
      </c>
      <c r="O457" s="2" t="s">
        <v>1465</v>
      </c>
      <c r="P457" s="2" t="s">
        <v>1911</v>
      </c>
    </row>
    <row r="458" spans="1:16" x14ac:dyDescent="0.2">
      <c r="A458" s="2" t="s">
        <v>2424</v>
      </c>
      <c r="B458" s="2" t="s">
        <v>2874</v>
      </c>
      <c r="H458" s="2">
        <v>22</v>
      </c>
      <c r="I458" s="2">
        <v>501</v>
      </c>
      <c r="J458" s="2" t="s">
        <v>2369</v>
      </c>
      <c r="O458" s="2" t="s">
        <v>1466</v>
      </c>
      <c r="P458" s="2" t="s">
        <v>1912</v>
      </c>
    </row>
    <row r="459" spans="1:16" x14ac:dyDescent="0.2">
      <c r="A459" s="2" t="s">
        <v>2424</v>
      </c>
      <c r="B459" s="2" t="s">
        <v>2875</v>
      </c>
      <c r="H459" s="2">
        <v>22</v>
      </c>
      <c r="I459" s="2">
        <v>501</v>
      </c>
      <c r="J459" s="2" t="s">
        <v>2370</v>
      </c>
      <c r="O459" s="2" t="s">
        <v>1351</v>
      </c>
      <c r="P459" s="2" t="s">
        <v>1913</v>
      </c>
    </row>
    <row r="460" spans="1:16" x14ac:dyDescent="0.2">
      <c r="A460" s="2" t="s">
        <v>2424</v>
      </c>
      <c r="B460" s="2" t="s">
        <v>2876</v>
      </c>
      <c r="H460" s="2">
        <v>22</v>
      </c>
      <c r="I460" s="2">
        <v>501</v>
      </c>
      <c r="J460" s="2" t="s">
        <v>2371</v>
      </c>
      <c r="O460" s="2" t="s">
        <v>1467</v>
      </c>
      <c r="P460" s="2" t="s">
        <v>1914</v>
      </c>
    </row>
    <row r="461" spans="1:16" x14ac:dyDescent="0.2">
      <c r="A461" s="2" t="s">
        <v>2424</v>
      </c>
      <c r="B461" s="2" t="s">
        <v>2877</v>
      </c>
      <c r="H461" s="2">
        <v>22</v>
      </c>
      <c r="I461" s="2">
        <v>501</v>
      </c>
      <c r="J461" s="2" t="s">
        <v>2372</v>
      </c>
      <c r="O461" s="2" t="s">
        <v>1349</v>
      </c>
      <c r="P461" s="2" t="s">
        <v>1915</v>
      </c>
    </row>
    <row r="462" spans="1:16" x14ac:dyDescent="0.2">
      <c r="A462" s="2" t="s">
        <v>2424</v>
      </c>
      <c r="B462" s="2" t="s">
        <v>2878</v>
      </c>
      <c r="H462" s="2">
        <v>22</v>
      </c>
      <c r="I462" s="2">
        <v>501</v>
      </c>
      <c r="J462" s="2" t="s">
        <v>2373</v>
      </c>
      <c r="O462" s="2" t="s">
        <v>1348</v>
      </c>
      <c r="P462" s="2" t="s">
        <v>1916</v>
      </c>
    </row>
    <row r="463" spans="1:16" x14ac:dyDescent="0.2">
      <c r="A463" s="2" t="s">
        <v>2424</v>
      </c>
      <c r="B463" s="2" t="s">
        <v>2879</v>
      </c>
      <c r="H463" s="2">
        <v>22</v>
      </c>
      <c r="I463" s="2">
        <v>501</v>
      </c>
      <c r="J463" s="2" t="s">
        <v>2374</v>
      </c>
      <c r="O463" s="2" t="s">
        <v>1468</v>
      </c>
      <c r="P463" s="2" t="s">
        <v>1917</v>
      </c>
    </row>
    <row r="464" spans="1:16" x14ac:dyDescent="0.2">
      <c r="A464" s="2" t="s">
        <v>2424</v>
      </c>
      <c r="B464" s="2" t="s">
        <v>2880</v>
      </c>
      <c r="H464" s="2">
        <v>22</v>
      </c>
      <c r="I464" s="2">
        <v>501</v>
      </c>
      <c r="J464" s="2" t="s">
        <v>2375</v>
      </c>
      <c r="O464" s="2" t="s">
        <v>1469</v>
      </c>
      <c r="P464" s="2" t="s">
        <v>1918</v>
      </c>
    </row>
    <row r="465" spans="1:16" x14ac:dyDescent="0.2">
      <c r="A465" s="2" t="s">
        <v>2424</v>
      </c>
      <c r="B465" s="2" t="s">
        <v>2881</v>
      </c>
      <c r="H465" s="2">
        <v>22</v>
      </c>
      <c r="I465" s="2">
        <v>501</v>
      </c>
      <c r="J465" s="2" t="s">
        <v>2376</v>
      </c>
      <c r="O465" s="2" t="s">
        <v>1470</v>
      </c>
      <c r="P465" s="2" t="s">
        <v>1919</v>
      </c>
    </row>
    <row r="466" spans="1:16" x14ac:dyDescent="0.2">
      <c r="A466" s="2" t="s">
        <v>2424</v>
      </c>
      <c r="B466" s="2" t="s">
        <v>2882</v>
      </c>
      <c r="H466" s="2">
        <v>22</v>
      </c>
      <c r="I466" s="2">
        <v>501</v>
      </c>
      <c r="J466" s="2" t="s">
        <v>2377</v>
      </c>
      <c r="O466" s="2" t="s">
        <v>1471</v>
      </c>
      <c r="P466" s="2" t="s">
        <v>1920</v>
      </c>
    </row>
    <row r="467" spans="1:16" x14ac:dyDescent="0.2">
      <c r="A467" s="2" t="s">
        <v>2424</v>
      </c>
      <c r="B467" s="2" t="s">
        <v>2883</v>
      </c>
      <c r="H467" s="2">
        <v>22</v>
      </c>
      <c r="I467" s="2">
        <v>501</v>
      </c>
      <c r="J467" s="2" t="s">
        <v>2378</v>
      </c>
      <c r="O467" s="2" t="s">
        <v>1472</v>
      </c>
      <c r="P467" s="2" t="s">
        <v>1921</v>
      </c>
    </row>
    <row r="468" spans="1:16" x14ac:dyDescent="0.2">
      <c r="A468" s="2" t="s">
        <v>2424</v>
      </c>
      <c r="B468" s="2" t="s">
        <v>2884</v>
      </c>
      <c r="H468" s="2">
        <v>22</v>
      </c>
      <c r="I468" s="2">
        <v>501</v>
      </c>
      <c r="J468" s="2" t="s">
        <v>2379</v>
      </c>
      <c r="O468" s="2" t="s">
        <v>1473</v>
      </c>
      <c r="P468" s="2" t="s">
        <v>1922</v>
      </c>
    </row>
    <row r="469" spans="1:16" x14ac:dyDescent="0.2">
      <c r="A469" s="2" t="s">
        <v>2423</v>
      </c>
      <c r="B469" s="2" t="s">
        <v>2885</v>
      </c>
      <c r="H469" s="2">
        <v>22</v>
      </c>
      <c r="I469" s="2">
        <v>501</v>
      </c>
      <c r="J469" s="2" t="s">
        <v>2073</v>
      </c>
      <c r="O469" s="2" t="s">
        <v>1231</v>
      </c>
      <c r="P469" s="2" t="s">
        <v>1923</v>
      </c>
    </row>
    <row r="470" spans="1:16" x14ac:dyDescent="0.2">
      <c r="A470" s="2" t="s">
        <v>2423</v>
      </c>
      <c r="B470" s="2" t="s">
        <v>2886</v>
      </c>
      <c r="H470" s="2">
        <v>22</v>
      </c>
      <c r="I470" s="2">
        <v>501</v>
      </c>
      <c r="J470" s="2" t="s">
        <v>2075</v>
      </c>
      <c r="O470" s="2" t="s">
        <v>1230</v>
      </c>
      <c r="P470" s="2" t="s">
        <v>1577</v>
      </c>
    </row>
    <row r="471" spans="1:16" x14ac:dyDescent="0.2">
      <c r="A471" s="2" t="s">
        <v>2423</v>
      </c>
      <c r="B471" s="2" t="s">
        <v>2887</v>
      </c>
      <c r="H471" s="2">
        <v>22</v>
      </c>
      <c r="I471" s="2">
        <v>501</v>
      </c>
      <c r="J471" s="2" t="s">
        <v>2380</v>
      </c>
      <c r="O471" s="2" t="s">
        <v>1230</v>
      </c>
      <c r="P471" s="2" t="s">
        <v>1924</v>
      </c>
    </row>
    <row r="472" spans="1:16" x14ac:dyDescent="0.2">
      <c r="A472" s="2" t="s">
        <v>2423</v>
      </c>
      <c r="B472" s="2" t="s">
        <v>2888</v>
      </c>
      <c r="H472" s="2">
        <v>22</v>
      </c>
      <c r="I472" s="2">
        <v>501</v>
      </c>
      <c r="J472" s="2" t="s">
        <v>2076</v>
      </c>
      <c r="O472" s="2" t="s">
        <v>1230</v>
      </c>
      <c r="P472" s="2" t="s">
        <v>1578</v>
      </c>
    </row>
    <row r="473" spans="1:16" x14ac:dyDescent="0.2">
      <c r="A473" s="2" t="s">
        <v>2423</v>
      </c>
      <c r="B473" s="2" t="s">
        <v>2888</v>
      </c>
      <c r="H473" s="2">
        <v>22</v>
      </c>
      <c r="I473" s="2">
        <v>501</v>
      </c>
      <c r="J473" s="2" t="s">
        <v>2077</v>
      </c>
      <c r="O473" s="2" t="s">
        <v>1230</v>
      </c>
      <c r="P473" s="2" t="s">
        <v>1579</v>
      </c>
    </row>
    <row r="474" spans="1:16" x14ac:dyDescent="0.2">
      <c r="A474" s="2" t="s">
        <v>2423</v>
      </c>
      <c r="B474" s="2" t="s">
        <v>2889</v>
      </c>
      <c r="H474" s="2">
        <v>22</v>
      </c>
      <c r="I474" s="2">
        <v>501</v>
      </c>
      <c r="J474" s="2" t="s">
        <v>2381</v>
      </c>
      <c r="O474" s="2" t="s">
        <v>1229</v>
      </c>
      <c r="P474" s="2" t="s">
        <v>1580</v>
      </c>
    </row>
    <row r="475" spans="1:16" x14ac:dyDescent="0.2">
      <c r="A475" s="2" t="s">
        <v>2423</v>
      </c>
      <c r="B475" s="2" t="s">
        <v>2890</v>
      </c>
      <c r="H475" s="2">
        <v>22</v>
      </c>
      <c r="I475" s="2">
        <v>501</v>
      </c>
      <c r="J475" s="2" t="s">
        <v>2079</v>
      </c>
      <c r="O475" s="2" t="s">
        <v>1474</v>
      </c>
      <c r="P475" s="2" t="s">
        <v>1581</v>
      </c>
    </row>
    <row r="476" spans="1:16" x14ac:dyDescent="0.2">
      <c r="A476" s="2" t="s">
        <v>2423</v>
      </c>
      <c r="B476" s="2" t="s">
        <v>2891</v>
      </c>
      <c r="H476" s="2">
        <v>22</v>
      </c>
      <c r="I476" s="2">
        <v>501</v>
      </c>
      <c r="J476" s="2" t="s">
        <v>2308</v>
      </c>
      <c r="O476" s="2" t="s">
        <v>1230</v>
      </c>
      <c r="P476" s="2" t="s">
        <v>1925</v>
      </c>
    </row>
    <row r="477" spans="1:16" x14ac:dyDescent="0.2">
      <c r="A477" s="2" t="s">
        <v>2423</v>
      </c>
      <c r="B477" s="2" t="s">
        <v>2892</v>
      </c>
      <c r="H477" s="2">
        <v>22</v>
      </c>
      <c r="I477" s="2">
        <v>501</v>
      </c>
      <c r="J477" s="2" t="s">
        <v>2081</v>
      </c>
      <c r="O477" s="2" t="s">
        <v>1229</v>
      </c>
      <c r="P477" s="2" t="s">
        <v>1583</v>
      </c>
    </row>
    <row r="478" spans="1:16" x14ac:dyDescent="0.2">
      <c r="A478" s="2" t="s">
        <v>2423</v>
      </c>
      <c r="B478" s="2" t="s">
        <v>2893</v>
      </c>
      <c r="H478" s="2">
        <v>22</v>
      </c>
      <c r="I478" s="2">
        <v>501</v>
      </c>
      <c r="J478" s="2" t="s">
        <v>2082</v>
      </c>
      <c r="O478" s="2" t="s">
        <v>1229</v>
      </c>
      <c r="P478" s="2" t="s">
        <v>1584</v>
      </c>
    </row>
    <row r="479" spans="1:16" x14ac:dyDescent="0.2">
      <c r="A479" s="2" t="s">
        <v>2423</v>
      </c>
      <c r="B479" s="2" t="s">
        <v>2894</v>
      </c>
      <c r="H479" s="2">
        <v>22</v>
      </c>
      <c r="I479" s="2">
        <v>501</v>
      </c>
      <c r="J479" s="2" t="s">
        <v>2083</v>
      </c>
      <c r="O479" s="2" t="s">
        <v>1453</v>
      </c>
      <c r="P479" s="2" t="s">
        <v>1843</v>
      </c>
    </row>
    <row r="480" spans="1:16" x14ac:dyDescent="0.2">
      <c r="A480" s="2" t="s">
        <v>2423</v>
      </c>
      <c r="B480" s="2" t="s">
        <v>2894</v>
      </c>
      <c r="H480" s="2">
        <v>22</v>
      </c>
      <c r="I480" s="2">
        <v>501</v>
      </c>
      <c r="J480" s="2" t="s">
        <v>2084</v>
      </c>
      <c r="O480" s="2" t="s">
        <v>1229</v>
      </c>
      <c r="P480" s="2" t="s">
        <v>1586</v>
      </c>
    </row>
    <row r="481" spans="1:16" x14ac:dyDescent="0.2">
      <c r="A481" s="2" t="s">
        <v>2423</v>
      </c>
      <c r="B481" s="2" t="s">
        <v>2895</v>
      </c>
      <c r="H481" s="2">
        <v>22</v>
      </c>
      <c r="I481" s="2">
        <v>501</v>
      </c>
      <c r="J481" s="2" t="s">
        <v>2085</v>
      </c>
      <c r="O481" s="2" t="s">
        <v>1227</v>
      </c>
      <c r="P481" s="2" t="s">
        <v>1587</v>
      </c>
    </row>
    <row r="482" spans="1:16" x14ac:dyDescent="0.2">
      <c r="A482" s="2" t="s">
        <v>2423</v>
      </c>
      <c r="B482" s="2" t="s">
        <v>2896</v>
      </c>
      <c r="H482" s="2">
        <v>22</v>
      </c>
      <c r="I482" s="2">
        <v>501</v>
      </c>
      <c r="J482" s="2" t="s">
        <v>2086</v>
      </c>
      <c r="O482" s="2" t="s">
        <v>1229</v>
      </c>
      <c r="P482" s="2" t="s">
        <v>1844</v>
      </c>
    </row>
    <row r="483" spans="1:16" x14ac:dyDescent="0.2">
      <c r="A483" s="2" t="s">
        <v>2423</v>
      </c>
      <c r="B483" s="2" t="s">
        <v>2897</v>
      </c>
      <c r="H483" s="2">
        <v>22</v>
      </c>
      <c r="I483" s="2">
        <v>501</v>
      </c>
      <c r="J483" s="2" t="s">
        <v>2382</v>
      </c>
      <c r="O483" s="2" t="s">
        <v>1229</v>
      </c>
      <c r="P483" s="2" t="s">
        <v>1589</v>
      </c>
    </row>
    <row r="484" spans="1:16" x14ac:dyDescent="0.2">
      <c r="A484" s="2" t="s">
        <v>2423</v>
      </c>
      <c r="B484" s="2" t="s">
        <v>2898</v>
      </c>
      <c r="H484" s="2">
        <v>22</v>
      </c>
      <c r="I484" s="2">
        <v>501</v>
      </c>
      <c r="J484" s="2" t="s">
        <v>2383</v>
      </c>
      <c r="O484" s="2" t="s">
        <v>1475</v>
      </c>
      <c r="P484" s="2" t="s">
        <v>1549</v>
      </c>
    </row>
    <row r="485" spans="1:16" x14ac:dyDescent="0.2">
      <c r="A485" s="2" t="s">
        <v>2423</v>
      </c>
      <c r="B485" s="2" t="s">
        <v>2899</v>
      </c>
      <c r="H485" s="2">
        <v>22</v>
      </c>
      <c r="I485" s="2">
        <v>501</v>
      </c>
      <c r="J485" s="2" t="s">
        <v>2048</v>
      </c>
      <c r="O485" s="2" t="s">
        <v>1476</v>
      </c>
      <c r="P485" s="2" t="s">
        <v>1926</v>
      </c>
    </row>
    <row r="486" spans="1:16" x14ac:dyDescent="0.2">
      <c r="A486" s="2" t="s">
        <v>2423</v>
      </c>
      <c r="B486" s="2" t="s">
        <v>2900</v>
      </c>
      <c r="H486" s="2">
        <v>22</v>
      </c>
      <c r="I486" s="2">
        <v>501</v>
      </c>
      <c r="J486" s="2" t="s">
        <v>2049</v>
      </c>
      <c r="O486" s="2" t="s">
        <v>1476</v>
      </c>
      <c r="P486" s="2" t="s">
        <v>1551</v>
      </c>
    </row>
    <row r="487" spans="1:16" x14ac:dyDescent="0.2">
      <c r="A487" s="2" t="s">
        <v>2423</v>
      </c>
      <c r="B487" s="2" t="s">
        <v>2901</v>
      </c>
      <c r="H487" s="2">
        <v>22</v>
      </c>
      <c r="I487" s="2">
        <v>501</v>
      </c>
      <c r="J487" s="2" t="s">
        <v>2052</v>
      </c>
      <c r="O487" s="2" t="s">
        <v>1475</v>
      </c>
      <c r="P487" s="2" t="s">
        <v>1554</v>
      </c>
    </row>
    <row r="488" spans="1:16" x14ac:dyDescent="0.2">
      <c r="A488" s="2" t="s">
        <v>2423</v>
      </c>
      <c r="B488" s="2" t="s">
        <v>2902</v>
      </c>
      <c r="H488" s="2">
        <v>22</v>
      </c>
      <c r="I488" s="2">
        <v>501</v>
      </c>
      <c r="J488" s="2" t="s">
        <v>2053</v>
      </c>
      <c r="O488" s="2" t="s">
        <v>1475</v>
      </c>
      <c r="P488" s="2" t="s">
        <v>1555</v>
      </c>
    </row>
    <row r="489" spans="1:16" x14ac:dyDescent="0.2">
      <c r="A489" s="2" t="s">
        <v>2423</v>
      </c>
      <c r="B489" s="2" t="s">
        <v>2903</v>
      </c>
      <c r="H489" s="2">
        <v>22</v>
      </c>
      <c r="I489" s="2">
        <v>501</v>
      </c>
      <c r="J489" s="2" t="s">
        <v>2050</v>
      </c>
      <c r="O489" s="2" t="s">
        <v>1476</v>
      </c>
      <c r="P489" s="2" t="s">
        <v>1873</v>
      </c>
    </row>
    <row r="490" spans="1:16" x14ac:dyDescent="0.2">
      <c r="A490" s="2" t="s">
        <v>2423</v>
      </c>
      <c r="B490" s="2" t="s">
        <v>2904</v>
      </c>
      <c r="H490" s="2">
        <v>22</v>
      </c>
      <c r="I490" s="2">
        <v>501</v>
      </c>
      <c r="J490" s="2" t="s">
        <v>2051</v>
      </c>
      <c r="O490" s="2" t="s">
        <v>1476</v>
      </c>
      <c r="P490" s="2" t="s">
        <v>1553</v>
      </c>
    </row>
    <row r="491" spans="1:16" x14ac:dyDescent="0.2">
      <c r="A491" s="2" t="s">
        <v>2423</v>
      </c>
      <c r="B491" s="2" t="s">
        <v>2905</v>
      </c>
      <c r="H491" s="2">
        <v>22</v>
      </c>
      <c r="I491" s="2">
        <v>501</v>
      </c>
      <c r="J491" s="2" t="s">
        <v>2054</v>
      </c>
      <c r="O491" s="2" t="s">
        <v>1476</v>
      </c>
      <c r="P491" s="2" t="s">
        <v>1927</v>
      </c>
    </row>
    <row r="492" spans="1:16" x14ac:dyDescent="0.2">
      <c r="A492" s="2" t="s">
        <v>2423</v>
      </c>
      <c r="B492" s="2" t="s">
        <v>2906</v>
      </c>
      <c r="H492" s="2">
        <v>22</v>
      </c>
      <c r="I492" s="2">
        <v>501</v>
      </c>
      <c r="J492" s="2" t="s">
        <v>2055</v>
      </c>
      <c r="O492" s="2" t="s">
        <v>1475</v>
      </c>
      <c r="P492" s="2" t="s">
        <v>1874</v>
      </c>
    </row>
    <row r="493" spans="1:16" x14ac:dyDescent="0.2">
      <c r="A493" s="2" t="s">
        <v>2423</v>
      </c>
      <c r="B493" s="2" t="s">
        <v>2907</v>
      </c>
      <c r="H493" s="2">
        <v>22</v>
      </c>
      <c r="I493" s="2">
        <v>501</v>
      </c>
      <c r="J493" s="2" t="s">
        <v>2056</v>
      </c>
      <c r="O493" s="2" t="s">
        <v>1475</v>
      </c>
      <c r="P493" s="2" t="s">
        <v>1875</v>
      </c>
    </row>
    <row r="494" spans="1:16" x14ac:dyDescent="0.2">
      <c r="A494" s="2" t="s">
        <v>2423</v>
      </c>
      <c r="B494" s="2" t="s">
        <v>2908</v>
      </c>
      <c r="H494" s="2">
        <v>22</v>
      </c>
      <c r="I494" s="2">
        <v>501</v>
      </c>
      <c r="J494" s="2" t="s">
        <v>2057</v>
      </c>
      <c r="O494" s="2" t="s">
        <v>1452</v>
      </c>
      <c r="P494" s="2" t="s">
        <v>1559</v>
      </c>
    </row>
    <row r="495" spans="1:16" x14ac:dyDescent="0.2">
      <c r="A495" s="2" t="s">
        <v>2423</v>
      </c>
      <c r="B495" s="2" t="s">
        <v>2909</v>
      </c>
      <c r="H495" s="2">
        <v>22</v>
      </c>
      <c r="I495" s="2">
        <v>501</v>
      </c>
      <c r="J495" s="2" t="s">
        <v>2058</v>
      </c>
      <c r="O495" s="2" t="s">
        <v>1450</v>
      </c>
      <c r="P495" s="2" t="s">
        <v>1928</v>
      </c>
    </row>
    <row r="496" spans="1:16" x14ac:dyDescent="0.2">
      <c r="A496" s="2" t="s">
        <v>2423</v>
      </c>
      <c r="B496" s="2" t="s">
        <v>2910</v>
      </c>
      <c r="H496" s="2">
        <v>22</v>
      </c>
      <c r="I496" s="2">
        <v>501</v>
      </c>
      <c r="J496" s="2" t="s">
        <v>2338</v>
      </c>
      <c r="O496" s="2" t="s">
        <v>1228</v>
      </c>
      <c r="P496" s="2" t="s">
        <v>1929</v>
      </c>
    </row>
    <row r="497" spans="1:16" x14ac:dyDescent="0.2">
      <c r="A497" s="2" t="s">
        <v>2423</v>
      </c>
      <c r="B497" s="2" t="s">
        <v>2911</v>
      </c>
      <c r="H497" s="2">
        <v>22</v>
      </c>
      <c r="I497" s="2">
        <v>501</v>
      </c>
      <c r="J497" s="2" t="s">
        <v>2060</v>
      </c>
      <c r="O497" s="2" t="s">
        <v>1228</v>
      </c>
      <c r="P497" s="2" t="s">
        <v>1930</v>
      </c>
    </row>
    <row r="498" spans="1:16" x14ac:dyDescent="0.2">
      <c r="A498" s="2" t="s">
        <v>2423</v>
      </c>
      <c r="B498" s="2" t="s">
        <v>2912</v>
      </c>
      <c r="H498" s="2">
        <v>22</v>
      </c>
      <c r="I498" s="2">
        <v>501</v>
      </c>
      <c r="J498" s="2" t="s">
        <v>2061</v>
      </c>
      <c r="O498" s="2" t="s">
        <v>1226</v>
      </c>
      <c r="P498" s="2" t="s">
        <v>1931</v>
      </c>
    </row>
    <row r="499" spans="1:16" x14ac:dyDescent="0.2">
      <c r="A499" s="2" t="s">
        <v>2423</v>
      </c>
      <c r="B499" s="2" t="s">
        <v>2913</v>
      </c>
      <c r="H499" s="2">
        <v>22</v>
      </c>
      <c r="I499" s="2">
        <v>501</v>
      </c>
      <c r="J499" s="2" t="s">
        <v>2384</v>
      </c>
      <c r="O499" s="2" t="s">
        <v>1229</v>
      </c>
      <c r="P499" s="2" t="s">
        <v>1932</v>
      </c>
    </row>
    <row r="500" spans="1:16" x14ac:dyDescent="0.2">
      <c r="A500" s="2" t="s">
        <v>2423</v>
      </c>
      <c r="B500" s="2" t="s">
        <v>2914</v>
      </c>
      <c r="H500" s="2">
        <v>22</v>
      </c>
      <c r="I500" s="2">
        <v>501</v>
      </c>
      <c r="J500" s="2" t="s">
        <v>2063</v>
      </c>
      <c r="O500" s="2" t="s">
        <v>1229</v>
      </c>
      <c r="P500" s="2" t="s">
        <v>1933</v>
      </c>
    </row>
    <row r="501" spans="1:16" x14ac:dyDescent="0.2">
      <c r="A501" s="2" t="s">
        <v>2423</v>
      </c>
      <c r="B501" s="2" t="s">
        <v>2915</v>
      </c>
      <c r="H501" s="2">
        <v>22</v>
      </c>
      <c r="I501" s="2">
        <v>501</v>
      </c>
      <c r="J501" s="2" t="s">
        <v>2339</v>
      </c>
      <c r="O501" s="2" t="s">
        <v>1230</v>
      </c>
      <c r="P501" s="2" t="s">
        <v>1878</v>
      </c>
    </row>
    <row r="502" spans="1:16" x14ac:dyDescent="0.2">
      <c r="A502" s="2" t="s">
        <v>2423</v>
      </c>
      <c r="B502" s="2" t="s">
        <v>2916</v>
      </c>
      <c r="H502" s="2">
        <v>22</v>
      </c>
      <c r="I502" s="2">
        <v>501</v>
      </c>
      <c r="J502" s="2" t="s">
        <v>2340</v>
      </c>
      <c r="O502" s="2" t="s">
        <v>1449</v>
      </c>
      <c r="P502" s="2" t="s">
        <v>1879</v>
      </c>
    </row>
    <row r="503" spans="1:16" x14ac:dyDescent="0.2">
      <c r="A503" s="2" t="s">
        <v>2423</v>
      </c>
      <c r="B503" s="2" t="s">
        <v>2917</v>
      </c>
      <c r="H503" s="2">
        <v>22</v>
      </c>
      <c r="I503" s="2">
        <v>501</v>
      </c>
      <c r="J503" s="2" t="s">
        <v>2066</v>
      </c>
      <c r="O503" s="2" t="s">
        <v>1232</v>
      </c>
      <c r="P503" s="2" t="s">
        <v>1880</v>
      </c>
    </row>
    <row r="504" spans="1:16" x14ac:dyDescent="0.2">
      <c r="A504" s="2" t="s">
        <v>2423</v>
      </c>
      <c r="B504" s="2" t="s">
        <v>2918</v>
      </c>
      <c r="H504" s="2">
        <v>22</v>
      </c>
      <c r="I504" s="2">
        <v>501</v>
      </c>
      <c r="J504" s="2" t="s">
        <v>2067</v>
      </c>
      <c r="O504" s="2" t="s">
        <v>1233</v>
      </c>
      <c r="P504" s="2" t="s">
        <v>1881</v>
      </c>
    </row>
    <row r="505" spans="1:16" x14ac:dyDescent="0.2">
      <c r="A505" s="2" t="s">
        <v>2423</v>
      </c>
      <c r="B505" s="2" t="s">
        <v>2919</v>
      </c>
      <c r="H505" s="2">
        <v>22</v>
      </c>
      <c r="I505" s="2">
        <v>501</v>
      </c>
      <c r="J505" s="2" t="s">
        <v>2068</v>
      </c>
      <c r="O505" s="2" t="s">
        <v>1233</v>
      </c>
      <c r="P505" s="2" t="s">
        <v>1934</v>
      </c>
    </row>
    <row r="506" spans="1:16" x14ac:dyDescent="0.2">
      <c r="A506" s="2" t="s">
        <v>2423</v>
      </c>
      <c r="B506" s="2" t="s">
        <v>2920</v>
      </c>
      <c r="H506" s="2">
        <v>22</v>
      </c>
      <c r="I506" s="2">
        <v>501</v>
      </c>
      <c r="J506" s="2" t="s">
        <v>2385</v>
      </c>
      <c r="O506" s="2" t="s">
        <v>1234</v>
      </c>
      <c r="P506" s="2" t="s">
        <v>1935</v>
      </c>
    </row>
    <row r="507" spans="1:16" x14ac:dyDescent="0.2">
      <c r="A507" s="2" t="s">
        <v>2423</v>
      </c>
      <c r="B507" s="2" t="s">
        <v>2921</v>
      </c>
      <c r="H507" s="2">
        <v>22</v>
      </c>
      <c r="I507" s="2">
        <v>501</v>
      </c>
      <c r="J507" s="2" t="s">
        <v>2341</v>
      </c>
      <c r="O507" s="2" t="s">
        <v>1235</v>
      </c>
      <c r="P507" s="2" t="s">
        <v>1936</v>
      </c>
    </row>
    <row r="508" spans="1:16" x14ac:dyDescent="0.2">
      <c r="A508" s="2" t="s">
        <v>2423</v>
      </c>
      <c r="B508" s="2" t="s">
        <v>2922</v>
      </c>
      <c r="H508" s="2">
        <v>22</v>
      </c>
      <c r="I508" s="2">
        <v>501</v>
      </c>
      <c r="J508" s="2" t="s">
        <v>2095</v>
      </c>
      <c r="O508" s="2" t="s">
        <v>1236</v>
      </c>
      <c r="P508" s="2" t="s">
        <v>1937</v>
      </c>
    </row>
    <row r="509" spans="1:16" x14ac:dyDescent="0.2">
      <c r="A509" s="2" t="s">
        <v>2423</v>
      </c>
      <c r="B509" s="2" t="s">
        <v>2923</v>
      </c>
      <c r="H509" s="2">
        <v>22</v>
      </c>
      <c r="I509" s="2">
        <v>501</v>
      </c>
      <c r="J509" s="2" t="s">
        <v>2096</v>
      </c>
      <c r="O509" s="2" t="s">
        <v>1237</v>
      </c>
      <c r="P509" s="2" t="s">
        <v>1883</v>
      </c>
    </row>
    <row r="510" spans="1:16" x14ac:dyDescent="0.2">
      <c r="A510" s="2" t="s">
        <v>2423</v>
      </c>
      <c r="B510" s="2" t="s">
        <v>2924</v>
      </c>
      <c r="H510" s="2">
        <v>22</v>
      </c>
      <c r="I510" s="2">
        <v>501</v>
      </c>
      <c r="J510" s="2" t="s">
        <v>2097</v>
      </c>
      <c r="O510" s="2" t="s">
        <v>1238</v>
      </c>
      <c r="P510" s="2" t="s">
        <v>1884</v>
      </c>
    </row>
    <row r="511" spans="1:16" x14ac:dyDescent="0.2">
      <c r="A511" s="2" t="s">
        <v>2423</v>
      </c>
      <c r="B511" s="2" t="s">
        <v>2925</v>
      </c>
      <c r="H511" s="2">
        <v>22</v>
      </c>
      <c r="I511" s="2">
        <v>501</v>
      </c>
      <c r="J511" s="2" t="s">
        <v>2098</v>
      </c>
      <c r="O511" s="2" t="s">
        <v>1239</v>
      </c>
      <c r="P511" s="2" t="s">
        <v>1600</v>
      </c>
    </row>
    <row r="512" spans="1:16" x14ac:dyDescent="0.2">
      <c r="A512" s="2" t="s">
        <v>2423</v>
      </c>
      <c r="B512" s="2" t="s">
        <v>2926</v>
      </c>
      <c r="H512" s="2">
        <v>22</v>
      </c>
      <c r="I512" s="2">
        <v>501</v>
      </c>
      <c r="J512" s="2" t="s">
        <v>2099</v>
      </c>
      <c r="O512" s="2" t="s">
        <v>1243</v>
      </c>
      <c r="P512" s="2" t="s">
        <v>1938</v>
      </c>
    </row>
    <row r="513" spans="1:16" x14ac:dyDescent="0.2">
      <c r="A513" s="2" t="s">
        <v>2423</v>
      </c>
      <c r="B513" s="2" t="s">
        <v>2927</v>
      </c>
      <c r="H513" s="2">
        <v>22</v>
      </c>
      <c r="I513" s="2">
        <v>501</v>
      </c>
      <c r="J513" s="2" t="s">
        <v>2100</v>
      </c>
      <c r="O513" s="2" t="s">
        <v>1447</v>
      </c>
      <c r="P513" s="2" t="s">
        <v>1939</v>
      </c>
    </row>
    <row r="514" spans="1:16" x14ac:dyDescent="0.2">
      <c r="A514" s="2" t="s">
        <v>2423</v>
      </c>
      <c r="B514" s="2" t="s">
        <v>2928</v>
      </c>
      <c r="H514" s="2">
        <v>22</v>
      </c>
      <c r="I514" s="2">
        <v>501</v>
      </c>
      <c r="J514" s="2" t="s">
        <v>2101</v>
      </c>
      <c r="O514" s="2" t="s">
        <v>1244</v>
      </c>
      <c r="P514" s="2" t="s">
        <v>1940</v>
      </c>
    </row>
    <row r="515" spans="1:16" x14ac:dyDescent="0.2">
      <c r="A515" s="2" t="s">
        <v>2423</v>
      </c>
      <c r="B515" s="2" t="s">
        <v>2929</v>
      </c>
      <c r="H515" s="2">
        <v>22</v>
      </c>
      <c r="I515" s="2">
        <v>501</v>
      </c>
      <c r="J515" s="2" t="s">
        <v>2342</v>
      </c>
      <c r="O515" s="2" t="s">
        <v>1244</v>
      </c>
      <c r="P515" s="2" t="s">
        <v>1886</v>
      </c>
    </row>
    <row r="516" spans="1:16" x14ac:dyDescent="0.2">
      <c r="A516" s="2" t="s">
        <v>2423</v>
      </c>
      <c r="B516" s="2" t="s">
        <v>2930</v>
      </c>
      <c r="H516" s="2">
        <v>22</v>
      </c>
      <c r="I516" s="2">
        <v>501</v>
      </c>
      <c r="J516" s="2" t="s">
        <v>2343</v>
      </c>
      <c r="O516" s="2" t="s">
        <v>1246</v>
      </c>
      <c r="P516" s="2" t="s">
        <v>1605</v>
      </c>
    </row>
    <row r="517" spans="1:16" x14ac:dyDescent="0.2">
      <c r="A517" s="2" t="s">
        <v>2423</v>
      </c>
      <c r="B517" s="2" t="s">
        <v>2931</v>
      </c>
      <c r="H517" s="2">
        <v>22</v>
      </c>
      <c r="I517" s="2">
        <v>501</v>
      </c>
      <c r="J517" s="2" t="s">
        <v>2103</v>
      </c>
      <c r="O517" s="2" t="s">
        <v>1249</v>
      </c>
      <c r="P517" s="2" t="s">
        <v>1941</v>
      </c>
    </row>
    <row r="518" spans="1:16" x14ac:dyDescent="0.2">
      <c r="A518" s="2" t="s">
        <v>2423</v>
      </c>
      <c r="B518" s="2" t="s">
        <v>2932</v>
      </c>
      <c r="H518" s="2">
        <v>22</v>
      </c>
      <c r="I518" s="2">
        <v>501</v>
      </c>
      <c r="J518" s="2" t="s">
        <v>2104</v>
      </c>
      <c r="O518" s="2" t="s">
        <v>1250</v>
      </c>
      <c r="P518" s="2" t="s">
        <v>1942</v>
      </c>
    </row>
    <row r="519" spans="1:16" x14ac:dyDescent="0.2">
      <c r="A519" s="2" t="s">
        <v>2423</v>
      </c>
      <c r="B519" s="2" t="s">
        <v>2933</v>
      </c>
      <c r="H519" s="2">
        <v>22</v>
      </c>
      <c r="I519" s="2">
        <v>501</v>
      </c>
      <c r="J519" s="2" t="s">
        <v>2105</v>
      </c>
      <c r="O519" s="2" t="s">
        <v>1446</v>
      </c>
      <c r="P519" s="2" t="s">
        <v>1608</v>
      </c>
    </row>
    <row r="520" spans="1:16" x14ac:dyDescent="0.2">
      <c r="A520" s="2" t="s">
        <v>2423</v>
      </c>
      <c r="B520" s="2" t="s">
        <v>2934</v>
      </c>
      <c r="H520" s="2">
        <v>22</v>
      </c>
      <c r="I520" s="2">
        <v>501</v>
      </c>
      <c r="J520" s="2" t="s">
        <v>2106</v>
      </c>
      <c r="O520" s="2" t="s">
        <v>1252</v>
      </c>
      <c r="P520" s="2" t="s">
        <v>1943</v>
      </c>
    </row>
    <row r="521" spans="1:16" x14ac:dyDescent="0.2">
      <c r="A521" s="2" t="s">
        <v>2423</v>
      </c>
      <c r="B521" s="2" t="s">
        <v>2934</v>
      </c>
      <c r="H521" s="2">
        <v>22</v>
      </c>
      <c r="I521" s="2">
        <v>501</v>
      </c>
      <c r="J521" s="2" t="s">
        <v>2107</v>
      </c>
      <c r="O521" s="2" t="s">
        <v>1252</v>
      </c>
      <c r="P521" s="2" t="s">
        <v>1944</v>
      </c>
    </row>
    <row r="522" spans="1:16" x14ac:dyDescent="0.2">
      <c r="A522" s="2" t="s">
        <v>2423</v>
      </c>
      <c r="B522" s="2" t="s">
        <v>2935</v>
      </c>
      <c r="H522" s="2">
        <v>22</v>
      </c>
      <c r="I522" s="2">
        <v>501</v>
      </c>
      <c r="J522" s="2" t="s">
        <v>2108</v>
      </c>
      <c r="O522" s="2" t="s">
        <v>1253</v>
      </c>
      <c r="P522" s="2" t="s">
        <v>1945</v>
      </c>
    </row>
    <row r="523" spans="1:16" x14ac:dyDescent="0.2">
      <c r="A523" s="2" t="s">
        <v>2423</v>
      </c>
      <c r="B523" s="2" t="s">
        <v>2936</v>
      </c>
      <c r="H523" s="2">
        <v>22</v>
      </c>
      <c r="I523" s="2">
        <v>501</v>
      </c>
      <c r="J523" s="2" t="s">
        <v>2109</v>
      </c>
      <c r="O523" s="2" t="s">
        <v>1445</v>
      </c>
      <c r="P523" s="2" t="s">
        <v>1946</v>
      </c>
    </row>
    <row r="524" spans="1:16" x14ac:dyDescent="0.2">
      <c r="A524" s="2" t="s">
        <v>2423</v>
      </c>
      <c r="B524" s="2" t="s">
        <v>2937</v>
      </c>
      <c r="H524" s="2">
        <v>22</v>
      </c>
      <c r="I524" s="2">
        <v>501</v>
      </c>
      <c r="J524" s="2" t="s">
        <v>2110</v>
      </c>
      <c r="O524" s="2" t="s">
        <v>1477</v>
      </c>
      <c r="P524" s="2" t="s">
        <v>1947</v>
      </c>
    </row>
    <row r="525" spans="1:16" x14ac:dyDescent="0.2">
      <c r="A525" s="2" t="s">
        <v>2423</v>
      </c>
      <c r="B525" s="2" t="s">
        <v>2938</v>
      </c>
      <c r="H525" s="2">
        <v>22</v>
      </c>
      <c r="I525" s="2">
        <v>501</v>
      </c>
      <c r="J525" s="2" t="s">
        <v>2111</v>
      </c>
      <c r="O525" s="2" t="s">
        <v>1443</v>
      </c>
      <c r="P525" s="2" t="s">
        <v>1948</v>
      </c>
    </row>
    <row r="526" spans="1:16" x14ac:dyDescent="0.2">
      <c r="A526" s="2" t="s">
        <v>2423</v>
      </c>
      <c r="B526" s="2" t="s">
        <v>2939</v>
      </c>
      <c r="H526" s="2">
        <v>22</v>
      </c>
      <c r="I526" s="2">
        <v>501</v>
      </c>
      <c r="J526" s="2" t="s">
        <v>2112</v>
      </c>
      <c r="O526" s="2" t="s">
        <v>1259</v>
      </c>
      <c r="P526" s="2" t="s">
        <v>1949</v>
      </c>
    </row>
    <row r="527" spans="1:16" x14ac:dyDescent="0.2">
      <c r="A527" s="2" t="s">
        <v>2423</v>
      </c>
      <c r="B527" s="2" t="s">
        <v>2939</v>
      </c>
      <c r="H527" s="2">
        <v>22</v>
      </c>
      <c r="I527" s="2">
        <v>501</v>
      </c>
      <c r="J527" s="2" t="s">
        <v>2113</v>
      </c>
      <c r="O527" s="2" t="s">
        <v>1260</v>
      </c>
      <c r="P527" s="2" t="s">
        <v>1950</v>
      </c>
    </row>
    <row r="528" spans="1:16" x14ac:dyDescent="0.2">
      <c r="A528" s="2" t="s">
        <v>2423</v>
      </c>
      <c r="B528" s="2" t="s">
        <v>2435</v>
      </c>
      <c r="H528" s="2">
        <v>22</v>
      </c>
      <c r="I528" s="2">
        <v>501</v>
      </c>
      <c r="J528" s="2" t="s">
        <v>2386</v>
      </c>
      <c r="O528" s="2" t="s">
        <v>1478</v>
      </c>
      <c r="P528" s="2" t="s">
        <v>1951</v>
      </c>
    </row>
    <row r="529" spans="1:16" x14ac:dyDescent="0.2">
      <c r="A529" s="2" t="s">
        <v>2423</v>
      </c>
      <c r="B529" s="2" t="s">
        <v>2940</v>
      </c>
      <c r="H529" s="2">
        <v>22</v>
      </c>
      <c r="I529" s="2">
        <v>501</v>
      </c>
      <c r="J529" s="2" t="s">
        <v>2386</v>
      </c>
      <c r="O529" s="2" t="s">
        <v>1261</v>
      </c>
      <c r="P529" s="2" t="s">
        <v>1617</v>
      </c>
    </row>
    <row r="530" spans="1:16" x14ac:dyDescent="0.2">
      <c r="A530" s="2" t="s">
        <v>2423</v>
      </c>
      <c r="B530" s="2" t="s">
        <v>2941</v>
      </c>
      <c r="H530" s="2">
        <v>22</v>
      </c>
      <c r="I530" s="2">
        <v>501</v>
      </c>
      <c r="J530" s="2" t="s">
        <v>2114</v>
      </c>
      <c r="O530" s="2" t="s">
        <v>1479</v>
      </c>
      <c r="P530" s="2" t="s">
        <v>1618</v>
      </c>
    </row>
    <row r="531" spans="1:16" x14ac:dyDescent="0.2">
      <c r="A531" s="2" t="s">
        <v>2423</v>
      </c>
      <c r="B531" s="2" t="s">
        <v>2942</v>
      </c>
      <c r="H531" s="2">
        <v>22</v>
      </c>
      <c r="I531" s="2">
        <v>501</v>
      </c>
      <c r="J531" s="2" t="s">
        <v>2115</v>
      </c>
      <c r="O531" s="2" t="s">
        <v>1262</v>
      </c>
      <c r="P531" s="2" t="s">
        <v>1619</v>
      </c>
    </row>
    <row r="532" spans="1:16" x14ac:dyDescent="0.2">
      <c r="A532" s="2" t="s">
        <v>2423</v>
      </c>
      <c r="B532" s="2" t="s">
        <v>2943</v>
      </c>
      <c r="H532" s="2">
        <v>22</v>
      </c>
      <c r="I532" s="2">
        <v>501</v>
      </c>
      <c r="J532" s="2" t="s">
        <v>2116</v>
      </c>
      <c r="O532" s="2" t="s">
        <v>1480</v>
      </c>
      <c r="P532" s="2" t="s">
        <v>1952</v>
      </c>
    </row>
    <row r="533" spans="1:16" x14ac:dyDescent="0.2">
      <c r="A533" s="2" t="s">
        <v>2423</v>
      </c>
      <c r="B533" s="2" t="s">
        <v>2944</v>
      </c>
      <c r="H533" s="2">
        <v>22</v>
      </c>
      <c r="I533" s="2">
        <v>501</v>
      </c>
      <c r="J533" s="2" t="s">
        <v>2117</v>
      </c>
      <c r="O533" s="2" t="s">
        <v>1481</v>
      </c>
      <c r="P533" s="2" t="s">
        <v>1621</v>
      </c>
    </row>
    <row r="534" spans="1:16" x14ac:dyDescent="0.2">
      <c r="A534" s="2" t="s">
        <v>2423</v>
      </c>
      <c r="B534" s="2" t="s">
        <v>2945</v>
      </c>
      <c r="H534" s="2">
        <v>22</v>
      </c>
      <c r="I534" s="2">
        <v>501</v>
      </c>
      <c r="J534" s="2" t="s">
        <v>2118</v>
      </c>
      <c r="O534" s="2" t="s">
        <v>1482</v>
      </c>
      <c r="P534" s="2" t="s">
        <v>1622</v>
      </c>
    </row>
    <row r="535" spans="1:16" x14ac:dyDescent="0.2">
      <c r="A535" s="2" t="s">
        <v>2423</v>
      </c>
      <c r="B535" s="2" t="s">
        <v>2946</v>
      </c>
      <c r="H535" s="2">
        <v>22</v>
      </c>
      <c r="I535" s="2">
        <v>501</v>
      </c>
      <c r="J535" s="2" t="s">
        <v>2119</v>
      </c>
      <c r="O535" s="2" t="s">
        <v>1483</v>
      </c>
      <c r="P535" s="2" t="s">
        <v>1623</v>
      </c>
    </row>
    <row r="536" spans="1:16" x14ac:dyDescent="0.2">
      <c r="A536" s="2" t="s">
        <v>2423</v>
      </c>
      <c r="B536" s="2" t="s">
        <v>2947</v>
      </c>
      <c r="H536" s="2">
        <v>22</v>
      </c>
      <c r="I536" s="2">
        <v>501</v>
      </c>
      <c r="J536" s="2" t="s">
        <v>2387</v>
      </c>
      <c r="O536" s="2" t="s">
        <v>1484</v>
      </c>
      <c r="P536" s="2" t="s">
        <v>1624</v>
      </c>
    </row>
    <row r="537" spans="1:16" x14ac:dyDescent="0.2">
      <c r="A537" s="2" t="s">
        <v>2423</v>
      </c>
      <c r="B537" s="2" t="s">
        <v>2948</v>
      </c>
      <c r="H537" s="2">
        <v>22</v>
      </c>
      <c r="I537" s="2">
        <v>501</v>
      </c>
      <c r="J537" s="2" t="s">
        <v>2388</v>
      </c>
      <c r="O537" s="2" t="s">
        <v>1485</v>
      </c>
      <c r="P537" s="2" t="s">
        <v>1625</v>
      </c>
    </row>
    <row r="538" spans="1:16" x14ac:dyDescent="0.2">
      <c r="A538" s="2" t="s">
        <v>2423</v>
      </c>
      <c r="B538" s="2" t="s">
        <v>2949</v>
      </c>
      <c r="H538" s="2">
        <v>22</v>
      </c>
      <c r="I538" s="2">
        <v>501</v>
      </c>
      <c r="J538" s="2" t="s">
        <v>2122</v>
      </c>
      <c r="O538" s="2" t="s">
        <v>1486</v>
      </c>
      <c r="P538" s="2" t="s">
        <v>1953</v>
      </c>
    </row>
    <row r="539" spans="1:16" x14ac:dyDescent="0.2">
      <c r="A539" s="2" t="s">
        <v>2423</v>
      </c>
      <c r="B539" s="2" t="s">
        <v>2950</v>
      </c>
      <c r="H539" s="2">
        <v>22</v>
      </c>
      <c r="I539" s="2">
        <v>501</v>
      </c>
      <c r="J539" s="2" t="s">
        <v>2123</v>
      </c>
      <c r="O539" s="2" t="s">
        <v>1487</v>
      </c>
      <c r="P539" s="2" t="s">
        <v>1627</v>
      </c>
    </row>
    <row r="540" spans="1:16" x14ac:dyDescent="0.2">
      <c r="A540" s="2" t="s">
        <v>2423</v>
      </c>
      <c r="B540" s="2" t="s">
        <v>2951</v>
      </c>
      <c r="H540" s="2">
        <v>22</v>
      </c>
      <c r="I540" s="2">
        <v>501</v>
      </c>
      <c r="J540" s="2" t="s">
        <v>2124</v>
      </c>
      <c r="O540" s="2" t="s">
        <v>1442</v>
      </c>
      <c r="P540" s="2" t="s">
        <v>1954</v>
      </c>
    </row>
    <row r="541" spans="1:16" x14ac:dyDescent="0.2">
      <c r="A541" s="2" t="s">
        <v>2423</v>
      </c>
      <c r="B541" s="2" t="s">
        <v>2952</v>
      </c>
      <c r="H541" s="2">
        <v>22</v>
      </c>
      <c r="I541" s="2">
        <v>501</v>
      </c>
      <c r="J541" s="2" t="s">
        <v>2389</v>
      </c>
      <c r="O541" s="2" t="s">
        <v>1340</v>
      </c>
      <c r="P541" s="2" t="s">
        <v>1955</v>
      </c>
    </row>
    <row r="542" spans="1:16" x14ac:dyDescent="0.2">
      <c r="A542" s="2" t="s">
        <v>2423</v>
      </c>
      <c r="B542" s="2" t="s">
        <v>2953</v>
      </c>
      <c r="H542" s="2">
        <v>22</v>
      </c>
      <c r="I542" s="2">
        <v>501</v>
      </c>
      <c r="J542" s="2" t="s">
        <v>2390</v>
      </c>
      <c r="O542" s="2" t="s">
        <v>1339</v>
      </c>
      <c r="P542" s="2" t="s">
        <v>1956</v>
      </c>
    </row>
    <row r="543" spans="1:16" x14ac:dyDescent="0.2">
      <c r="A543" s="2" t="s">
        <v>2423</v>
      </c>
      <c r="B543" s="2" t="s">
        <v>2954</v>
      </c>
      <c r="H543" s="2">
        <v>22</v>
      </c>
      <c r="I543" s="2">
        <v>501</v>
      </c>
      <c r="J543" s="2" t="s">
        <v>2391</v>
      </c>
      <c r="O543" s="2" t="s">
        <v>1488</v>
      </c>
      <c r="P543" s="2" t="s">
        <v>1957</v>
      </c>
    </row>
    <row r="544" spans="1:16" x14ac:dyDescent="0.2">
      <c r="A544" s="2" t="s">
        <v>2423</v>
      </c>
      <c r="B544" s="2" t="s">
        <v>2955</v>
      </c>
      <c r="H544" s="2">
        <v>22</v>
      </c>
      <c r="I544" s="2">
        <v>501</v>
      </c>
      <c r="J544" s="2" t="s">
        <v>2392</v>
      </c>
      <c r="O544" s="2" t="s">
        <v>1489</v>
      </c>
      <c r="P544" s="2" t="s">
        <v>1958</v>
      </c>
    </row>
    <row r="545" spans="1:16" x14ac:dyDescent="0.2">
      <c r="A545" s="2" t="s">
        <v>2423</v>
      </c>
      <c r="B545" s="2" t="s">
        <v>2956</v>
      </c>
      <c r="H545" s="2">
        <v>22</v>
      </c>
      <c r="I545" s="2">
        <v>501</v>
      </c>
      <c r="J545" s="2" t="s">
        <v>2393</v>
      </c>
      <c r="O545" s="2" t="s">
        <v>1490</v>
      </c>
      <c r="P545" s="2" t="s">
        <v>1959</v>
      </c>
    </row>
    <row r="546" spans="1:16" x14ac:dyDescent="0.2">
      <c r="A546" s="2" t="s">
        <v>2423</v>
      </c>
      <c r="B546" s="2" t="s">
        <v>2957</v>
      </c>
      <c r="H546" s="2">
        <v>22</v>
      </c>
      <c r="I546" s="2">
        <v>501</v>
      </c>
      <c r="J546" s="2" t="s">
        <v>2394</v>
      </c>
      <c r="O546" s="2" t="s">
        <v>1491</v>
      </c>
      <c r="P546" s="2" t="s">
        <v>1960</v>
      </c>
    </row>
    <row r="547" spans="1:16" x14ac:dyDescent="0.2">
      <c r="A547" s="2" t="s">
        <v>2423</v>
      </c>
      <c r="B547" s="2" t="s">
        <v>2958</v>
      </c>
      <c r="H547" s="2">
        <v>22</v>
      </c>
      <c r="I547" s="2">
        <v>501</v>
      </c>
      <c r="J547" s="2" t="s">
        <v>2395</v>
      </c>
      <c r="O547" s="2" t="s">
        <v>1492</v>
      </c>
      <c r="P547" s="2" t="s">
        <v>1961</v>
      </c>
    </row>
    <row r="548" spans="1:16" x14ac:dyDescent="0.2">
      <c r="A548" s="2" t="s">
        <v>2423</v>
      </c>
      <c r="B548" s="2" t="s">
        <v>2959</v>
      </c>
      <c r="H548" s="2">
        <v>22</v>
      </c>
      <c r="I548" s="2">
        <v>501</v>
      </c>
      <c r="J548" s="2" t="s">
        <v>2396</v>
      </c>
      <c r="O548" s="2" t="s">
        <v>1332</v>
      </c>
      <c r="P548" s="2" t="s">
        <v>1962</v>
      </c>
    </row>
    <row r="549" spans="1:16" x14ac:dyDescent="0.2">
      <c r="A549" s="2" t="s">
        <v>2423</v>
      </c>
      <c r="B549" s="2" t="s">
        <v>2960</v>
      </c>
      <c r="H549" s="2">
        <v>22</v>
      </c>
      <c r="I549" s="2">
        <v>501</v>
      </c>
      <c r="J549" s="2" t="s">
        <v>2397</v>
      </c>
      <c r="O549" s="2" t="s">
        <v>1331</v>
      </c>
      <c r="P549" s="2" t="s">
        <v>1963</v>
      </c>
    </row>
    <row r="550" spans="1:16" x14ac:dyDescent="0.2">
      <c r="A550" s="2" t="s">
        <v>2423</v>
      </c>
      <c r="B550" s="2" t="s">
        <v>2961</v>
      </c>
      <c r="H550" s="2">
        <v>22</v>
      </c>
      <c r="I550" s="2">
        <v>501</v>
      </c>
      <c r="J550" s="2" t="s">
        <v>2398</v>
      </c>
      <c r="O550" s="2" t="s">
        <v>1330</v>
      </c>
      <c r="P550" s="2" t="s">
        <v>1964</v>
      </c>
    </row>
    <row r="551" spans="1:16" x14ac:dyDescent="0.2">
      <c r="A551" s="2" t="s">
        <v>2423</v>
      </c>
      <c r="B551" s="2" t="s">
        <v>2962</v>
      </c>
      <c r="H551" s="2">
        <v>22</v>
      </c>
      <c r="I551" s="2">
        <v>501</v>
      </c>
      <c r="J551" s="2" t="s">
        <v>2399</v>
      </c>
      <c r="O551" s="2" t="s">
        <v>1493</v>
      </c>
      <c r="P551" s="2" t="s">
        <v>1965</v>
      </c>
    </row>
    <row r="552" spans="1:16" x14ac:dyDescent="0.2">
      <c r="A552" s="2" t="s">
        <v>2423</v>
      </c>
      <c r="B552" s="2" t="s">
        <v>2963</v>
      </c>
      <c r="H552" s="2">
        <v>22</v>
      </c>
      <c r="I552" s="2">
        <v>501</v>
      </c>
      <c r="J552" s="2" t="s">
        <v>2400</v>
      </c>
      <c r="O552" s="2" t="s">
        <v>1494</v>
      </c>
      <c r="P552" s="2" t="s">
        <v>1966</v>
      </c>
    </row>
    <row r="553" spans="1:16" x14ac:dyDescent="0.2">
      <c r="A553" s="2" t="s">
        <v>2423</v>
      </c>
      <c r="B553" s="2" t="s">
        <v>2964</v>
      </c>
      <c r="H553" s="2">
        <v>22</v>
      </c>
      <c r="I553" s="2">
        <v>501</v>
      </c>
      <c r="J553" s="2" t="s">
        <v>2401</v>
      </c>
      <c r="O553" s="2" t="s">
        <v>1327</v>
      </c>
      <c r="P553" s="2" t="s">
        <v>1967</v>
      </c>
    </row>
    <row r="554" spans="1:16" x14ac:dyDescent="0.2">
      <c r="A554" s="2" t="s">
        <v>2423</v>
      </c>
      <c r="B554" s="2" t="s">
        <v>2965</v>
      </c>
      <c r="H554" s="2">
        <v>22</v>
      </c>
      <c r="I554" s="2">
        <v>501</v>
      </c>
      <c r="J554" s="2" t="s">
        <v>2402</v>
      </c>
      <c r="O554" s="2" t="s">
        <v>1495</v>
      </c>
      <c r="P554" s="2" t="s">
        <v>1968</v>
      </c>
    </row>
    <row r="555" spans="1:16" x14ac:dyDescent="0.2">
      <c r="A555" s="2" t="s">
        <v>2423</v>
      </c>
      <c r="B555" s="2" t="s">
        <v>2966</v>
      </c>
      <c r="H555" s="2">
        <v>22</v>
      </c>
      <c r="I555" s="2">
        <v>501</v>
      </c>
      <c r="J555" s="2" t="s">
        <v>2403</v>
      </c>
      <c r="O555" s="2" t="s">
        <v>1496</v>
      </c>
      <c r="P555" s="2" t="s">
        <v>1969</v>
      </c>
    </row>
    <row r="556" spans="1:16" x14ac:dyDescent="0.2">
      <c r="A556" s="2" t="s">
        <v>2423</v>
      </c>
      <c r="B556" s="2" t="s">
        <v>2967</v>
      </c>
      <c r="H556" s="2">
        <v>22</v>
      </c>
      <c r="I556" s="2">
        <v>501</v>
      </c>
      <c r="J556" s="2" t="s">
        <v>2404</v>
      </c>
      <c r="O556" s="2" t="s">
        <v>1497</v>
      </c>
      <c r="P556" s="2" t="s">
        <v>1970</v>
      </c>
    </row>
    <row r="557" spans="1:16" x14ac:dyDescent="0.2">
      <c r="A557" s="2" t="s">
        <v>2423</v>
      </c>
      <c r="B557" s="2" t="s">
        <v>2968</v>
      </c>
      <c r="H557" s="2">
        <v>22</v>
      </c>
      <c r="I557" s="2">
        <v>501</v>
      </c>
      <c r="J557" s="2" t="s">
        <v>2405</v>
      </c>
      <c r="O557" s="2" t="s">
        <v>1323</v>
      </c>
      <c r="P557" s="2" t="s">
        <v>1971</v>
      </c>
    </row>
    <row r="558" spans="1:16" x14ac:dyDescent="0.2">
      <c r="A558" s="2" t="s">
        <v>2423</v>
      </c>
      <c r="B558" s="2" t="s">
        <v>2969</v>
      </c>
      <c r="H558" s="2">
        <v>22</v>
      </c>
      <c r="I558" s="2">
        <v>501</v>
      </c>
      <c r="J558" s="2" t="s">
        <v>2406</v>
      </c>
      <c r="O558" s="2" t="s">
        <v>1322</v>
      </c>
      <c r="P558" s="2" t="s">
        <v>1972</v>
      </c>
    </row>
    <row r="559" spans="1:16" x14ac:dyDescent="0.2">
      <c r="A559" s="2" t="s">
        <v>2423</v>
      </c>
      <c r="B559" s="2" t="s">
        <v>2970</v>
      </c>
      <c r="H559" s="2">
        <v>22</v>
      </c>
      <c r="I559" s="2">
        <v>501</v>
      </c>
      <c r="J559" s="2" t="s">
        <v>2407</v>
      </c>
      <c r="O559" s="2" t="s">
        <v>1321</v>
      </c>
      <c r="P559" s="2" t="s">
        <v>1973</v>
      </c>
    </row>
    <row r="560" spans="1:16" x14ac:dyDescent="0.2">
      <c r="A560" s="2" t="s">
        <v>2423</v>
      </c>
      <c r="B560" s="2" t="s">
        <v>2971</v>
      </c>
      <c r="H560" s="2">
        <v>22</v>
      </c>
      <c r="I560" s="2">
        <v>501</v>
      </c>
      <c r="J560" s="2" t="s">
        <v>2408</v>
      </c>
      <c r="O560" s="2" t="s">
        <v>1320</v>
      </c>
      <c r="P560" s="2" t="s">
        <v>1974</v>
      </c>
    </row>
    <row r="561" spans="1:16" x14ac:dyDescent="0.2">
      <c r="A561" s="2" t="s">
        <v>2423</v>
      </c>
      <c r="B561" s="2" t="s">
        <v>2972</v>
      </c>
      <c r="H561" s="2">
        <v>22</v>
      </c>
      <c r="I561" s="2">
        <v>501</v>
      </c>
      <c r="J561" s="2" t="s">
        <v>2409</v>
      </c>
      <c r="O561" s="2" t="s">
        <v>1319</v>
      </c>
      <c r="P561" s="2" t="s">
        <v>1975</v>
      </c>
    </row>
    <row r="562" spans="1:16" x14ac:dyDescent="0.2">
      <c r="A562" s="2" t="s">
        <v>2423</v>
      </c>
      <c r="B562" s="2" t="s">
        <v>2973</v>
      </c>
      <c r="H562" s="2">
        <v>22</v>
      </c>
      <c r="I562" s="2">
        <v>501</v>
      </c>
      <c r="J562" s="2" t="s">
        <v>2410</v>
      </c>
      <c r="O562" s="2" t="s">
        <v>1318</v>
      </c>
      <c r="P562" s="2" t="s">
        <v>1976</v>
      </c>
    </row>
    <row r="563" spans="1:16" x14ac:dyDescent="0.2">
      <c r="A563" s="2" t="s">
        <v>2423</v>
      </c>
      <c r="B563" s="2" t="s">
        <v>2974</v>
      </c>
      <c r="H563" s="2">
        <v>22</v>
      </c>
      <c r="I563" s="2">
        <v>501</v>
      </c>
      <c r="J563" s="2" t="s">
        <v>2411</v>
      </c>
      <c r="O563" s="2" t="s">
        <v>1498</v>
      </c>
      <c r="P563" s="2" t="s">
        <v>1977</v>
      </c>
    </row>
    <row r="564" spans="1:16" x14ac:dyDescent="0.2">
      <c r="A564" s="2" t="s">
        <v>2423</v>
      </c>
      <c r="B564" s="2" t="s">
        <v>2975</v>
      </c>
      <c r="H564" s="2">
        <v>22</v>
      </c>
      <c r="I564" s="2">
        <v>501</v>
      </c>
      <c r="J564" s="2" t="s">
        <v>2412</v>
      </c>
      <c r="O564" s="2" t="s">
        <v>1499</v>
      </c>
      <c r="P564" s="2" t="s">
        <v>1978</v>
      </c>
    </row>
    <row r="565" spans="1:16" x14ac:dyDescent="0.2">
      <c r="A565" s="2" t="s">
        <v>2423</v>
      </c>
      <c r="B565" s="2" t="s">
        <v>2976</v>
      </c>
      <c r="H565" s="2">
        <v>22</v>
      </c>
      <c r="I565" s="2">
        <v>501</v>
      </c>
      <c r="J565" s="2" t="s">
        <v>2413</v>
      </c>
      <c r="O565" s="2" t="s">
        <v>1500</v>
      </c>
      <c r="P565" s="2" t="s">
        <v>1979</v>
      </c>
    </row>
    <row r="566" spans="1:16" x14ac:dyDescent="0.2">
      <c r="A566" s="2" t="s">
        <v>2423</v>
      </c>
      <c r="B566" s="2" t="s">
        <v>2977</v>
      </c>
      <c r="H566" s="2">
        <v>22</v>
      </c>
      <c r="I566" s="2">
        <v>501</v>
      </c>
      <c r="J566" s="2" t="s">
        <v>2414</v>
      </c>
      <c r="O566" s="2" t="s">
        <v>1339</v>
      </c>
      <c r="P566" s="2" t="s">
        <v>1980</v>
      </c>
    </row>
    <row r="567" spans="1:16" x14ac:dyDescent="0.2">
      <c r="A567" s="2" t="s">
        <v>2423</v>
      </c>
      <c r="B567" s="2" t="s">
        <v>2978</v>
      </c>
      <c r="H567" s="2">
        <v>22</v>
      </c>
      <c r="I567" s="2">
        <v>501</v>
      </c>
      <c r="J567" s="2" t="s">
        <v>2390</v>
      </c>
      <c r="O567" s="2" t="s">
        <v>1488</v>
      </c>
      <c r="P567" s="2" t="s">
        <v>1981</v>
      </c>
    </row>
    <row r="568" spans="1:16" x14ac:dyDescent="0.2">
      <c r="A568" s="2" t="s">
        <v>2423</v>
      </c>
      <c r="B568" s="2" t="s">
        <v>2979</v>
      </c>
      <c r="H568" s="2">
        <v>22</v>
      </c>
      <c r="I568" s="2">
        <v>501</v>
      </c>
      <c r="J568" s="2" t="s">
        <v>2391</v>
      </c>
      <c r="O568" s="2" t="s">
        <v>1489</v>
      </c>
      <c r="P568" s="2" t="s">
        <v>1982</v>
      </c>
    </row>
    <row r="569" spans="1:16" x14ac:dyDescent="0.2">
      <c r="A569" s="2" t="s">
        <v>2423</v>
      </c>
      <c r="B569" s="2" t="s">
        <v>2980</v>
      </c>
      <c r="H569" s="2">
        <v>22</v>
      </c>
      <c r="I569" s="2">
        <v>501</v>
      </c>
      <c r="J569" s="2" t="s">
        <v>2392</v>
      </c>
      <c r="O569" s="2" t="s">
        <v>1490</v>
      </c>
      <c r="P569" s="2" t="s">
        <v>1983</v>
      </c>
    </row>
    <row r="570" spans="1:16" x14ac:dyDescent="0.2">
      <c r="A570" s="2" t="s">
        <v>2423</v>
      </c>
      <c r="B570" s="2" t="s">
        <v>2981</v>
      </c>
      <c r="H570" s="2">
        <v>22</v>
      </c>
      <c r="I570" s="2">
        <v>501</v>
      </c>
      <c r="J570" s="2" t="s">
        <v>2393</v>
      </c>
      <c r="O570" s="2" t="s">
        <v>1491</v>
      </c>
      <c r="P570" s="2" t="s">
        <v>1984</v>
      </c>
    </row>
    <row r="571" spans="1:16" x14ac:dyDescent="0.2">
      <c r="A571" s="2" t="s">
        <v>2423</v>
      </c>
      <c r="B571" s="2" t="s">
        <v>2982</v>
      </c>
      <c r="H571" s="2">
        <v>22</v>
      </c>
      <c r="I571" s="2">
        <v>501</v>
      </c>
      <c r="J571" s="2" t="s">
        <v>2394</v>
      </c>
      <c r="O571" s="2" t="s">
        <v>1492</v>
      </c>
      <c r="P571" s="2" t="s">
        <v>1985</v>
      </c>
    </row>
    <row r="572" spans="1:16" x14ac:dyDescent="0.2">
      <c r="A572" s="2" t="s">
        <v>2423</v>
      </c>
      <c r="B572" s="2" t="s">
        <v>2983</v>
      </c>
      <c r="H572" s="2">
        <v>22</v>
      </c>
      <c r="I572" s="2">
        <v>501</v>
      </c>
      <c r="J572" s="2" t="s">
        <v>2395</v>
      </c>
      <c r="O572" s="2" t="s">
        <v>1332</v>
      </c>
      <c r="P572" s="2" t="s">
        <v>1986</v>
      </c>
    </row>
    <row r="573" spans="1:16" x14ac:dyDescent="0.2">
      <c r="A573" s="2" t="s">
        <v>2423</v>
      </c>
      <c r="B573" s="2" t="s">
        <v>2984</v>
      </c>
      <c r="H573" s="2">
        <v>22</v>
      </c>
      <c r="I573" s="2">
        <v>501</v>
      </c>
      <c r="J573" s="2" t="s">
        <v>2396</v>
      </c>
      <c r="O573" s="2" t="s">
        <v>1331</v>
      </c>
      <c r="P573" s="2" t="s">
        <v>1987</v>
      </c>
    </row>
    <row r="574" spans="1:16" x14ac:dyDescent="0.2">
      <c r="A574" s="2" t="s">
        <v>2423</v>
      </c>
      <c r="B574" s="2" t="s">
        <v>2985</v>
      </c>
      <c r="H574" s="2">
        <v>22</v>
      </c>
      <c r="I574" s="2">
        <v>501</v>
      </c>
      <c r="J574" s="2" t="s">
        <v>2397</v>
      </c>
      <c r="O574" s="2" t="s">
        <v>1330</v>
      </c>
      <c r="P574" s="2" t="s">
        <v>1988</v>
      </c>
    </row>
    <row r="575" spans="1:16" x14ac:dyDescent="0.2">
      <c r="A575" s="2" t="s">
        <v>2423</v>
      </c>
      <c r="B575" s="2" t="s">
        <v>2986</v>
      </c>
      <c r="H575" s="2">
        <v>22</v>
      </c>
      <c r="I575" s="2">
        <v>501</v>
      </c>
      <c r="J575" s="2" t="s">
        <v>2398</v>
      </c>
      <c r="O575" s="2" t="s">
        <v>1329</v>
      </c>
      <c r="P575" s="2" t="s">
        <v>1989</v>
      </c>
    </row>
    <row r="576" spans="1:16" x14ac:dyDescent="0.2">
      <c r="A576" s="2" t="s">
        <v>2423</v>
      </c>
      <c r="B576" s="2" t="s">
        <v>2987</v>
      </c>
      <c r="H576" s="2">
        <v>22</v>
      </c>
      <c r="I576" s="2">
        <v>501</v>
      </c>
      <c r="J576" s="2" t="s">
        <v>2399</v>
      </c>
      <c r="O576" s="2" t="s">
        <v>1501</v>
      </c>
      <c r="P576" s="2" t="s">
        <v>1990</v>
      </c>
    </row>
    <row r="577" spans="1:16" x14ac:dyDescent="0.2">
      <c r="A577" s="2" t="s">
        <v>2423</v>
      </c>
      <c r="B577" s="2" t="s">
        <v>2988</v>
      </c>
      <c r="H577" s="2">
        <v>22</v>
      </c>
      <c r="I577" s="2">
        <v>501</v>
      </c>
      <c r="J577" s="2" t="s">
        <v>2400</v>
      </c>
      <c r="O577" s="2" t="s">
        <v>1502</v>
      </c>
      <c r="P577" s="2" t="s">
        <v>1991</v>
      </c>
    </row>
    <row r="578" spans="1:16" x14ac:dyDescent="0.2">
      <c r="A578" s="2" t="s">
        <v>2423</v>
      </c>
      <c r="B578" s="2" t="s">
        <v>2989</v>
      </c>
      <c r="H578" s="2">
        <v>22</v>
      </c>
      <c r="I578" s="2">
        <v>501</v>
      </c>
      <c r="J578" s="2" t="s">
        <v>2401</v>
      </c>
      <c r="O578" s="2" t="s">
        <v>1503</v>
      </c>
      <c r="P578" s="2" t="s">
        <v>1992</v>
      </c>
    </row>
    <row r="579" spans="1:16" x14ac:dyDescent="0.2">
      <c r="A579" s="2" t="s">
        <v>2423</v>
      </c>
      <c r="B579" s="2" t="s">
        <v>2990</v>
      </c>
      <c r="H579" s="2">
        <v>22</v>
      </c>
      <c r="I579" s="2">
        <v>501</v>
      </c>
      <c r="J579" s="2" t="s">
        <v>2402</v>
      </c>
      <c r="O579" s="2" t="s">
        <v>1496</v>
      </c>
      <c r="P579" s="2" t="s">
        <v>1993</v>
      </c>
    </row>
    <row r="580" spans="1:16" x14ac:dyDescent="0.2">
      <c r="A580" s="2" t="s">
        <v>2423</v>
      </c>
      <c r="B580" s="2" t="s">
        <v>2991</v>
      </c>
      <c r="H580" s="2">
        <v>22</v>
      </c>
      <c r="I580" s="2">
        <v>501</v>
      </c>
      <c r="J580" s="2" t="s">
        <v>2403</v>
      </c>
      <c r="O580" s="2" t="s">
        <v>1504</v>
      </c>
      <c r="P580" s="2" t="s">
        <v>1994</v>
      </c>
    </row>
    <row r="581" spans="1:16" x14ac:dyDescent="0.2">
      <c r="A581" s="2" t="s">
        <v>2423</v>
      </c>
      <c r="B581" s="2" t="s">
        <v>2992</v>
      </c>
      <c r="H581" s="2">
        <v>22</v>
      </c>
      <c r="I581" s="2">
        <v>501</v>
      </c>
      <c r="J581" s="2" t="s">
        <v>2404</v>
      </c>
      <c r="O581" s="2" t="s">
        <v>1323</v>
      </c>
      <c r="P581" s="2" t="s">
        <v>1995</v>
      </c>
    </row>
    <row r="582" spans="1:16" x14ac:dyDescent="0.2">
      <c r="A582" s="2" t="s">
        <v>2423</v>
      </c>
      <c r="B582" s="2" t="s">
        <v>2993</v>
      </c>
      <c r="H582" s="2">
        <v>22</v>
      </c>
      <c r="I582" s="2">
        <v>501</v>
      </c>
      <c r="J582" s="2" t="s">
        <v>2405</v>
      </c>
      <c r="O582" s="2" t="s">
        <v>1322</v>
      </c>
      <c r="P582" s="2" t="s">
        <v>1996</v>
      </c>
    </row>
    <row r="583" spans="1:16" x14ac:dyDescent="0.2">
      <c r="A583" s="2" t="s">
        <v>2423</v>
      </c>
      <c r="B583" s="2" t="s">
        <v>2994</v>
      </c>
      <c r="H583" s="2">
        <v>22</v>
      </c>
      <c r="I583" s="2">
        <v>501</v>
      </c>
      <c r="J583" s="2" t="s">
        <v>2415</v>
      </c>
      <c r="O583" s="2" t="s">
        <v>1505</v>
      </c>
      <c r="P583" s="2" t="s">
        <v>1997</v>
      </c>
    </row>
    <row r="584" spans="1:16" x14ac:dyDescent="0.2">
      <c r="A584" s="2" t="s">
        <v>2423</v>
      </c>
      <c r="B584" s="2" t="s">
        <v>2995</v>
      </c>
      <c r="H584" s="2">
        <v>22</v>
      </c>
      <c r="I584" s="2">
        <v>501</v>
      </c>
      <c r="J584" s="2" t="s">
        <v>2416</v>
      </c>
      <c r="O584" s="2" t="s">
        <v>1320</v>
      </c>
      <c r="P584" s="2" t="s">
        <v>1998</v>
      </c>
    </row>
    <row r="585" spans="1:16" x14ac:dyDescent="0.2">
      <c r="A585" s="2" t="s">
        <v>2423</v>
      </c>
      <c r="B585" s="2" t="s">
        <v>2996</v>
      </c>
      <c r="H585" s="2">
        <v>22</v>
      </c>
      <c r="I585" s="2">
        <v>501</v>
      </c>
      <c r="J585" s="2" t="s">
        <v>2417</v>
      </c>
      <c r="O585" s="2" t="s">
        <v>1319</v>
      </c>
      <c r="P585" s="2" t="s">
        <v>1999</v>
      </c>
    </row>
    <row r="586" spans="1:16" x14ac:dyDescent="0.2">
      <c r="A586" s="2" t="s">
        <v>2423</v>
      </c>
      <c r="B586" s="2" t="s">
        <v>2997</v>
      </c>
      <c r="H586" s="2">
        <v>22</v>
      </c>
      <c r="I586" s="2">
        <v>501</v>
      </c>
      <c r="J586" s="2" t="s">
        <v>2409</v>
      </c>
      <c r="O586" s="2" t="s">
        <v>1318</v>
      </c>
      <c r="P586" s="2" t="s">
        <v>2000</v>
      </c>
    </row>
    <row r="587" spans="1:16" x14ac:dyDescent="0.2">
      <c r="A587" s="2" t="s">
        <v>2423</v>
      </c>
      <c r="B587" s="2" t="s">
        <v>2998</v>
      </c>
      <c r="H587" s="2">
        <v>22</v>
      </c>
      <c r="I587" s="2">
        <v>501</v>
      </c>
      <c r="J587" s="2" t="s">
        <v>2410</v>
      </c>
      <c r="O587" s="2" t="s">
        <v>1506</v>
      </c>
      <c r="P587" s="2" t="s">
        <v>2001</v>
      </c>
    </row>
    <row r="588" spans="1:16" x14ac:dyDescent="0.2">
      <c r="A588" s="2" t="s">
        <v>2423</v>
      </c>
      <c r="B588" s="2" t="s">
        <v>2999</v>
      </c>
      <c r="H588" s="2">
        <v>22</v>
      </c>
      <c r="I588" s="2">
        <v>501</v>
      </c>
      <c r="J588" s="2" t="s">
        <v>2418</v>
      </c>
      <c r="O588" s="2" t="s">
        <v>1498</v>
      </c>
      <c r="P588" s="2" t="s">
        <v>2002</v>
      </c>
    </row>
    <row r="589" spans="1:16" x14ac:dyDescent="0.2">
      <c r="A589" s="2" t="s">
        <v>2423</v>
      </c>
      <c r="B589" s="2" t="s">
        <v>3000</v>
      </c>
      <c r="H589" s="2">
        <v>22</v>
      </c>
      <c r="I589" s="2">
        <v>501</v>
      </c>
      <c r="J589" s="2" t="s">
        <v>2411</v>
      </c>
      <c r="O589" s="2" t="s">
        <v>1507</v>
      </c>
      <c r="P589" s="2" t="s">
        <v>2003</v>
      </c>
    </row>
    <row r="590" spans="1:16" x14ac:dyDescent="0.2">
      <c r="A590" s="2" t="s">
        <v>2423</v>
      </c>
      <c r="B590" s="2" t="s">
        <v>3001</v>
      </c>
      <c r="H590" s="2">
        <v>22</v>
      </c>
      <c r="I590" s="2">
        <v>501</v>
      </c>
      <c r="J590" s="2" t="s">
        <v>2412</v>
      </c>
      <c r="O590" s="2" t="s">
        <v>1500</v>
      </c>
      <c r="P590" s="2" t="s">
        <v>1977</v>
      </c>
    </row>
    <row r="591" spans="1:16" x14ac:dyDescent="0.2">
      <c r="A591" s="2" t="s">
        <v>2423</v>
      </c>
      <c r="B591" s="2" t="s">
        <v>3002</v>
      </c>
      <c r="H591" s="2">
        <v>22</v>
      </c>
      <c r="I591" s="2">
        <v>501</v>
      </c>
      <c r="J591" s="2" t="s">
        <v>2413</v>
      </c>
      <c r="O591" s="2" t="s">
        <v>1508</v>
      </c>
      <c r="P591" s="2" t="s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1"/>
  <sheetViews>
    <sheetView topLeftCell="A116" workbookViewId="0">
      <selection activeCell="I116" sqref="I1:K1048576"/>
    </sheetView>
  </sheetViews>
  <sheetFormatPr defaultRowHeight="14.25" x14ac:dyDescent="0.2"/>
  <cols>
    <col min="1" max="1" width="45.75" customWidth="1"/>
    <col min="7" max="14" width="9" style="1"/>
  </cols>
  <sheetData>
    <row r="1" spans="1:15" x14ac:dyDescent="0.2">
      <c r="A1" t="s">
        <v>0</v>
      </c>
      <c r="B1" t="s">
        <v>1</v>
      </c>
      <c r="C1" t="s">
        <v>2</v>
      </c>
    </row>
    <row r="2" spans="1:15" x14ac:dyDescent="0.2">
      <c r="A2" t="s">
        <v>3</v>
      </c>
      <c r="B2" t="s">
        <v>4</v>
      </c>
      <c r="G2" s="1" t="str">
        <f>MID(A2,8,8)</f>
        <v>104.4166</v>
      </c>
      <c r="H2" s="1" t="str">
        <f>MID(A2,18,8)</f>
        <v xml:space="preserve"> 17.3212</v>
      </c>
      <c r="J2" s="1" t="str">
        <f>MID(B2,1,3)</f>
        <v>LT1</v>
      </c>
      <c r="L2" s="1">
        <v>22</v>
      </c>
      <c r="M2" s="1">
        <v>501</v>
      </c>
      <c r="N2" s="1" t="str">
        <f>MID(B2,16,7)</f>
        <v>198+490</v>
      </c>
      <c r="O2" t="str">
        <f>MID(B2,5,2)</f>
        <v>SG</v>
      </c>
    </row>
    <row r="3" spans="1:15" x14ac:dyDescent="0.2">
      <c r="A3" t="s">
        <v>5</v>
      </c>
      <c r="B3" t="s">
        <v>6</v>
      </c>
      <c r="G3" s="1" t="str">
        <f t="shared" ref="G3:G66" si="0">MID(A3,8,8)</f>
        <v>104.4169</v>
      </c>
      <c r="H3" s="1" t="str">
        <f t="shared" ref="H3:H66" si="1">MID(A3,18,8)</f>
        <v xml:space="preserve"> 17.3215</v>
      </c>
      <c r="J3" s="1" t="str">
        <f t="shared" ref="J3:J10" si="2">MID(B3,1,3)</f>
        <v>LT2</v>
      </c>
      <c r="L3" s="1">
        <v>22</v>
      </c>
      <c r="M3" s="1">
        <v>501</v>
      </c>
      <c r="N3" s="1" t="str">
        <f t="shared" ref="N3:N10" si="3">MID(B3,16,7)</f>
        <v>198+525</v>
      </c>
      <c r="O3" t="str">
        <f t="shared" ref="O3:O66" si="4">MID(B3,5,2)</f>
        <v>SG</v>
      </c>
    </row>
    <row r="4" spans="1:15" x14ac:dyDescent="0.2">
      <c r="A4" t="s">
        <v>7</v>
      </c>
      <c r="B4" t="s">
        <v>8</v>
      </c>
      <c r="G4" s="1" t="str">
        <f t="shared" si="0"/>
        <v>104.4173</v>
      </c>
      <c r="H4" s="1" t="str">
        <f t="shared" si="1"/>
        <v xml:space="preserve"> 17.3215</v>
      </c>
      <c r="J4" s="1" t="str">
        <f t="shared" si="2"/>
        <v>LT3</v>
      </c>
      <c r="L4" s="1">
        <v>22</v>
      </c>
      <c r="M4" s="1">
        <v>501</v>
      </c>
      <c r="N4" s="1" t="str">
        <f t="shared" si="3"/>
        <v>198+560</v>
      </c>
      <c r="O4" t="str">
        <f t="shared" si="4"/>
        <v>SG</v>
      </c>
    </row>
    <row r="5" spans="1:15" x14ac:dyDescent="0.2">
      <c r="A5" t="s">
        <v>9</v>
      </c>
      <c r="B5" t="s">
        <v>10</v>
      </c>
      <c r="G5" s="1" t="str">
        <f t="shared" si="0"/>
        <v>104.4176</v>
      </c>
      <c r="H5" s="1" t="str">
        <f>MID(A5,18,7)</f>
        <v>17.3216</v>
      </c>
      <c r="J5" s="1" t="str">
        <f t="shared" si="2"/>
        <v>LT4</v>
      </c>
      <c r="L5" s="1">
        <v>22</v>
      </c>
      <c r="M5" s="1">
        <v>501</v>
      </c>
      <c r="N5" s="1" t="str">
        <f t="shared" si="3"/>
        <v>198+595</v>
      </c>
      <c r="O5" t="str">
        <f t="shared" si="4"/>
        <v>SG</v>
      </c>
    </row>
    <row r="6" spans="1:15" x14ac:dyDescent="0.2">
      <c r="A6" t="s">
        <v>11</v>
      </c>
      <c r="B6" t="s">
        <v>12</v>
      </c>
      <c r="G6" s="1" t="str">
        <f t="shared" si="0"/>
        <v>104.4179</v>
      </c>
      <c r="H6" s="1" t="str">
        <f t="shared" si="1"/>
        <v xml:space="preserve"> 17.3216</v>
      </c>
      <c r="J6" s="1" t="str">
        <f t="shared" si="2"/>
        <v>LT5</v>
      </c>
      <c r="L6" s="1">
        <v>22</v>
      </c>
      <c r="M6" s="1">
        <v>501</v>
      </c>
      <c r="N6" s="1" t="str">
        <f t="shared" si="3"/>
        <v>198+630</v>
      </c>
      <c r="O6" t="str">
        <f t="shared" si="4"/>
        <v>SG</v>
      </c>
    </row>
    <row r="7" spans="1:15" x14ac:dyDescent="0.2">
      <c r="A7" t="s">
        <v>13</v>
      </c>
      <c r="B7" t="s">
        <v>14</v>
      </c>
      <c r="G7" s="1" t="str">
        <f t="shared" si="0"/>
        <v>104.4182</v>
      </c>
      <c r="H7" s="1" t="str">
        <f t="shared" si="1"/>
        <v xml:space="preserve"> 17.3216</v>
      </c>
      <c r="J7" s="1" t="str">
        <f t="shared" si="2"/>
        <v>LT6</v>
      </c>
      <c r="L7" s="1">
        <v>22</v>
      </c>
      <c r="M7" s="1">
        <v>501</v>
      </c>
      <c r="N7" s="1" t="str">
        <f t="shared" si="3"/>
        <v>198+665</v>
      </c>
      <c r="O7" t="str">
        <f t="shared" si="4"/>
        <v>SG</v>
      </c>
    </row>
    <row r="8" spans="1:15" x14ac:dyDescent="0.2">
      <c r="A8" t="s">
        <v>15</v>
      </c>
      <c r="B8" t="s">
        <v>16</v>
      </c>
      <c r="G8" s="1" t="str">
        <f t="shared" si="0"/>
        <v>104.4186</v>
      </c>
      <c r="H8" s="1" t="str">
        <f t="shared" si="1"/>
        <v xml:space="preserve"> 17.3216</v>
      </c>
      <c r="J8" s="1" t="str">
        <f t="shared" si="2"/>
        <v>LT7</v>
      </c>
      <c r="L8" s="1">
        <v>22</v>
      </c>
      <c r="M8" s="1">
        <v>501</v>
      </c>
      <c r="N8" s="1" t="str">
        <f t="shared" si="3"/>
        <v>198+700</v>
      </c>
      <c r="O8" t="str">
        <f t="shared" si="4"/>
        <v>SG</v>
      </c>
    </row>
    <row r="9" spans="1:15" x14ac:dyDescent="0.2">
      <c r="A9" t="s">
        <v>17</v>
      </c>
      <c r="B9" t="s">
        <v>18</v>
      </c>
      <c r="G9" s="1" t="str">
        <f t="shared" si="0"/>
        <v>104.4189</v>
      </c>
      <c r="H9" s="1" t="str">
        <f t="shared" si="1"/>
        <v xml:space="preserve"> 17.3216</v>
      </c>
      <c r="J9" s="1" t="str">
        <f t="shared" si="2"/>
        <v>LT8</v>
      </c>
      <c r="L9" s="1">
        <v>22</v>
      </c>
      <c r="M9" s="1">
        <v>501</v>
      </c>
      <c r="N9" s="1" t="str">
        <f t="shared" si="3"/>
        <v>198+735</v>
      </c>
      <c r="O9" t="str">
        <f t="shared" si="4"/>
        <v>SG</v>
      </c>
    </row>
    <row r="10" spans="1:15" x14ac:dyDescent="0.2">
      <c r="A10" t="s">
        <v>19</v>
      </c>
      <c r="B10" t="s">
        <v>20</v>
      </c>
      <c r="G10" s="1" t="str">
        <f t="shared" si="0"/>
        <v>104.4193</v>
      </c>
      <c r="H10" s="1" t="str">
        <f t="shared" si="1"/>
        <v xml:space="preserve"> 17.3216</v>
      </c>
      <c r="J10" s="1" t="str">
        <f t="shared" si="2"/>
        <v>LT9</v>
      </c>
      <c r="L10" s="1">
        <v>22</v>
      </c>
      <c r="M10" s="1">
        <v>501</v>
      </c>
      <c r="N10" s="1" t="str">
        <f t="shared" si="3"/>
        <v>198+770</v>
      </c>
      <c r="O10" t="str">
        <f t="shared" si="4"/>
        <v>SG</v>
      </c>
    </row>
    <row r="11" spans="1:15" x14ac:dyDescent="0.2">
      <c r="A11" t="s">
        <v>21</v>
      </c>
      <c r="B11" t="s">
        <v>22</v>
      </c>
      <c r="G11" s="1" t="str">
        <f t="shared" si="0"/>
        <v>104.4197</v>
      </c>
      <c r="H11" s="1" t="str">
        <f t="shared" si="1"/>
        <v xml:space="preserve"> 17.3215</v>
      </c>
      <c r="J11" s="1" t="str">
        <f>MID(B11,1,4)</f>
        <v>LT10</v>
      </c>
      <c r="L11" s="1">
        <v>22</v>
      </c>
      <c r="M11" s="1">
        <v>501</v>
      </c>
      <c r="N11" s="1" t="str">
        <f>MID(B11,17,7)</f>
        <v>198+805</v>
      </c>
      <c r="O11" t="str">
        <f>MID(B11,6,2)</f>
        <v>SG</v>
      </c>
    </row>
    <row r="12" spans="1:15" x14ac:dyDescent="0.2">
      <c r="A12" t="s">
        <v>23</v>
      </c>
      <c r="B12" t="s">
        <v>24</v>
      </c>
      <c r="G12" s="1" t="str">
        <f t="shared" si="0"/>
        <v>104.4199</v>
      </c>
      <c r="H12" s="1" t="str">
        <f t="shared" si="1"/>
        <v xml:space="preserve"> 17.3214</v>
      </c>
      <c r="J12" s="1" t="str">
        <f t="shared" ref="J12:J21" si="5">MID(B12,1,4)</f>
        <v>LT11</v>
      </c>
      <c r="L12" s="1">
        <v>22</v>
      </c>
      <c r="M12" s="1">
        <v>501</v>
      </c>
      <c r="N12" s="1" t="str">
        <f t="shared" ref="N12:N21" si="6">MID(B12,17,7)</f>
        <v>198+840</v>
      </c>
      <c r="O12" t="str">
        <f t="shared" ref="O12:O22" si="7">MID(B12,6,2)</f>
        <v>SG</v>
      </c>
    </row>
    <row r="13" spans="1:15" x14ac:dyDescent="0.2">
      <c r="A13" t="s">
        <v>25</v>
      </c>
      <c r="B13" t="s">
        <v>26</v>
      </c>
      <c r="G13" s="1" t="str">
        <f t="shared" si="0"/>
        <v>104.4203</v>
      </c>
      <c r="H13" s="1" t="str">
        <f t="shared" si="1"/>
        <v xml:space="preserve"> 17.3213</v>
      </c>
      <c r="J13" s="1" t="str">
        <f t="shared" si="5"/>
        <v>LT12</v>
      </c>
      <c r="L13" s="1">
        <v>22</v>
      </c>
      <c r="M13" s="1">
        <v>501</v>
      </c>
      <c r="N13" s="1" t="str">
        <f t="shared" si="6"/>
        <v>198+875</v>
      </c>
      <c r="O13" t="str">
        <f t="shared" si="7"/>
        <v>SG</v>
      </c>
    </row>
    <row r="14" spans="1:15" x14ac:dyDescent="0.2">
      <c r="A14" t="s">
        <v>27</v>
      </c>
      <c r="B14" t="s">
        <v>28</v>
      </c>
      <c r="G14" s="1" t="str">
        <f t="shared" si="0"/>
        <v>104.4206</v>
      </c>
      <c r="H14" s="1" t="str">
        <f t="shared" si="1"/>
        <v xml:space="preserve"> 17.3212</v>
      </c>
      <c r="J14" s="1" t="str">
        <f t="shared" si="5"/>
        <v>LT13</v>
      </c>
      <c r="L14" s="1">
        <v>22</v>
      </c>
      <c r="M14" s="1">
        <v>501</v>
      </c>
      <c r="N14" s="1" t="str">
        <f t="shared" si="6"/>
        <v>198+910</v>
      </c>
      <c r="O14" t="str">
        <f t="shared" si="7"/>
        <v>SG</v>
      </c>
    </row>
    <row r="15" spans="1:15" x14ac:dyDescent="0.2">
      <c r="A15" t="s">
        <v>29</v>
      </c>
      <c r="B15" t="s">
        <v>30</v>
      </c>
      <c r="G15" s="1" t="str">
        <f t="shared" si="0"/>
        <v>104.4209</v>
      </c>
      <c r="H15" s="1" t="str">
        <f t="shared" si="1"/>
        <v xml:space="preserve"> 17.3211</v>
      </c>
      <c r="J15" s="1" t="str">
        <f t="shared" si="5"/>
        <v>LT14</v>
      </c>
      <c r="L15" s="1">
        <v>22</v>
      </c>
      <c r="M15" s="1">
        <v>501</v>
      </c>
      <c r="N15" s="1" t="str">
        <f t="shared" si="6"/>
        <v>198+945</v>
      </c>
      <c r="O15" t="str">
        <f t="shared" si="7"/>
        <v>SG</v>
      </c>
    </row>
    <row r="16" spans="1:15" x14ac:dyDescent="0.2">
      <c r="A16" t="s">
        <v>31</v>
      </c>
      <c r="B16" t="s">
        <v>32</v>
      </c>
      <c r="G16" s="1" t="str">
        <f t="shared" si="0"/>
        <v>104.4212</v>
      </c>
      <c r="H16" s="1" t="str">
        <f t="shared" si="1"/>
        <v xml:space="preserve"> 17.3209</v>
      </c>
      <c r="J16" s="1" t="str">
        <f t="shared" si="5"/>
        <v>LT15</v>
      </c>
      <c r="L16" s="1">
        <v>22</v>
      </c>
      <c r="M16" s="1">
        <v>501</v>
      </c>
      <c r="N16" s="1" t="str">
        <f t="shared" si="6"/>
        <v>198+980</v>
      </c>
      <c r="O16" t="str">
        <f t="shared" si="7"/>
        <v>SG</v>
      </c>
    </row>
    <row r="17" spans="1:15" x14ac:dyDescent="0.2">
      <c r="A17" t="s">
        <v>33</v>
      </c>
      <c r="B17" t="s">
        <v>34</v>
      </c>
      <c r="G17" s="1" t="str">
        <f t="shared" si="0"/>
        <v>104.4215</v>
      </c>
      <c r="H17" s="1" t="str">
        <f>MID(A17,18,7)</f>
        <v>17.3208</v>
      </c>
      <c r="J17" s="1" t="str">
        <f t="shared" si="5"/>
        <v>LT16</v>
      </c>
      <c r="L17" s="1">
        <v>22</v>
      </c>
      <c r="M17" s="1">
        <v>501</v>
      </c>
      <c r="N17" s="1" t="str">
        <f t="shared" si="6"/>
        <v>199+015</v>
      </c>
      <c r="O17" t="str">
        <f t="shared" si="7"/>
        <v>SG</v>
      </c>
    </row>
    <row r="18" spans="1:15" x14ac:dyDescent="0.2">
      <c r="A18" t="s">
        <v>35</v>
      </c>
      <c r="B18" t="s">
        <v>36</v>
      </c>
      <c r="G18" s="1" t="str">
        <f t="shared" si="0"/>
        <v>104.4218</v>
      </c>
      <c r="H18" s="1" t="str">
        <f>MID(A18,18,7)</f>
        <v>17.3206</v>
      </c>
      <c r="J18" s="1" t="str">
        <f t="shared" si="5"/>
        <v>LT17</v>
      </c>
      <c r="L18" s="1">
        <v>22</v>
      </c>
      <c r="M18" s="1">
        <v>501</v>
      </c>
      <c r="N18" s="1" t="str">
        <f t="shared" si="6"/>
        <v>199+050</v>
      </c>
      <c r="O18" t="str">
        <f t="shared" si="7"/>
        <v>SG</v>
      </c>
    </row>
    <row r="19" spans="1:15" x14ac:dyDescent="0.2">
      <c r="A19" t="s">
        <v>37</v>
      </c>
      <c r="B19" t="s">
        <v>38</v>
      </c>
      <c r="G19" s="1" t="str">
        <f t="shared" si="0"/>
        <v>104.4221</v>
      </c>
      <c r="H19" s="1" t="str">
        <f t="shared" si="1"/>
        <v xml:space="preserve"> 17.3204</v>
      </c>
      <c r="J19" s="1" t="str">
        <f t="shared" si="5"/>
        <v>LT18</v>
      </c>
      <c r="L19" s="1">
        <v>22</v>
      </c>
      <c r="M19" s="1">
        <v>501</v>
      </c>
      <c r="N19" s="1" t="str">
        <f t="shared" si="6"/>
        <v>199+085</v>
      </c>
      <c r="O19" t="str">
        <f t="shared" si="7"/>
        <v>SG</v>
      </c>
    </row>
    <row r="20" spans="1:15" x14ac:dyDescent="0.2">
      <c r="A20" t="s">
        <v>39</v>
      </c>
      <c r="B20" t="s">
        <v>40</v>
      </c>
      <c r="G20" s="1" t="str">
        <f t="shared" si="0"/>
        <v>104.4223</v>
      </c>
      <c r="H20" s="1" t="str">
        <f t="shared" si="1"/>
        <v xml:space="preserve"> 17.3202</v>
      </c>
      <c r="J20" s="1" t="str">
        <f t="shared" si="5"/>
        <v>LT19</v>
      </c>
      <c r="L20" s="1">
        <v>22</v>
      </c>
      <c r="M20" s="1">
        <v>501</v>
      </c>
      <c r="N20" s="1" t="str">
        <f t="shared" si="6"/>
        <v>199+120</v>
      </c>
      <c r="O20" t="str">
        <f t="shared" si="7"/>
        <v>SG</v>
      </c>
    </row>
    <row r="21" spans="1:15" x14ac:dyDescent="0.2">
      <c r="A21" t="s">
        <v>41</v>
      </c>
      <c r="B21" t="s">
        <v>42</v>
      </c>
      <c r="G21" s="1" t="str">
        <f t="shared" si="0"/>
        <v>104.4227</v>
      </c>
      <c r="H21" s="1" t="str">
        <f t="shared" si="1"/>
        <v xml:space="preserve"> 17.3200</v>
      </c>
      <c r="J21" s="1" t="str">
        <f t="shared" si="5"/>
        <v>LT20</v>
      </c>
      <c r="L21" s="1">
        <v>22</v>
      </c>
      <c r="M21" s="1">
        <v>501</v>
      </c>
      <c r="N21" s="1" t="str">
        <f t="shared" si="6"/>
        <v>199+155</v>
      </c>
      <c r="O21" t="str">
        <f t="shared" si="7"/>
        <v>SG</v>
      </c>
    </row>
    <row r="22" spans="1:15" x14ac:dyDescent="0.2">
      <c r="A22" t="s">
        <v>43</v>
      </c>
      <c r="B22" t="s">
        <v>44</v>
      </c>
      <c r="G22" s="1" t="str">
        <f t="shared" si="0"/>
        <v>104.4273</v>
      </c>
      <c r="H22" s="1" t="str">
        <f t="shared" si="1"/>
        <v xml:space="preserve"> 17.3166</v>
      </c>
      <c r="J22" s="1" t="str">
        <f>MID(B22,1,7)</f>
        <v>LT/LT20</v>
      </c>
      <c r="L22" s="1">
        <v>22</v>
      </c>
      <c r="M22" s="1">
        <v>501</v>
      </c>
      <c r="N22" s="1" t="str">
        <f>MID(B22,20,7)</f>
        <v>200+095</v>
      </c>
      <c r="O22" t="str">
        <f>MID(B22,9,2)</f>
        <v>SG</v>
      </c>
    </row>
    <row r="23" spans="1:15" x14ac:dyDescent="0.2">
      <c r="A23" t="s">
        <v>45</v>
      </c>
      <c r="B23" t="s">
        <v>46</v>
      </c>
      <c r="G23" s="1" t="str">
        <f t="shared" si="0"/>
        <v>104.4276</v>
      </c>
      <c r="H23" s="1" t="str">
        <f t="shared" si="1"/>
        <v xml:space="preserve"> 17.3165</v>
      </c>
      <c r="J23" s="1" t="str">
        <f t="shared" ref="J23:J86" si="8">MID(B23,1,7)</f>
        <v>LT/LT21</v>
      </c>
      <c r="L23" s="1">
        <v>22</v>
      </c>
      <c r="M23" s="1">
        <v>501</v>
      </c>
      <c r="N23" s="1" t="str">
        <f t="shared" ref="N23:N49" si="9">MID(B23,20,7)</f>
        <v>200+130</v>
      </c>
      <c r="O23" t="str">
        <f>MID(B23,9,2)</f>
        <v>SG</v>
      </c>
    </row>
    <row r="24" spans="1:15" x14ac:dyDescent="0.2">
      <c r="A24" t="s">
        <v>47</v>
      </c>
      <c r="B24" t="s">
        <v>48</v>
      </c>
      <c r="G24" s="1" t="str">
        <f t="shared" si="0"/>
        <v>104.4284</v>
      </c>
      <c r="H24" s="1" t="str">
        <f t="shared" si="1"/>
        <v xml:space="preserve"> 17.3159</v>
      </c>
      <c r="J24" s="1" t="str">
        <f t="shared" si="8"/>
        <v>LT/LT22</v>
      </c>
      <c r="L24" s="1">
        <v>22</v>
      </c>
      <c r="M24" s="1">
        <v>501</v>
      </c>
      <c r="N24" s="1" t="str">
        <f t="shared" si="9"/>
        <v>200+235</v>
      </c>
      <c r="O24" t="str">
        <f t="shared" ref="O24:O43" si="10">MID(B24,9,2)</f>
        <v>SG</v>
      </c>
    </row>
    <row r="25" spans="1:15" x14ac:dyDescent="0.2">
      <c r="A25" t="s">
        <v>49</v>
      </c>
      <c r="B25" t="s">
        <v>50</v>
      </c>
      <c r="G25" s="1" t="str">
        <f t="shared" si="0"/>
        <v>104.4288</v>
      </c>
      <c r="H25" s="1" t="str">
        <f t="shared" si="1"/>
        <v xml:space="preserve"> 17.3157</v>
      </c>
      <c r="J25" s="1" t="str">
        <f t="shared" si="8"/>
        <v>LT/LT23</v>
      </c>
      <c r="L25" s="1">
        <v>22</v>
      </c>
      <c r="M25" s="1">
        <v>501</v>
      </c>
      <c r="N25" s="1" t="str">
        <f t="shared" si="9"/>
        <v>200+270</v>
      </c>
      <c r="O25" t="str">
        <f t="shared" si="10"/>
        <v>SG</v>
      </c>
    </row>
    <row r="26" spans="1:15" x14ac:dyDescent="0.2">
      <c r="A26" t="s">
        <v>51</v>
      </c>
      <c r="B26" t="s">
        <v>52</v>
      </c>
      <c r="G26" s="1" t="str">
        <f t="shared" si="0"/>
        <v>104.4290</v>
      </c>
      <c r="H26" s="1" t="str">
        <f t="shared" si="1"/>
        <v xml:space="preserve"> 17.3156</v>
      </c>
      <c r="J26" s="1" t="str">
        <f t="shared" si="8"/>
        <v>LT/LT24</v>
      </c>
      <c r="L26" s="1">
        <v>22</v>
      </c>
      <c r="M26" s="1">
        <v>501</v>
      </c>
      <c r="N26" s="1" t="str">
        <f t="shared" si="9"/>
        <v>200+305</v>
      </c>
      <c r="O26" t="str">
        <f t="shared" si="10"/>
        <v>SG</v>
      </c>
    </row>
    <row r="27" spans="1:15" x14ac:dyDescent="0.2">
      <c r="A27" t="s">
        <v>53</v>
      </c>
      <c r="B27" t="s">
        <v>54</v>
      </c>
      <c r="G27" s="1" t="str">
        <f t="shared" si="0"/>
        <v>104.4292</v>
      </c>
      <c r="H27" s="1" t="str">
        <f t="shared" si="1"/>
        <v xml:space="preserve"> 17.3153</v>
      </c>
      <c r="J27" s="1" t="str">
        <f t="shared" si="8"/>
        <v>LT/LT25</v>
      </c>
      <c r="L27" s="1">
        <v>22</v>
      </c>
      <c r="M27" s="1">
        <v>501</v>
      </c>
      <c r="N27" s="1" t="str">
        <f t="shared" si="9"/>
        <v>200+340</v>
      </c>
      <c r="O27" t="str">
        <f t="shared" si="10"/>
        <v>SG</v>
      </c>
    </row>
    <row r="28" spans="1:15" x14ac:dyDescent="0.2">
      <c r="A28" t="s">
        <v>55</v>
      </c>
      <c r="B28" t="s">
        <v>56</v>
      </c>
      <c r="G28" s="1" t="str">
        <f t="shared" si="0"/>
        <v>104.4296</v>
      </c>
      <c r="H28" s="1" t="str">
        <f t="shared" si="1"/>
        <v xml:space="preserve"> 17.3151</v>
      </c>
      <c r="J28" s="1" t="str">
        <f t="shared" si="8"/>
        <v>LT/LT26</v>
      </c>
      <c r="L28" s="1">
        <v>22</v>
      </c>
      <c r="M28" s="1">
        <v>501</v>
      </c>
      <c r="N28" s="1" t="str">
        <f t="shared" si="9"/>
        <v>200+387</v>
      </c>
      <c r="O28" t="str">
        <f t="shared" si="10"/>
        <v>SG</v>
      </c>
    </row>
    <row r="29" spans="1:15" x14ac:dyDescent="0.2">
      <c r="A29" t="s">
        <v>57</v>
      </c>
      <c r="B29" t="s">
        <v>58</v>
      </c>
      <c r="G29" s="1" t="str">
        <f t="shared" si="0"/>
        <v>104.4298</v>
      </c>
      <c r="H29" s="1" t="str">
        <f t="shared" si="1"/>
        <v xml:space="preserve"> 17.3150</v>
      </c>
      <c r="J29" s="1" t="str">
        <f t="shared" si="8"/>
        <v>LT/LT27</v>
      </c>
      <c r="L29" s="1">
        <v>22</v>
      </c>
      <c r="M29" s="1">
        <v>501</v>
      </c>
      <c r="N29" s="1" t="str">
        <f t="shared" si="9"/>
        <v>200+410</v>
      </c>
      <c r="O29" t="str">
        <f t="shared" si="10"/>
        <v>SG</v>
      </c>
    </row>
    <row r="30" spans="1:15" x14ac:dyDescent="0.2">
      <c r="A30" t="s">
        <v>59</v>
      </c>
      <c r="B30" t="s">
        <v>60</v>
      </c>
      <c r="G30" s="1" t="str">
        <f t="shared" si="0"/>
        <v>104.4300</v>
      </c>
      <c r="H30" s="1" t="str">
        <f t="shared" si="1"/>
        <v xml:space="preserve"> 17.3147</v>
      </c>
      <c r="J30" s="1" t="str">
        <f t="shared" si="8"/>
        <v>LT/LT28</v>
      </c>
      <c r="L30" s="1">
        <v>22</v>
      </c>
      <c r="M30" s="1">
        <v>501</v>
      </c>
      <c r="N30" s="1" t="str">
        <f t="shared" si="9"/>
        <v>200+445</v>
      </c>
      <c r="O30" t="str">
        <f t="shared" si="10"/>
        <v>SG</v>
      </c>
    </row>
    <row r="31" spans="1:15" x14ac:dyDescent="0.2">
      <c r="A31" t="s">
        <v>61</v>
      </c>
      <c r="B31" t="s">
        <v>62</v>
      </c>
      <c r="G31" s="1" t="str">
        <f t="shared" si="0"/>
        <v>104.4303</v>
      </c>
      <c r="H31" s="1" t="str">
        <f t="shared" si="1"/>
        <v xml:space="preserve"> 17.3146</v>
      </c>
      <c r="J31" s="1" t="str">
        <f t="shared" si="8"/>
        <v>LT/LT29</v>
      </c>
      <c r="L31" s="1">
        <v>22</v>
      </c>
      <c r="M31" s="1">
        <v>501</v>
      </c>
      <c r="N31" s="1" t="str">
        <f t="shared" si="9"/>
        <v>200+480</v>
      </c>
      <c r="O31" t="str">
        <f t="shared" si="10"/>
        <v>SG</v>
      </c>
    </row>
    <row r="32" spans="1:15" x14ac:dyDescent="0.2">
      <c r="A32" t="s">
        <v>63</v>
      </c>
      <c r="B32" t="s">
        <v>64</v>
      </c>
      <c r="G32" s="1" t="str">
        <f t="shared" si="0"/>
        <v>104.4306</v>
      </c>
      <c r="H32" s="1" t="str">
        <f t="shared" si="1"/>
        <v xml:space="preserve"> 17.3143</v>
      </c>
      <c r="J32" s="1" t="str">
        <f t="shared" si="8"/>
        <v>LT/LT30</v>
      </c>
      <c r="L32" s="1">
        <v>22</v>
      </c>
      <c r="M32" s="1">
        <v>501</v>
      </c>
      <c r="N32" s="1" t="str">
        <f t="shared" si="9"/>
        <v>200+515</v>
      </c>
      <c r="O32" t="str">
        <f t="shared" si="10"/>
        <v>SG</v>
      </c>
    </row>
    <row r="33" spans="1:15" x14ac:dyDescent="0.2">
      <c r="A33" t="s">
        <v>65</v>
      </c>
      <c r="B33" t="s">
        <v>66</v>
      </c>
      <c r="G33" s="1" t="str">
        <f t="shared" si="0"/>
        <v>104.4308</v>
      </c>
      <c r="H33" s="1" t="str">
        <f t="shared" si="1"/>
        <v xml:space="preserve"> 17.3142</v>
      </c>
      <c r="J33" s="1" t="str">
        <f t="shared" si="8"/>
        <v>LT/LT31</v>
      </c>
      <c r="L33" s="1">
        <v>22</v>
      </c>
      <c r="M33" s="1">
        <v>501</v>
      </c>
      <c r="N33" s="1" t="str">
        <f t="shared" si="9"/>
        <v>200+550</v>
      </c>
      <c r="O33" t="str">
        <f t="shared" si="10"/>
        <v>SG</v>
      </c>
    </row>
    <row r="34" spans="1:15" x14ac:dyDescent="0.2">
      <c r="A34" t="s">
        <v>67</v>
      </c>
      <c r="B34" t="s">
        <v>68</v>
      </c>
      <c r="G34" s="1" t="str">
        <f t="shared" si="0"/>
        <v>104.4311</v>
      </c>
      <c r="H34" s="1" t="str">
        <f t="shared" si="1"/>
        <v xml:space="preserve"> 17.3140</v>
      </c>
      <c r="J34" s="1" t="str">
        <f t="shared" si="8"/>
        <v>LT/LT32</v>
      </c>
      <c r="L34" s="1">
        <v>22</v>
      </c>
      <c r="M34" s="1">
        <v>501</v>
      </c>
      <c r="N34" s="1" t="str">
        <f t="shared" si="9"/>
        <v>200+585</v>
      </c>
      <c r="O34" t="str">
        <f t="shared" si="10"/>
        <v>SG</v>
      </c>
    </row>
    <row r="35" spans="1:15" x14ac:dyDescent="0.2">
      <c r="A35" t="s">
        <v>69</v>
      </c>
      <c r="B35" t="s">
        <v>70</v>
      </c>
      <c r="G35" s="1" t="str">
        <f t="shared" si="0"/>
        <v>104.4314</v>
      </c>
      <c r="H35" s="1" t="str">
        <f t="shared" si="1"/>
        <v xml:space="preserve"> 17.3138</v>
      </c>
      <c r="J35" s="1" t="str">
        <f t="shared" si="8"/>
        <v>LT/LT33</v>
      </c>
      <c r="L35" s="1">
        <v>22</v>
      </c>
      <c r="M35" s="1">
        <v>501</v>
      </c>
      <c r="N35" s="1" t="str">
        <f t="shared" si="9"/>
        <v>200+620</v>
      </c>
      <c r="O35" t="str">
        <f t="shared" si="10"/>
        <v>SG</v>
      </c>
    </row>
    <row r="36" spans="1:15" x14ac:dyDescent="0.2">
      <c r="A36" t="s">
        <v>71</v>
      </c>
      <c r="B36" t="s">
        <v>72</v>
      </c>
      <c r="G36" s="1" t="str">
        <f t="shared" si="0"/>
        <v>104.4317</v>
      </c>
      <c r="H36" s="1" t="str">
        <f t="shared" si="1"/>
        <v xml:space="preserve"> 17.3136</v>
      </c>
      <c r="J36" s="1" t="str">
        <f t="shared" si="8"/>
        <v>LT/LT34</v>
      </c>
      <c r="L36" s="1">
        <v>22</v>
      </c>
      <c r="M36" s="1">
        <v>501</v>
      </c>
      <c r="N36" s="1" t="str">
        <f t="shared" si="9"/>
        <v>200+655</v>
      </c>
      <c r="O36" t="str">
        <f t="shared" si="10"/>
        <v>SG</v>
      </c>
    </row>
    <row r="37" spans="1:15" x14ac:dyDescent="0.2">
      <c r="A37" t="s">
        <v>73</v>
      </c>
      <c r="B37" t="s">
        <v>74</v>
      </c>
      <c r="G37" s="1" t="str">
        <f t="shared" si="0"/>
        <v>104.4319</v>
      </c>
      <c r="H37" s="1" t="str">
        <f t="shared" si="1"/>
        <v xml:space="preserve"> 17.3135</v>
      </c>
      <c r="J37" s="1" t="str">
        <f t="shared" si="8"/>
        <v>LT/LT35</v>
      </c>
      <c r="L37" s="1">
        <v>22</v>
      </c>
      <c r="M37" s="1">
        <v>501</v>
      </c>
      <c r="N37" s="1" t="str">
        <f t="shared" si="9"/>
        <v>200+690</v>
      </c>
      <c r="O37" t="str">
        <f t="shared" si="10"/>
        <v>SG</v>
      </c>
    </row>
    <row r="38" spans="1:15" x14ac:dyDescent="0.2">
      <c r="A38" t="s">
        <v>75</v>
      </c>
      <c r="B38" t="s">
        <v>76</v>
      </c>
      <c r="G38" s="1" t="str">
        <f t="shared" si="0"/>
        <v>104.4321</v>
      </c>
      <c r="H38" s="1" t="str">
        <f t="shared" si="1"/>
        <v xml:space="preserve"> 17.3133</v>
      </c>
      <c r="J38" s="1" t="str">
        <f t="shared" si="8"/>
        <v>LT/LT36</v>
      </c>
      <c r="L38" s="1">
        <v>22</v>
      </c>
      <c r="M38" s="1">
        <v>501</v>
      </c>
      <c r="N38" s="1" t="str">
        <f t="shared" si="9"/>
        <v>200+725</v>
      </c>
      <c r="O38" t="str">
        <f t="shared" si="10"/>
        <v>SG</v>
      </c>
    </row>
    <row r="39" spans="1:15" x14ac:dyDescent="0.2">
      <c r="A39" t="s">
        <v>77</v>
      </c>
      <c r="B39" t="s">
        <v>78</v>
      </c>
      <c r="G39" s="1" t="str">
        <f t="shared" si="0"/>
        <v>104.4324</v>
      </c>
      <c r="H39" s="1" t="str">
        <f t="shared" si="1"/>
        <v xml:space="preserve"> 17.3131</v>
      </c>
      <c r="J39" s="1" t="str">
        <f t="shared" si="8"/>
        <v>LT/LT37</v>
      </c>
      <c r="L39" s="1">
        <v>22</v>
      </c>
      <c r="M39" s="1">
        <v>501</v>
      </c>
      <c r="N39" s="1" t="str">
        <f>MID(B39,20,7)</f>
        <v>200+760</v>
      </c>
      <c r="O39" t="str">
        <f t="shared" si="10"/>
        <v>SG</v>
      </c>
    </row>
    <row r="40" spans="1:15" x14ac:dyDescent="0.2">
      <c r="A40" t="s">
        <v>79</v>
      </c>
      <c r="B40" t="s">
        <v>80</v>
      </c>
      <c r="G40" s="1" t="str">
        <f t="shared" si="0"/>
        <v>104.4327</v>
      </c>
      <c r="H40" s="1" t="str">
        <f t="shared" si="1"/>
        <v xml:space="preserve"> 17.3129</v>
      </c>
      <c r="J40" s="1" t="str">
        <f t="shared" si="8"/>
        <v>LT/LT38</v>
      </c>
      <c r="L40" s="1">
        <v>22</v>
      </c>
      <c r="M40" s="1">
        <v>501</v>
      </c>
      <c r="N40" s="1" t="str">
        <f t="shared" si="9"/>
        <v>200+795</v>
      </c>
      <c r="O40" t="str">
        <f t="shared" si="10"/>
        <v>SG</v>
      </c>
    </row>
    <row r="41" spans="1:15" x14ac:dyDescent="0.2">
      <c r="A41" t="s">
        <v>81</v>
      </c>
      <c r="B41" t="s">
        <v>82</v>
      </c>
      <c r="G41" s="1" t="str">
        <f t="shared" si="0"/>
        <v>104.4329</v>
      </c>
      <c r="H41" s="1" t="str">
        <f t="shared" si="1"/>
        <v xml:space="preserve"> 17.3127</v>
      </c>
      <c r="J41" s="1" t="str">
        <f t="shared" si="8"/>
        <v>LT/LT39</v>
      </c>
      <c r="L41" s="1">
        <v>22</v>
      </c>
      <c r="M41" s="1">
        <v>501</v>
      </c>
      <c r="N41" s="1" t="str">
        <f t="shared" si="9"/>
        <v>200+830</v>
      </c>
      <c r="O41" t="str">
        <f t="shared" si="10"/>
        <v>SG</v>
      </c>
    </row>
    <row r="42" spans="1:15" x14ac:dyDescent="0.2">
      <c r="A42" t="s">
        <v>83</v>
      </c>
      <c r="B42" t="s">
        <v>84</v>
      </c>
      <c r="G42" s="1" t="str">
        <f t="shared" si="0"/>
        <v>104.4332</v>
      </c>
      <c r="H42" s="1" t="str">
        <f t="shared" si="1"/>
        <v xml:space="preserve"> 17.3125</v>
      </c>
      <c r="J42" s="1" t="str">
        <f t="shared" si="8"/>
        <v>LT/LT40</v>
      </c>
      <c r="L42" s="1">
        <v>22</v>
      </c>
      <c r="M42" s="1">
        <v>501</v>
      </c>
      <c r="N42" s="1" t="str">
        <f t="shared" si="9"/>
        <v>200+868</v>
      </c>
      <c r="O42" t="str">
        <f t="shared" si="10"/>
        <v>SG</v>
      </c>
    </row>
    <row r="43" spans="1:15" x14ac:dyDescent="0.2">
      <c r="A43" t="s">
        <v>85</v>
      </c>
      <c r="B43" t="s">
        <v>86</v>
      </c>
      <c r="G43" s="1" t="str">
        <f t="shared" si="0"/>
        <v>104.5039</v>
      </c>
      <c r="H43" s="1" t="str">
        <f t="shared" si="1"/>
        <v xml:space="preserve"> 17.2861</v>
      </c>
      <c r="J43" s="1" t="str">
        <f t="shared" si="8"/>
        <v>LT/LT65</v>
      </c>
      <c r="L43" s="1">
        <v>22</v>
      </c>
      <c r="M43" s="1">
        <v>501</v>
      </c>
      <c r="N43" s="1" t="str">
        <f t="shared" si="9"/>
        <v>209+235</v>
      </c>
      <c r="O43" t="str">
        <f t="shared" si="10"/>
        <v>SG</v>
      </c>
    </row>
    <row r="44" spans="1:15" x14ac:dyDescent="0.2">
      <c r="A44" t="s">
        <v>87</v>
      </c>
      <c r="B44" t="s">
        <v>2419</v>
      </c>
      <c r="G44" s="1" t="str">
        <f t="shared" si="0"/>
        <v>104.5043</v>
      </c>
      <c r="H44" s="1" t="str">
        <f t="shared" si="1"/>
        <v xml:space="preserve"> 17.2861</v>
      </c>
      <c r="J44" s="1" t="str">
        <f t="shared" si="8"/>
        <v>LT/LT66</v>
      </c>
      <c r="L44" s="1">
        <v>22</v>
      </c>
      <c r="M44" s="1">
        <v>501</v>
      </c>
      <c r="N44" s="1" t="str">
        <f>MID(B44,20,7)</f>
        <v>209+270</v>
      </c>
      <c r="O44" t="str">
        <f>MID(B44,9,2)</f>
        <v>SG</v>
      </c>
    </row>
    <row r="45" spans="1:15" x14ac:dyDescent="0.2">
      <c r="A45" t="s">
        <v>88</v>
      </c>
      <c r="B45" t="s">
        <v>89</v>
      </c>
      <c r="G45" s="1" t="str">
        <f t="shared" si="0"/>
        <v>104.5046</v>
      </c>
      <c r="H45" s="1" t="str">
        <f t="shared" si="1"/>
        <v xml:space="preserve"> 17.2861</v>
      </c>
      <c r="J45" s="1" t="str">
        <f t="shared" si="8"/>
        <v>LT/LT67</v>
      </c>
      <c r="L45" s="1">
        <v>22</v>
      </c>
      <c r="M45" s="1">
        <v>501</v>
      </c>
      <c r="N45" s="1" t="str">
        <f t="shared" si="9"/>
        <v>209+305</v>
      </c>
      <c r="O45" t="str">
        <f>MID(B45,9,2)</f>
        <v>SG</v>
      </c>
    </row>
    <row r="46" spans="1:15" x14ac:dyDescent="0.2">
      <c r="A46" t="s">
        <v>90</v>
      </c>
      <c r="B46" t="s">
        <v>91</v>
      </c>
      <c r="G46" s="1" t="str">
        <f t="shared" si="0"/>
        <v>104.5055</v>
      </c>
      <c r="H46" s="1" t="str">
        <f t="shared" si="1"/>
        <v xml:space="preserve"> 17.2861</v>
      </c>
      <c r="J46" s="1" t="str">
        <f t="shared" si="8"/>
        <v>LT/LT70</v>
      </c>
      <c r="L46" s="1">
        <v>22</v>
      </c>
      <c r="M46" s="1">
        <v>501</v>
      </c>
      <c r="N46" s="1" t="str">
        <f t="shared" si="9"/>
        <v>209+410</v>
      </c>
      <c r="O46" t="str">
        <f t="shared" ref="O46:O47" si="11">MID(B46,9,2)</f>
        <v>SG</v>
      </c>
    </row>
    <row r="47" spans="1:15" x14ac:dyDescent="0.2">
      <c r="A47" t="s">
        <v>92</v>
      </c>
      <c r="B47" t="s">
        <v>93</v>
      </c>
      <c r="G47" s="1" t="str">
        <f t="shared" si="0"/>
        <v>104.5059</v>
      </c>
      <c r="H47" s="1" t="str">
        <f t="shared" si="1"/>
        <v xml:space="preserve"> 17.2862</v>
      </c>
      <c r="J47" s="1" t="str">
        <f t="shared" si="8"/>
        <v>LT/LT71</v>
      </c>
      <c r="L47" s="1">
        <v>22</v>
      </c>
      <c r="M47" s="1">
        <v>501</v>
      </c>
      <c r="N47" s="1" t="str">
        <f t="shared" si="9"/>
        <v>209+445</v>
      </c>
      <c r="O47" t="str">
        <f t="shared" si="11"/>
        <v>SG</v>
      </c>
    </row>
    <row r="48" spans="1:15" x14ac:dyDescent="0.2">
      <c r="A48" t="s">
        <v>94</v>
      </c>
      <c r="B48" t="s">
        <v>95</v>
      </c>
      <c r="G48" s="1" t="str">
        <f t="shared" si="0"/>
        <v>104.5049</v>
      </c>
      <c r="H48" s="1" t="str">
        <f t="shared" si="1"/>
        <v xml:space="preserve"> 17.2860</v>
      </c>
      <c r="J48" s="1" t="str">
        <f>MID(B48,1,4)</f>
        <v>LT68</v>
      </c>
      <c r="L48" s="1">
        <v>22</v>
      </c>
      <c r="M48" s="1">
        <v>501</v>
      </c>
      <c r="N48" s="1" t="str">
        <f>MID(B48,17,7)</f>
        <v>209+340</v>
      </c>
      <c r="O48" t="str">
        <f>MID(B48,6,2)</f>
        <v>SG</v>
      </c>
    </row>
    <row r="49" spans="1:15" x14ac:dyDescent="0.2">
      <c r="A49" t="s">
        <v>96</v>
      </c>
      <c r="B49" t="s">
        <v>97</v>
      </c>
      <c r="G49" s="1" t="str">
        <f t="shared" si="0"/>
        <v>104.5052</v>
      </c>
      <c r="H49" s="1" t="str">
        <f t="shared" si="1"/>
        <v xml:space="preserve"> 17.2860</v>
      </c>
      <c r="J49" s="1" t="str">
        <f>MID(B49,1,7)</f>
        <v>LT/LT69</v>
      </c>
      <c r="L49" s="1">
        <v>22</v>
      </c>
      <c r="M49" s="1">
        <v>501</v>
      </c>
      <c r="N49" s="1" t="str">
        <f t="shared" si="9"/>
        <v>209+375</v>
      </c>
      <c r="O49" t="str">
        <f>MID(B49,9,2)</f>
        <v>SG</v>
      </c>
    </row>
    <row r="50" spans="1:15" x14ac:dyDescent="0.2">
      <c r="A50" t="s">
        <v>98</v>
      </c>
      <c r="B50" t="s">
        <v>99</v>
      </c>
      <c r="G50" s="1" t="str">
        <f t="shared" si="0"/>
        <v>104.5062</v>
      </c>
      <c r="H50" s="1" t="str">
        <f t="shared" si="1"/>
        <v xml:space="preserve"> 17.2862</v>
      </c>
      <c r="J50" s="1" t="str">
        <f>MID(B50,1,4)</f>
        <v>LT72</v>
      </c>
      <c r="L50" s="1">
        <v>22</v>
      </c>
      <c r="M50" s="1">
        <v>501</v>
      </c>
      <c r="N50" s="1" t="str">
        <f>MID(B50,17,7)</f>
        <v>209+480</v>
      </c>
      <c r="O50" t="str">
        <f>MID(B50,6,2)</f>
        <v>SG</v>
      </c>
    </row>
    <row r="51" spans="1:15" x14ac:dyDescent="0.2">
      <c r="A51" t="s">
        <v>100</v>
      </c>
      <c r="B51" t="s">
        <v>101</v>
      </c>
      <c r="G51" s="1" t="str">
        <f t="shared" si="0"/>
        <v>104.5065</v>
      </c>
      <c r="H51" s="1" t="str">
        <f t="shared" si="1"/>
        <v xml:space="preserve"> 17.2862</v>
      </c>
      <c r="J51" s="1" t="str">
        <f t="shared" ref="J51:J53" si="12">MID(B51,1,4)</f>
        <v>LT73</v>
      </c>
      <c r="L51" s="1">
        <v>22</v>
      </c>
      <c r="M51" s="1">
        <v>501</v>
      </c>
      <c r="N51" s="1" t="str">
        <f t="shared" ref="N51:N69" si="13">MID(B51,17,7)</f>
        <v>209+515</v>
      </c>
      <c r="O51" t="str">
        <f t="shared" ref="O51:O69" si="14">MID(B51,6,2)</f>
        <v>SG</v>
      </c>
    </row>
    <row r="52" spans="1:15" x14ac:dyDescent="0.2">
      <c r="A52" t="s">
        <v>102</v>
      </c>
      <c r="B52" t="s">
        <v>103</v>
      </c>
      <c r="G52" s="1" t="str">
        <f t="shared" si="0"/>
        <v>104.5068</v>
      </c>
      <c r="H52" s="1" t="str">
        <f t="shared" si="1"/>
        <v xml:space="preserve"> 17.2862</v>
      </c>
      <c r="J52" s="1" t="str">
        <f t="shared" si="12"/>
        <v>LT74</v>
      </c>
      <c r="L52" s="1">
        <v>22</v>
      </c>
      <c r="M52" s="1">
        <v>501</v>
      </c>
      <c r="N52" s="1" t="str">
        <f t="shared" si="13"/>
        <v>209+550</v>
      </c>
      <c r="O52" t="str">
        <f t="shared" si="14"/>
        <v>SG</v>
      </c>
    </row>
    <row r="53" spans="1:15" x14ac:dyDescent="0.2">
      <c r="A53" t="s">
        <v>104</v>
      </c>
      <c r="B53" t="s">
        <v>105</v>
      </c>
      <c r="G53" s="1" t="str">
        <f t="shared" si="0"/>
        <v>104.5072</v>
      </c>
      <c r="H53" s="1" t="str">
        <f t="shared" si="1"/>
        <v xml:space="preserve"> 17.2863</v>
      </c>
      <c r="J53" s="1" t="str">
        <f t="shared" si="12"/>
        <v>LT75</v>
      </c>
      <c r="L53" s="1">
        <v>22</v>
      </c>
      <c r="M53" s="1">
        <v>501</v>
      </c>
      <c r="N53" s="1" t="str">
        <f t="shared" si="13"/>
        <v>209+585</v>
      </c>
      <c r="O53" t="str">
        <f t="shared" si="14"/>
        <v>SG</v>
      </c>
    </row>
    <row r="54" spans="1:15" x14ac:dyDescent="0.2">
      <c r="A54" t="s">
        <v>106</v>
      </c>
      <c r="B54" t="s">
        <v>1157</v>
      </c>
      <c r="G54" s="1" t="str">
        <f t="shared" si="0"/>
        <v>104.5075</v>
      </c>
      <c r="H54" s="1" t="str">
        <f t="shared" si="1"/>
        <v xml:space="preserve"> 17.2863</v>
      </c>
      <c r="J54" s="1" t="str">
        <f>MID(B54,1,4)</f>
        <v>LT76</v>
      </c>
      <c r="L54" s="1">
        <v>22</v>
      </c>
      <c r="M54" s="1">
        <v>501</v>
      </c>
      <c r="N54" s="1" t="str">
        <f t="shared" si="13"/>
        <v>209+520</v>
      </c>
      <c r="O54" t="str">
        <f t="shared" si="14"/>
        <v>SG</v>
      </c>
    </row>
    <row r="55" spans="1:15" x14ac:dyDescent="0.2">
      <c r="A55" t="s">
        <v>107</v>
      </c>
      <c r="B55" t="s">
        <v>108</v>
      </c>
      <c r="G55" s="1" t="str">
        <f t="shared" si="0"/>
        <v>104.5078</v>
      </c>
      <c r="H55" s="1" t="str">
        <f t="shared" si="1"/>
        <v xml:space="preserve"> 17.2864</v>
      </c>
      <c r="J55" s="1" t="str">
        <f t="shared" ref="J55:J69" si="15">MID(B55,1,4)</f>
        <v>LT77</v>
      </c>
      <c r="L55" s="1">
        <v>22</v>
      </c>
      <c r="M55" s="1">
        <v>501</v>
      </c>
      <c r="N55" s="1" t="str">
        <f t="shared" si="13"/>
        <v>209+658</v>
      </c>
      <c r="O55" t="str">
        <f t="shared" si="14"/>
        <v>SG</v>
      </c>
    </row>
    <row r="56" spans="1:15" x14ac:dyDescent="0.2">
      <c r="A56" t="s">
        <v>109</v>
      </c>
      <c r="B56" t="s">
        <v>110</v>
      </c>
      <c r="G56" s="1" t="str">
        <f t="shared" si="0"/>
        <v>104.5081</v>
      </c>
      <c r="H56" s="1" t="str">
        <f t="shared" si="1"/>
        <v xml:space="preserve"> 17.2865</v>
      </c>
      <c r="J56" s="1" t="str">
        <f t="shared" si="15"/>
        <v>LT78</v>
      </c>
      <c r="L56" s="1">
        <v>22</v>
      </c>
      <c r="M56" s="1">
        <v>501</v>
      </c>
      <c r="N56" s="1" t="str">
        <f t="shared" si="13"/>
        <v>209+690</v>
      </c>
      <c r="O56" t="str">
        <f t="shared" si="14"/>
        <v>SG</v>
      </c>
    </row>
    <row r="57" spans="1:15" x14ac:dyDescent="0.2">
      <c r="A57" t="s">
        <v>111</v>
      </c>
      <c r="B57" t="s">
        <v>112</v>
      </c>
      <c r="G57" s="1" t="str">
        <f t="shared" si="0"/>
        <v>104.5084</v>
      </c>
      <c r="H57" s="1" t="str">
        <f t="shared" si="1"/>
        <v xml:space="preserve"> 17.2866</v>
      </c>
      <c r="J57" s="1" t="str">
        <f t="shared" si="15"/>
        <v>LT79</v>
      </c>
      <c r="L57" s="1">
        <v>22</v>
      </c>
      <c r="M57" s="1">
        <v>501</v>
      </c>
      <c r="N57" s="1" t="str">
        <f t="shared" si="13"/>
        <v>209+725</v>
      </c>
      <c r="O57" t="str">
        <f t="shared" si="14"/>
        <v>SG</v>
      </c>
    </row>
    <row r="58" spans="1:15" x14ac:dyDescent="0.2">
      <c r="A58" t="s">
        <v>113</v>
      </c>
      <c r="B58" t="s">
        <v>114</v>
      </c>
      <c r="G58" s="1" t="str">
        <f t="shared" si="0"/>
        <v>104.5088</v>
      </c>
      <c r="H58" s="1" t="str">
        <f t="shared" si="1"/>
        <v xml:space="preserve"> 17.2867</v>
      </c>
      <c r="J58" s="1" t="str">
        <f t="shared" si="15"/>
        <v>LT80</v>
      </c>
      <c r="L58" s="1">
        <v>22</v>
      </c>
      <c r="M58" s="1">
        <v>501</v>
      </c>
      <c r="N58" s="1" t="str">
        <f t="shared" si="13"/>
        <v>209+760</v>
      </c>
      <c r="O58" t="str">
        <f t="shared" si="14"/>
        <v>SG</v>
      </c>
    </row>
    <row r="59" spans="1:15" x14ac:dyDescent="0.2">
      <c r="A59" t="s">
        <v>115</v>
      </c>
      <c r="B59" t="s">
        <v>116</v>
      </c>
      <c r="G59" s="1" t="str">
        <f t="shared" si="0"/>
        <v>104.5091</v>
      </c>
      <c r="H59" s="1" t="str">
        <f t="shared" si="1"/>
        <v xml:space="preserve"> 17.2868</v>
      </c>
      <c r="J59" s="1" t="str">
        <f t="shared" si="15"/>
        <v>LT81</v>
      </c>
      <c r="L59" s="1">
        <v>22</v>
      </c>
      <c r="M59" s="1">
        <v>501</v>
      </c>
      <c r="N59" s="1" t="str">
        <f t="shared" si="13"/>
        <v>209+795</v>
      </c>
      <c r="O59" t="str">
        <f t="shared" si="14"/>
        <v>SG</v>
      </c>
    </row>
    <row r="60" spans="1:15" x14ac:dyDescent="0.2">
      <c r="A60" t="s">
        <v>117</v>
      </c>
      <c r="B60" t="s">
        <v>118</v>
      </c>
      <c r="G60" s="1" t="str">
        <f t="shared" si="0"/>
        <v>104.5094</v>
      </c>
      <c r="H60" s="1" t="str">
        <f t="shared" si="1"/>
        <v xml:space="preserve"> 17.2869</v>
      </c>
      <c r="J60" s="1" t="str">
        <f t="shared" si="15"/>
        <v>LT82</v>
      </c>
      <c r="L60" s="1">
        <v>22</v>
      </c>
      <c r="M60" s="1">
        <v>501</v>
      </c>
      <c r="N60" s="1" t="str">
        <f t="shared" si="13"/>
        <v>209+833</v>
      </c>
      <c r="O60" t="str">
        <f t="shared" si="14"/>
        <v>SG</v>
      </c>
    </row>
    <row r="61" spans="1:15" x14ac:dyDescent="0.2">
      <c r="A61" t="s">
        <v>119</v>
      </c>
      <c r="B61" t="s">
        <v>120</v>
      </c>
      <c r="G61" s="1" t="str">
        <f t="shared" si="0"/>
        <v>104.5097</v>
      </c>
      <c r="H61" s="1" t="str">
        <f t="shared" si="1"/>
        <v xml:space="preserve"> 17.2870</v>
      </c>
      <c r="J61" s="1" t="str">
        <f t="shared" si="15"/>
        <v>LT83</v>
      </c>
      <c r="L61" s="1">
        <v>22</v>
      </c>
      <c r="M61" s="1">
        <v>501</v>
      </c>
      <c r="N61" s="1" t="str">
        <f t="shared" si="13"/>
        <v>209+866</v>
      </c>
      <c r="O61" t="str">
        <f t="shared" si="14"/>
        <v>SG</v>
      </c>
    </row>
    <row r="62" spans="1:15" x14ac:dyDescent="0.2">
      <c r="A62" t="s">
        <v>121</v>
      </c>
      <c r="B62" t="s">
        <v>1175</v>
      </c>
      <c r="G62" s="1" t="str">
        <f t="shared" si="0"/>
        <v>104.5100</v>
      </c>
      <c r="H62" s="1" t="str">
        <f t="shared" si="1"/>
        <v xml:space="preserve"> 17.2871</v>
      </c>
      <c r="J62" s="1" t="str">
        <f t="shared" si="15"/>
        <v>LT84</v>
      </c>
      <c r="L62" s="1">
        <v>22</v>
      </c>
      <c r="M62" s="1">
        <v>501</v>
      </c>
      <c r="N62" s="1" t="str">
        <f t="shared" si="13"/>
        <v>209+900</v>
      </c>
      <c r="O62" t="str">
        <f t="shared" si="14"/>
        <v>SG</v>
      </c>
    </row>
    <row r="63" spans="1:15" x14ac:dyDescent="0.2">
      <c r="A63" t="s">
        <v>122</v>
      </c>
      <c r="B63" t="s">
        <v>1156</v>
      </c>
      <c r="G63" s="1" t="str">
        <f t="shared" si="0"/>
        <v>104.5103</v>
      </c>
      <c r="H63" s="1" t="str">
        <f t="shared" si="1"/>
        <v xml:space="preserve"> 17.2871</v>
      </c>
      <c r="J63" s="1" t="str">
        <f t="shared" si="15"/>
        <v>LT85</v>
      </c>
      <c r="L63" s="1">
        <v>22</v>
      </c>
      <c r="M63" s="1">
        <v>501</v>
      </c>
      <c r="N63" s="1" t="str">
        <f t="shared" si="13"/>
        <v>209+935</v>
      </c>
      <c r="O63" t="str">
        <f t="shared" si="14"/>
        <v>SG</v>
      </c>
    </row>
    <row r="64" spans="1:15" x14ac:dyDescent="0.2">
      <c r="A64" t="s">
        <v>123</v>
      </c>
      <c r="B64" t="s">
        <v>124</v>
      </c>
      <c r="G64" s="1" t="str">
        <f t="shared" si="0"/>
        <v>104.5106</v>
      </c>
      <c r="H64" s="1" t="str">
        <f t="shared" si="1"/>
        <v xml:space="preserve"> 17.2872</v>
      </c>
      <c r="J64" s="1" t="str">
        <f t="shared" si="15"/>
        <v>LT86</v>
      </c>
      <c r="L64" s="1">
        <v>22</v>
      </c>
      <c r="M64" s="1">
        <v>501</v>
      </c>
      <c r="N64" s="1" t="str">
        <f t="shared" si="13"/>
        <v>209+970</v>
      </c>
      <c r="O64" t="str">
        <f t="shared" si="14"/>
        <v>SG</v>
      </c>
    </row>
    <row r="65" spans="1:15" x14ac:dyDescent="0.2">
      <c r="A65" t="s">
        <v>125</v>
      </c>
      <c r="B65" t="s">
        <v>126</v>
      </c>
      <c r="G65" s="1" t="str">
        <f t="shared" si="0"/>
        <v>104.5110</v>
      </c>
      <c r="H65" s="1" t="str">
        <f t="shared" si="1"/>
        <v xml:space="preserve"> 17.2873</v>
      </c>
      <c r="J65" s="1" t="str">
        <f t="shared" si="15"/>
        <v>LT87</v>
      </c>
      <c r="L65" s="1">
        <v>22</v>
      </c>
      <c r="M65" s="1">
        <v>501</v>
      </c>
      <c r="N65" s="1" t="str">
        <f t="shared" si="13"/>
        <v>210-005</v>
      </c>
      <c r="O65" t="str">
        <f t="shared" si="14"/>
        <v>SG</v>
      </c>
    </row>
    <row r="66" spans="1:15" x14ac:dyDescent="0.2">
      <c r="A66" t="s">
        <v>127</v>
      </c>
      <c r="B66" t="s">
        <v>128</v>
      </c>
      <c r="G66" s="1" t="str">
        <f t="shared" si="0"/>
        <v>104.4869</v>
      </c>
      <c r="H66" s="1" t="str">
        <f t="shared" si="1"/>
        <v xml:space="preserve"> 17.2870</v>
      </c>
      <c r="J66" s="1" t="str">
        <f t="shared" si="15"/>
        <v>LT41</v>
      </c>
      <c r="L66" s="1">
        <v>22</v>
      </c>
      <c r="M66" s="1">
        <v>501</v>
      </c>
      <c r="N66" s="1" t="str">
        <f t="shared" si="13"/>
        <v>207+417</v>
      </c>
      <c r="O66" t="str">
        <f t="shared" si="14"/>
        <v>SG</v>
      </c>
    </row>
    <row r="67" spans="1:15" x14ac:dyDescent="0.2">
      <c r="A67" t="s">
        <v>129</v>
      </c>
      <c r="B67" t="s">
        <v>130</v>
      </c>
      <c r="G67" s="1" t="str">
        <f t="shared" ref="G67:G130" si="16">MID(A67,8,8)</f>
        <v>104.4872</v>
      </c>
      <c r="H67" s="1" t="str">
        <f t="shared" ref="H67:H129" si="17">MID(A67,18,8)</f>
        <v xml:space="preserve"> 17.2870</v>
      </c>
      <c r="J67" s="1" t="str">
        <f t="shared" si="15"/>
        <v>LT42</v>
      </c>
      <c r="L67" s="1">
        <v>22</v>
      </c>
      <c r="M67" s="1">
        <v>501</v>
      </c>
      <c r="N67" s="1" t="str">
        <f t="shared" si="13"/>
        <v>207+452</v>
      </c>
      <c r="O67" t="str">
        <f t="shared" si="14"/>
        <v>SG</v>
      </c>
    </row>
    <row r="68" spans="1:15" x14ac:dyDescent="0.2">
      <c r="A68" t="s">
        <v>131</v>
      </c>
      <c r="B68" t="s">
        <v>132</v>
      </c>
      <c r="G68" s="1" t="str">
        <f t="shared" si="16"/>
        <v>104.4878</v>
      </c>
      <c r="H68" s="1" t="str">
        <f t="shared" si="17"/>
        <v xml:space="preserve"> 17.2869</v>
      </c>
      <c r="J68" s="1" t="str">
        <f t="shared" si="15"/>
        <v>LT43</v>
      </c>
      <c r="L68" s="1">
        <v>22</v>
      </c>
      <c r="M68" s="1">
        <v>501</v>
      </c>
      <c r="N68" s="1" t="str">
        <f t="shared" si="13"/>
        <v>207+522</v>
      </c>
      <c r="O68" t="str">
        <f t="shared" si="14"/>
        <v>SG</v>
      </c>
    </row>
    <row r="69" spans="1:15" x14ac:dyDescent="0.2">
      <c r="A69" t="s">
        <v>133</v>
      </c>
      <c r="B69" t="s">
        <v>134</v>
      </c>
      <c r="G69" s="1" t="str">
        <f t="shared" si="16"/>
        <v>104.4882</v>
      </c>
      <c r="H69" s="1" t="str">
        <f t="shared" si="17"/>
        <v xml:space="preserve"> 17.2869</v>
      </c>
      <c r="J69" s="1" t="str">
        <f t="shared" si="15"/>
        <v>LT44</v>
      </c>
      <c r="L69" s="1">
        <v>22</v>
      </c>
      <c r="M69" s="1">
        <v>501</v>
      </c>
      <c r="N69" s="1" t="str">
        <f t="shared" si="13"/>
        <v>207+557</v>
      </c>
      <c r="O69" t="str">
        <f t="shared" si="14"/>
        <v>SG</v>
      </c>
    </row>
    <row r="70" spans="1:15" x14ac:dyDescent="0.2">
      <c r="A70" t="s">
        <v>135</v>
      </c>
      <c r="B70" t="s">
        <v>136</v>
      </c>
      <c r="G70" s="1" t="str">
        <f t="shared" si="16"/>
        <v>104.4887</v>
      </c>
      <c r="H70" s="1" t="str">
        <f t="shared" si="17"/>
        <v xml:space="preserve"> 17.2869</v>
      </c>
      <c r="J70" s="1" t="str">
        <f t="shared" si="8"/>
        <v>LT/LT45</v>
      </c>
      <c r="L70" s="1">
        <v>22</v>
      </c>
      <c r="M70" s="1">
        <v>501</v>
      </c>
      <c r="N70" s="1" t="str">
        <f>MID(B70,20,7)</f>
        <v>207+584</v>
      </c>
      <c r="O70" t="str">
        <f>MID(B70,9,2)</f>
        <v>SG</v>
      </c>
    </row>
    <row r="71" spans="1:15" x14ac:dyDescent="0.2">
      <c r="A71" t="s">
        <v>137</v>
      </c>
      <c r="B71" t="s">
        <v>138</v>
      </c>
      <c r="G71" s="1" t="str">
        <f t="shared" si="16"/>
        <v>104.4885</v>
      </c>
      <c r="H71" s="1" t="str">
        <f t="shared" si="17"/>
        <v xml:space="preserve"> 17.2869</v>
      </c>
      <c r="J71" s="1" t="str">
        <f t="shared" si="8"/>
        <v>LT/LT46</v>
      </c>
      <c r="L71" s="1">
        <v>22</v>
      </c>
      <c r="M71" s="1">
        <v>501</v>
      </c>
      <c r="N71" s="1" t="str">
        <f t="shared" ref="N71:N95" si="18">MID(B71,20,7)</f>
        <v>207+592</v>
      </c>
      <c r="O71" t="str">
        <f t="shared" ref="O71:O106" si="19">MID(B71,9,2)</f>
        <v>SG</v>
      </c>
    </row>
    <row r="72" spans="1:15" x14ac:dyDescent="0.2">
      <c r="A72" t="s">
        <v>139</v>
      </c>
      <c r="B72" t="s">
        <v>140</v>
      </c>
      <c r="G72" s="1" t="str">
        <f t="shared" si="16"/>
        <v>104.4891</v>
      </c>
      <c r="H72" s="1" t="str">
        <f>MID(A72,18,7)</f>
        <v>17.2869</v>
      </c>
      <c r="J72" s="1" t="str">
        <f t="shared" si="8"/>
        <v>LT/LT47</v>
      </c>
      <c r="L72" s="1">
        <v>22</v>
      </c>
      <c r="M72" s="1">
        <v>501</v>
      </c>
      <c r="N72" s="1" t="str">
        <f t="shared" si="18"/>
        <v>207+662</v>
      </c>
      <c r="O72" t="str">
        <f t="shared" si="19"/>
        <v>SG</v>
      </c>
    </row>
    <row r="73" spans="1:15" x14ac:dyDescent="0.2">
      <c r="A73" t="s">
        <v>141</v>
      </c>
      <c r="B73" t="s">
        <v>142</v>
      </c>
      <c r="G73" s="1" t="str">
        <f t="shared" si="16"/>
        <v>104.4894</v>
      </c>
      <c r="H73" s="1" t="str">
        <f t="shared" si="17"/>
        <v xml:space="preserve"> 17.2869</v>
      </c>
      <c r="J73" s="1" t="str">
        <f t="shared" si="8"/>
        <v>LT/LT48</v>
      </c>
      <c r="L73" s="1">
        <v>22</v>
      </c>
      <c r="M73" s="1">
        <v>501</v>
      </c>
      <c r="N73" s="1" t="str">
        <f t="shared" si="18"/>
        <v>207+697</v>
      </c>
      <c r="O73" t="str">
        <f t="shared" si="19"/>
        <v>SG</v>
      </c>
    </row>
    <row r="74" spans="1:15" x14ac:dyDescent="0.2">
      <c r="A74" t="s">
        <v>143</v>
      </c>
      <c r="B74" t="s">
        <v>144</v>
      </c>
      <c r="G74" s="1" t="str">
        <f t="shared" si="16"/>
        <v>104.4898</v>
      </c>
      <c r="H74" s="1" t="str">
        <f t="shared" si="17"/>
        <v xml:space="preserve"> 17.2869</v>
      </c>
      <c r="J74" s="1" t="str">
        <f t="shared" si="8"/>
        <v>LT/LT49</v>
      </c>
      <c r="L74" s="1">
        <v>22</v>
      </c>
      <c r="M74" s="1">
        <v>501</v>
      </c>
      <c r="N74" s="1" t="str">
        <f t="shared" si="18"/>
        <v>206+620</v>
      </c>
      <c r="O74" t="str">
        <f t="shared" si="19"/>
        <v>SG</v>
      </c>
    </row>
    <row r="75" spans="1:15" x14ac:dyDescent="0.2">
      <c r="A75" t="s">
        <v>145</v>
      </c>
      <c r="B75" t="s">
        <v>146</v>
      </c>
      <c r="G75" s="1" t="str">
        <f t="shared" si="16"/>
        <v>104.4901</v>
      </c>
      <c r="H75" s="1" t="str">
        <f t="shared" si="17"/>
        <v xml:space="preserve"> 17.2868</v>
      </c>
      <c r="J75" s="1" t="str">
        <f t="shared" si="8"/>
        <v>LT/LT50</v>
      </c>
      <c r="L75" s="1">
        <v>22</v>
      </c>
      <c r="M75" s="1">
        <v>501</v>
      </c>
      <c r="N75" s="1" t="str">
        <f t="shared" si="18"/>
        <v>207+767</v>
      </c>
      <c r="O75" t="str">
        <f t="shared" si="19"/>
        <v>SG</v>
      </c>
    </row>
    <row r="76" spans="1:15" x14ac:dyDescent="0.2">
      <c r="A76" t="s">
        <v>147</v>
      </c>
      <c r="B76" t="s">
        <v>148</v>
      </c>
      <c r="G76" s="1" t="str">
        <f t="shared" si="16"/>
        <v>104.4905</v>
      </c>
      <c r="H76" s="1" t="str">
        <f t="shared" si="17"/>
        <v xml:space="preserve"> 17.2868</v>
      </c>
      <c r="J76" s="1" t="str">
        <f t="shared" si="8"/>
        <v>LT/LT51</v>
      </c>
      <c r="L76" s="1">
        <v>22</v>
      </c>
      <c r="M76" s="1">
        <v>501</v>
      </c>
      <c r="N76" s="1" t="str">
        <f t="shared" si="18"/>
        <v>207+805</v>
      </c>
      <c r="O76" t="str">
        <f t="shared" si="19"/>
        <v>SG</v>
      </c>
    </row>
    <row r="77" spans="1:15" x14ac:dyDescent="0.2">
      <c r="A77" t="s">
        <v>149</v>
      </c>
      <c r="B77" t="s">
        <v>150</v>
      </c>
      <c r="G77" s="1" t="str">
        <f t="shared" si="16"/>
        <v>104.4908</v>
      </c>
      <c r="H77" s="1" t="str">
        <f t="shared" si="17"/>
        <v xml:space="preserve"> 17.2868</v>
      </c>
      <c r="J77" s="1" t="str">
        <f t="shared" si="8"/>
        <v>LT/LT52</v>
      </c>
      <c r="L77" s="1">
        <v>22</v>
      </c>
      <c r="M77" s="1">
        <v>501</v>
      </c>
      <c r="N77" s="1" t="str">
        <f t="shared" si="18"/>
        <v>207+837</v>
      </c>
      <c r="O77" t="str">
        <f t="shared" si="19"/>
        <v>SG</v>
      </c>
    </row>
    <row r="78" spans="1:15" x14ac:dyDescent="0.2">
      <c r="A78" t="s">
        <v>151</v>
      </c>
      <c r="B78" t="s">
        <v>152</v>
      </c>
      <c r="G78" s="1" t="str">
        <f t="shared" si="16"/>
        <v>104.4911</v>
      </c>
      <c r="H78" s="1" t="str">
        <f t="shared" si="17"/>
        <v xml:space="preserve"> 17.2868</v>
      </c>
      <c r="J78" s="1" t="str">
        <f t="shared" si="8"/>
        <v>LT/LT53</v>
      </c>
      <c r="L78" s="1">
        <v>22</v>
      </c>
      <c r="M78" s="1">
        <v>501</v>
      </c>
      <c r="N78" s="1" t="str">
        <f t="shared" si="18"/>
        <v>207+872</v>
      </c>
      <c r="O78" t="str">
        <f t="shared" si="19"/>
        <v>SG</v>
      </c>
    </row>
    <row r="79" spans="1:15" x14ac:dyDescent="0.2">
      <c r="A79" t="s">
        <v>153</v>
      </c>
      <c r="B79" t="s">
        <v>154</v>
      </c>
      <c r="G79" s="1" t="str">
        <f t="shared" si="16"/>
        <v>104.4915</v>
      </c>
      <c r="H79" s="1" t="str">
        <f t="shared" si="17"/>
        <v xml:space="preserve"> 17.2868</v>
      </c>
      <c r="J79" s="1" t="str">
        <f t="shared" si="8"/>
        <v>LT/LT54</v>
      </c>
      <c r="L79" s="1">
        <v>22</v>
      </c>
      <c r="M79" s="1">
        <v>501</v>
      </c>
      <c r="N79" s="1" t="str">
        <f t="shared" si="18"/>
        <v>207+907</v>
      </c>
      <c r="O79" t="str">
        <f t="shared" si="19"/>
        <v>SG</v>
      </c>
    </row>
    <row r="80" spans="1:15" x14ac:dyDescent="0.2">
      <c r="A80" t="s">
        <v>155</v>
      </c>
      <c r="B80" t="s">
        <v>156</v>
      </c>
      <c r="G80" s="1" t="str">
        <f t="shared" si="16"/>
        <v>104.4918</v>
      </c>
      <c r="H80" s="1" t="str">
        <f t="shared" si="17"/>
        <v xml:space="preserve"> 17.2868</v>
      </c>
      <c r="J80" s="1" t="str">
        <f t="shared" si="8"/>
        <v>LT/LT55</v>
      </c>
      <c r="L80" s="1">
        <v>22</v>
      </c>
      <c r="M80" s="1">
        <v>501</v>
      </c>
      <c r="N80" s="1" t="str">
        <f t="shared" si="18"/>
        <v>207+942</v>
      </c>
      <c r="O80" t="str">
        <f t="shared" si="19"/>
        <v>SG</v>
      </c>
    </row>
    <row r="81" spans="1:15" x14ac:dyDescent="0.2">
      <c r="A81" t="s">
        <v>157</v>
      </c>
      <c r="B81" t="s">
        <v>1166</v>
      </c>
      <c r="G81" s="1" t="str">
        <f t="shared" si="16"/>
        <v>104.4921</v>
      </c>
      <c r="H81" s="1" t="str">
        <f t="shared" si="17"/>
        <v xml:space="preserve"> 17.2867</v>
      </c>
      <c r="J81" s="1" t="str">
        <f t="shared" si="8"/>
        <v>LT/LT56</v>
      </c>
      <c r="L81" s="1">
        <v>22</v>
      </c>
      <c r="M81" s="1">
        <v>501</v>
      </c>
      <c r="N81" s="1" t="str">
        <f t="shared" si="18"/>
        <v>207+977</v>
      </c>
      <c r="O81" t="str">
        <f t="shared" si="19"/>
        <v>SG</v>
      </c>
    </row>
    <row r="82" spans="1:15" x14ac:dyDescent="0.2">
      <c r="A82" t="s">
        <v>158</v>
      </c>
      <c r="B82" t="s">
        <v>159</v>
      </c>
      <c r="G82" s="1" t="str">
        <f t="shared" si="16"/>
        <v>104.4925</v>
      </c>
      <c r="H82" s="1" t="str">
        <f t="shared" si="17"/>
        <v xml:space="preserve"> 17.2868</v>
      </c>
      <c r="J82" s="1" t="str">
        <f t="shared" si="8"/>
        <v>LT/LT57</v>
      </c>
      <c r="L82" s="1">
        <v>22</v>
      </c>
      <c r="M82" s="1">
        <v>501</v>
      </c>
      <c r="N82" s="1" t="str">
        <f t="shared" si="18"/>
        <v>208+012</v>
      </c>
      <c r="O82" t="str">
        <f t="shared" si="19"/>
        <v>SG</v>
      </c>
    </row>
    <row r="83" spans="1:15" x14ac:dyDescent="0.2">
      <c r="A83" t="s">
        <v>160</v>
      </c>
      <c r="B83" t="s">
        <v>161</v>
      </c>
      <c r="G83" s="1" t="str">
        <f t="shared" si="16"/>
        <v>104.4928</v>
      </c>
      <c r="H83" s="1" t="str">
        <f t="shared" si="17"/>
        <v xml:space="preserve"> 17.2867</v>
      </c>
      <c r="J83" s="1" t="str">
        <f t="shared" si="8"/>
        <v>LT/LT58</v>
      </c>
      <c r="L83" s="1">
        <v>22</v>
      </c>
      <c r="M83" s="1">
        <v>501</v>
      </c>
      <c r="N83" s="1" t="str">
        <f t="shared" si="18"/>
        <v>208+047</v>
      </c>
      <c r="O83" t="str">
        <f t="shared" si="19"/>
        <v>SG</v>
      </c>
    </row>
    <row r="84" spans="1:15" x14ac:dyDescent="0.2">
      <c r="A84" t="s">
        <v>162</v>
      </c>
      <c r="B84" t="s">
        <v>163</v>
      </c>
      <c r="G84" s="1" t="str">
        <f t="shared" si="16"/>
        <v>104.4931</v>
      </c>
      <c r="H84" s="1" t="str">
        <f>MID(A84,18,7)</f>
        <v>17.2867</v>
      </c>
      <c r="J84" s="1" t="str">
        <f t="shared" si="8"/>
        <v>LT/LT59</v>
      </c>
      <c r="L84" s="1">
        <v>22</v>
      </c>
      <c r="M84" s="1">
        <v>501</v>
      </c>
      <c r="N84" s="1" t="str">
        <f t="shared" si="18"/>
        <v>208+082</v>
      </c>
      <c r="O84" t="str">
        <f t="shared" si="19"/>
        <v>SG</v>
      </c>
    </row>
    <row r="85" spans="1:15" x14ac:dyDescent="0.2">
      <c r="A85" t="s">
        <v>164</v>
      </c>
      <c r="B85" t="s">
        <v>165</v>
      </c>
      <c r="G85" s="1" t="str">
        <f t="shared" si="16"/>
        <v>104.4934</v>
      </c>
      <c r="H85" s="1" t="str">
        <f t="shared" si="17"/>
        <v xml:space="preserve"> 17.2867</v>
      </c>
      <c r="J85" s="1" t="str">
        <f t="shared" si="8"/>
        <v>LT/LT60</v>
      </c>
      <c r="L85" s="1">
        <v>22</v>
      </c>
      <c r="M85" s="1">
        <v>501</v>
      </c>
      <c r="N85" s="1" t="str">
        <f t="shared" si="18"/>
        <v>206+999</v>
      </c>
      <c r="O85" t="str">
        <f t="shared" si="19"/>
        <v>SG</v>
      </c>
    </row>
    <row r="86" spans="1:15" x14ac:dyDescent="0.2">
      <c r="A86" t="s">
        <v>166</v>
      </c>
      <c r="B86" t="s">
        <v>167</v>
      </c>
      <c r="G86" s="1" t="str">
        <f t="shared" si="16"/>
        <v>104.4937</v>
      </c>
      <c r="H86" s="1" t="str">
        <f t="shared" si="17"/>
        <v xml:space="preserve"> 17.2866</v>
      </c>
      <c r="J86" s="1" t="str">
        <f t="shared" si="8"/>
        <v>LT/LT61</v>
      </c>
      <c r="L86" s="1">
        <v>22</v>
      </c>
      <c r="M86" s="1">
        <v>501</v>
      </c>
      <c r="N86" s="1" t="str">
        <f t="shared" si="18"/>
        <v>207+034</v>
      </c>
      <c r="O86" t="str">
        <f t="shared" si="19"/>
        <v>SG</v>
      </c>
    </row>
    <row r="87" spans="1:15" x14ac:dyDescent="0.2">
      <c r="A87" t="s">
        <v>168</v>
      </c>
      <c r="B87" t="s">
        <v>169</v>
      </c>
      <c r="G87" s="1" t="str">
        <f t="shared" si="16"/>
        <v>104.4941</v>
      </c>
      <c r="H87" s="1" t="str">
        <f t="shared" si="17"/>
        <v xml:space="preserve"> 17.2866</v>
      </c>
      <c r="J87" s="1" t="str">
        <f t="shared" ref="J87:J99" si="20">MID(B87,1,7)</f>
        <v>LT/LT62</v>
      </c>
      <c r="L87" s="1">
        <v>22</v>
      </c>
      <c r="M87" s="1">
        <v>501</v>
      </c>
      <c r="N87" s="1" t="str">
        <f t="shared" si="18"/>
        <v>208+187</v>
      </c>
      <c r="O87" t="str">
        <f t="shared" si="19"/>
        <v>SG</v>
      </c>
    </row>
    <row r="88" spans="1:15" x14ac:dyDescent="0.2">
      <c r="A88" t="s">
        <v>170</v>
      </c>
      <c r="B88" t="s">
        <v>171</v>
      </c>
      <c r="G88" s="1" t="str">
        <f t="shared" si="16"/>
        <v>104.4944</v>
      </c>
      <c r="H88" s="1" t="str">
        <f>MID(A88,18,7)</f>
        <v>17.2866</v>
      </c>
      <c r="J88" s="1" t="str">
        <f t="shared" si="20"/>
        <v>LT/LT63</v>
      </c>
      <c r="L88" s="1">
        <v>22</v>
      </c>
      <c r="M88" s="1">
        <v>501</v>
      </c>
      <c r="N88" s="1" t="str">
        <f t="shared" si="18"/>
        <v>208+222</v>
      </c>
      <c r="O88" t="str">
        <f t="shared" si="19"/>
        <v>SG</v>
      </c>
    </row>
    <row r="89" spans="1:15" x14ac:dyDescent="0.2">
      <c r="A89" t="s">
        <v>172</v>
      </c>
      <c r="B89" t="s">
        <v>173</v>
      </c>
      <c r="G89" s="1" t="str">
        <f t="shared" si="16"/>
        <v>104.4948</v>
      </c>
      <c r="H89" s="1" t="str">
        <f t="shared" si="17"/>
        <v xml:space="preserve"> 17.2866</v>
      </c>
      <c r="J89" s="1" t="str">
        <f t="shared" si="20"/>
        <v>LT/LT64</v>
      </c>
      <c r="L89" s="1">
        <v>22</v>
      </c>
      <c r="M89" s="1">
        <v>501</v>
      </c>
      <c r="N89" s="1" t="str">
        <f t="shared" si="18"/>
        <v>208+257</v>
      </c>
      <c r="O89" t="str">
        <f>MID(B89,9,2)</f>
        <v>SG</v>
      </c>
    </row>
    <row r="90" spans="1:15" x14ac:dyDescent="0.2">
      <c r="A90" t="s">
        <v>174</v>
      </c>
      <c r="B90" t="s">
        <v>175</v>
      </c>
      <c r="G90" s="1" t="str">
        <f t="shared" si="16"/>
        <v>104.5113</v>
      </c>
      <c r="H90" s="1" t="str">
        <f t="shared" si="17"/>
        <v xml:space="preserve"> 17.2874</v>
      </c>
      <c r="J90" s="1" t="str">
        <f>MID(B90,1,4)</f>
        <v>LT88</v>
      </c>
      <c r="L90" s="1">
        <v>22</v>
      </c>
      <c r="M90" s="1">
        <v>501</v>
      </c>
      <c r="N90" s="1" t="str">
        <f>MID(B90,17,7)</f>
        <v>208+921</v>
      </c>
      <c r="O90" t="str">
        <f>MID(B90,6,2)</f>
        <v>SG</v>
      </c>
    </row>
    <row r="91" spans="1:15" x14ac:dyDescent="0.2">
      <c r="A91" t="s">
        <v>176</v>
      </c>
      <c r="B91" t="s">
        <v>177</v>
      </c>
      <c r="G91" s="1" t="str">
        <f t="shared" si="16"/>
        <v>104.5116</v>
      </c>
      <c r="H91" s="1" t="str">
        <f t="shared" si="17"/>
        <v xml:space="preserve"> 17.2876</v>
      </c>
      <c r="J91" s="1" t="str">
        <f t="shared" ref="J91:J92" si="21">MID(B91,1,4)</f>
        <v>LT89</v>
      </c>
      <c r="L91" s="1">
        <v>22</v>
      </c>
      <c r="M91" s="1">
        <v>501</v>
      </c>
      <c r="N91" s="1" t="str">
        <f t="shared" ref="N91:N92" si="22">MID(B91,17,7)</f>
        <v>210+075</v>
      </c>
      <c r="O91" t="str">
        <f t="shared" ref="O91:O92" si="23">MID(B91,6,2)</f>
        <v>SG</v>
      </c>
    </row>
    <row r="92" spans="1:15" x14ac:dyDescent="0.2">
      <c r="A92" t="s">
        <v>178</v>
      </c>
      <c r="B92" t="s">
        <v>179</v>
      </c>
      <c r="G92" s="1" t="str">
        <f t="shared" si="16"/>
        <v>104.5119</v>
      </c>
      <c r="H92" s="1" t="str">
        <f t="shared" si="17"/>
        <v xml:space="preserve"> 17.2876</v>
      </c>
      <c r="J92" s="1" t="str">
        <f t="shared" si="21"/>
        <v>LT90</v>
      </c>
      <c r="L92" s="1">
        <v>22</v>
      </c>
      <c r="M92" s="1">
        <v>501</v>
      </c>
      <c r="N92" s="1" t="str">
        <f t="shared" si="22"/>
        <v>210+110</v>
      </c>
      <c r="O92" t="str">
        <f t="shared" si="23"/>
        <v>SG</v>
      </c>
    </row>
    <row r="93" spans="1:15" x14ac:dyDescent="0.2">
      <c r="A93" t="s">
        <v>180</v>
      </c>
      <c r="B93" t="s">
        <v>181</v>
      </c>
      <c r="G93" s="1" t="str">
        <f t="shared" si="16"/>
        <v>104.5122</v>
      </c>
      <c r="H93" s="1" t="str">
        <f t="shared" si="17"/>
        <v xml:space="preserve"> 17.2877</v>
      </c>
      <c r="J93" s="1" t="str">
        <f t="shared" si="20"/>
        <v>LT/LT91</v>
      </c>
      <c r="L93" s="1">
        <v>22</v>
      </c>
      <c r="M93" s="1">
        <v>501</v>
      </c>
      <c r="N93" s="1" t="str">
        <f t="shared" si="18"/>
        <v>210+145</v>
      </c>
      <c r="O93" t="str">
        <f t="shared" si="19"/>
        <v>SG</v>
      </c>
    </row>
    <row r="94" spans="1:15" x14ac:dyDescent="0.2">
      <c r="A94" t="s">
        <v>182</v>
      </c>
      <c r="B94" t="s">
        <v>183</v>
      </c>
      <c r="G94" s="1" t="str">
        <f t="shared" si="16"/>
        <v>104.5126</v>
      </c>
      <c r="H94" s="1" t="str">
        <f t="shared" si="17"/>
        <v xml:space="preserve"> 17.2878</v>
      </c>
      <c r="J94" s="1" t="str">
        <f t="shared" si="20"/>
        <v>LT/LT92</v>
      </c>
      <c r="L94" s="1">
        <v>22</v>
      </c>
      <c r="M94" s="1">
        <v>501</v>
      </c>
      <c r="N94" s="1" t="str">
        <f t="shared" si="18"/>
        <v>210+180</v>
      </c>
      <c r="O94" t="str">
        <f t="shared" si="19"/>
        <v>SG</v>
      </c>
    </row>
    <row r="95" spans="1:15" x14ac:dyDescent="0.2">
      <c r="A95" t="s">
        <v>184</v>
      </c>
      <c r="B95" t="s">
        <v>185</v>
      </c>
      <c r="G95" s="1" t="str">
        <f t="shared" si="16"/>
        <v>104.5128</v>
      </c>
      <c r="H95" s="1" t="str">
        <f t="shared" si="17"/>
        <v xml:space="preserve"> 17.2879</v>
      </c>
      <c r="J95" s="1" t="str">
        <f t="shared" si="20"/>
        <v>LT/LT93</v>
      </c>
      <c r="L95" s="1">
        <v>22</v>
      </c>
      <c r="M95" s="1">
        <v>501</v>
      </c>
      <c r="N95" s="1" t="str">
        <f t="shared" si="18"/>
        <v>210+215</v>
      </c>
      <c r="O95" t="str">
        <f t="shared" si="19"/>
        <v>SG</v>
      </c>
    </row>
    <row r="96" spans="1:15" x14ac:dyDescent="0.2">
      <c r="A96" t="s">
        <v>186</v>
      </c>
      <c r="B96" t="s">
        <v>187</v>
      </c>
      <c r="G96" s="1" t="str">
        <f t="shared" si="16"/>
        <v>104.5132</v>
      </c>
      <c r="H96" s="1" t="str">
        <f t="shared" si="17"/>
        <v xml:space="preserve"> 17.2879</v>
      </c>
      <c r="J96" s="1" t="str">
        <f t="shared" si="20"/>
        <v>LT94-SG</v>
      </c>
      <c r="L96" s="1">
        <v>22</v>
      </c>
      <c r="M96" s="1">
        <v>501</v>
      </c>
      <c r="N96" s="1" t="str">
        <f>MID(B96,17,7)</f>
        <v>210+250</v>
      </c>
      <c r="O96" t="str">
        <f>MID(B96,6,2)</f>
        <v>SG</v>
      </c>
    </row>
    <row r="97" spans="1:15" x14ac:dyDescent="0.2">
      <c r="A97" t="s">
        <v>188</v>
      </c>
      <c r="B97" t="s">
        <v>189</v>
      </c>
      <c r="G97" s="1" t="str">
        <f t="shared" si="16"/>
        <v>104.5135</v>
      </c>
      <c r="H97" s="1" t="str">
        <f t="shared" si="17"/>
        <v xml:space="preserve"> 17.2880</v>
      </c>
      <c r="J97" s="1" t="str">
        <f>MID(B97,1,4)</f>
        <v>LT95</v>
      </c>
      <c r="L97" s="1">
        <v>22</v>
      </c>
      <c r="M97" s="1">
        <v>501</v>
      </c>
      <c r="N97" s="1" t="str">
        <f t="shared" ref="N97:N101" si="24">MID(B97,17,7)</f>
        <v>210+285</v>
      </c>
      <c r="O97" t="str">
        <f>MID(B97,6,2)</f>
        <v>SG</v>
      </c>
    </row>
    <row r="98" spans="1:15" x14ac:dyDescent="0.2">
      <c r="A98" t="s">
        <v>190</v>
      </c>
      <c r="B98" t="s">
        <v>191</v>
      </c>
      <c r="G98" s="1" t="str">
        <f t="shared" si="16"/>
        <v>104.5138</v>
      </c>
      <c r="H98" s="1" t="str">
        <f t="shared" si="17"/>
        <v xml:space="preserve"> 17.2881</v>
      </c>
      <c r="J98" s="1" t="str">
        <f t="shared" si="20"/>
        <v>LT/LT96</v>
      </c>
      <c r="L98" s="1">
        <v>22</v>
      </c>
      <c r="M98" s="1">
        <v>501</v>
      </c>
      <c r="N98" s="1" t="str">
        <f>MID(B98,20,7)</f>
        <v>209+193</v>
      </c>
      <c r="O98" t="str">
        <f t="shared" si="19"/>
        <v>SG</v>
      </c>
    </row>
    <row r="99" spans="1:15" x14ac:dyDescent="0.2">
      <c r="A99" t="s">
        <v>192</v>
      </c>
      <c r="B99" t="s">
        <v>193</v>
      </c>
      <c r="G99" s="1" t="str">
        <f t="shared" si="16"/>
        <v>104.5142</v>
      </c>
      <c r="H99" s="1" t="str">
        <f t="shared" si="17"/>
        <v xml:space="preserve"> 17.2882</v>
      </c>
      <c r="J99" s="1" t="str">
        <f t="shared" si="20"/>
        <v>LT/LT97</v>
      </c>
      <c r="L99" s="1">
        <v>22</v>
      </c>
      <c r="M99" s="1">
        <v>501</v>
      </c>
      <c r="N99" s="1" t="str">
        <f>MID(B99,20,7)</f>
        <v>209+235</v>
      </c>
      <c r="O99" t="str">
        <f t="shared" si="19"/>
        <v>SG</v>
      </c>
    </row>
    <row r="100" spans="1:15" x14ac:dyDescent="0.2">
      <c r="A100" t="s">
        <v>194</v>
      </c>
      <c r="B100" t="s">
        <v>195</v>
      </c>
      <c r="G100" s="1" t="str">
        <f t="shared" si="16"/>
        <v>104.5151</v>
      </c>
      <c r="H100" s="1" t="str">
        <f t="shared" si="17"/>
        <v xml:space="preserve"> 17.2884</v>
      </c>
      <c r="J100" s="1" t="str">
        <f>MID(B100,1,4)</f>
        <v>LT98</v>
      </c>
      <c r="L100" s="1">
        <v>22</v>
      </c>
      <c r="M100" s="1">
        <v>501</v>
      </c>
      <c r="N100" s="1" t="str">
        <f t="shared" si="24"/>
        <v>210+460</v>
      </c>
      <c r="O100" t="str">
        <f>MID(B100,6,2)</f>
        <v>SG</v>
      </c>
    </row>
    <row r="101" spans="1:15" x14ac:dyDescent="0.2">
      <c r="A101" t="s">
        <v>196</v>
      </c>
      <c r="B101" t="s">
        <v>197</v>
      </c>
      <c r="G101" s="1" t="str">
        <f t="shared" si="16"/>
        <v>104.5154</v>
      </c>
      <c r="H101" s="1" t="str">
        <f t="shared" si="17"/>
        <v xml:space="preserve"> 17.2885</v>
      </c>
      <c r="J101" s="1" t="str">
        <f>MID(B101,1,4)</f>
        <v>LT99</v>
      </c>
      <c r="L101" s="1">
        <v>22</v>
      </c>
      <c r="M101" s="1">
        <v>501</v>
      </c>
      <c r="N101" s="1" t="str">
        <f t="shared" si="24"/>
        <v>210+495</v>
      </c>
      <c r="O101" t="str">
        <f>MID(B101,6,2)</f>
        <v>SG</v>
      </c>
    </row>
    <row r="102" spans="1:15" x14ac:dyDescent="0.2">
      <c r="A102" t="s">
        <v>198</v>
      </c>
      <c r="B102" t="s">
        <v>199</v>
      </c>
      <c r="G102" s="1" t="str">
        <f t="shared" si="16"/>
        <v>104.5158</v>
      </c>
      <c r="H102" s="1" t="str">
        <f t="shared" si="17"/>
        <v xml:space="preserve"> 17.2886</v>
      </c>
      <c r="J102" s="1" t="str">
        <f>MID(B102,1,5)</f>
        <v>LT100</v>
      </c>
      <c r="L102" s="1">
        <v>22</v>
      </c>
      <c r="M102" s="1">
        <v>501</v>
      </c>
      <c r="N102" s="1" t="str">
        <f>MID(B102,18,7)</f>
        <v>210+530</v>
      </c>
      <c r="O102" t="str">
        <f>MID(B102,7,2)</f>
        <v>SG</v>
      </c>
    </row>
    <row r="103" spans="1:15" x14ac:dyDescent="0.2">
      <c r="A103" t="s">
        <v>200</v>
      </c>
      <c r="B103" t="s">
        <v>201</v>
      </c>
      <c r="G103" s="1" t="str">
        <f t="shared" si="16"/>
        <v>104.5161</v>
      </c>
      <c r="H103" s="1" t="str">
        <f>MID(A103,18,7)</f>
        <v>17.2886</v>
      </c>
      <c r="J103" s="1" t="str">
        <f t="shared" ref="J103:J121" si="25">MID(B103,1,5)</f>
        <v>LT101</v>
      </c>
      <c r="L103" s="1">
        <v>22</v>
      </c>
      <c r="M103" s="1">
        <v>501</v>
      </c>
      <c r="N103" s="1" t="str">
        <f t="shared" ref="N103:N121" si="26">MID(B103,18,7)</f>
        <v>210+565</v>
      </c>
      <c r="O103" t="str">
        <f t="shared" ref="O103:O121" si="27">MID(B103,7,2)</f>
        <v>SG</v>
      </c>
    </row>
    <row r="104" spans="1:15" x14ac:dyDescent="0.2">
      <c r="A104" t="s">
        <v>202</v>
      </c>
      <c r="B104" t="s">
        <v>203</v>
      </c>
      <c r="G104" s="1" t="str">
        <f t="shared" si="16"/>
        <v>104.5164</v>
      </c>
      <c r="H104" s="1" t="str">
        <f t="shared" si="17"/>
        <v xml:space="preserve"> 17.2887</v>
      </c>
      <c r="J104" s="1" t="str">
        <f t="shared" si="25"/>
        <v>LT102</v>
      </c>
      <c r="L104" s="1">
        <v>22</v>
      </c>
      <c r="M104" s="1">
        <v>501</v>
      </c>
      <c r="N104" s="1" t="str">
        <f t="shared" si="26"/>
        <v>210+600</v>
      </c>
      <c r="O104" t="str">
        <f t="shared" si="27"/>
        <v>SG</v>
      </c>
    </row>
    <row r="105" spans="1:15" x14ac:dyDescent="0.2">
      <c r="A105" t="s">
        <v>204</v>
      </c>
      <c r="B105" t="s">
        <v>205</v>
      </c>
      <c r="G105" s="1" t="str">
        <f t="shared" si="16"/>
        <v>104.5167</v>
      </c>
      <c r="H105" s="1" t="str">
        <f t="shared" si="17"/>
        <v xml:space="preserve"> 17.2889</v>
      </c>
      <c r="J105" s="1" t="str">
        <f t="shared" si="25"/>
        <v>LT103</v>
      </c>
      <c r="L105" s="1">
        <v>22</v>
      </c>
      <c r="M105" s="1">
        <v>501</v>
      </c>
      <c r="N105" s="1" t="str">
        <f t="shared" si="26"/>
        <v>210+635</v>
      </c>
      <c r="O105" t="str">
        <f t="shared" si="27"/>
        <v>SG</v>
      </c>
    </row>
    <row r="106" spans="1:15" x14ac:dyDescent="0.2">
      <c r="A106" t="s">
        <v>206</v>
      </c>
      <c r="B106" t="s">
        <v>207</v>
      </c>
      <c r="G106" s="1" t="str">
        <f t="shared" si="16"/>
        <v>104.5170</v>
      </c>
      <c r="H106" s="1" t="str">
        <f t="shared" si="17"/>
        <v xml:space="preserve"> 17.2890</v>
      </c>
      <c r="J106" s="1" t="str">
        <f t="shared" si="25"/>
        <v>LT104</v>
      </c>
      <c r="L106" s="1">
        <v>22</v>
      </c>
      <c r="M106" s="1">
        <v>501</v>
      </c>
      <c r="N106" s="1" t="str">
        <f t="shared" si="26"/>
        <v>210+670</v>
      </c>
      <c r="O106" t="str">
        <f t="shared" si="27"/>
        <v>SG</v>
      </c>
    </row>
    <row r="107" spans="1:15" x14ac:dyDescent="0.2">
      <c r="A107" t="s">
        <v>208</v>
      </c>
      <c r="B107" t="s">
        <v>209</v>
      </c>
      <c r="G107" s="1" t="str">
        <f t="shared" si="16"/>
        <v>104.5173</v>
      </c>
      <c r="H107" s="1" t="str">
        <f t="shared" si="17"/>
        <v xml:space="preserve"> 17.2892</v>
      </c>
      <c r="J107" s="1" t="str">
        <f t="shared" si="25"/>
        <v>LT105</v>
      </c>
      <c r="L107" s="1">
        <v>22</v>
      </c>
      <c r="M107" s="1">
        <v>501</v>
      </c>
      <c r="N107" s="1" t="str">
        <f t="shared" si="26"/>
        <v>210+705</v>
      </c>
      <c r="O107" t="str">
        <f t="shared" si="27"/>
        <v>SG</v>
      </c>
    </row>
    <row r="108" spans="1:15" x14ac:dyDescent="0.2">
      <c r="A108" t="s">
        <v>210</v>
      </c>
      <c r="B108" t="s">
        <v>211</v>
      </c>
      <c r="G108" s="1" t="str">
        <f t="shared" si="16"/>
        <v>104.5176</v>
      </c>
      <c r="H108" s="1" t="str">
        <f>MID(A108,17,7)</f>
        <v>17.2893</v>
      </c>
      <c r="J108" s="1" t="str">
        <f t="shared" si="25"/>
        <v>LT106</v>
      </c>
      <c r="L108" s="1">
        <v>22</v>
      </c>
      <c r="M108" s="1">
        <v>501</v>
      </c>
      <c r="N108" s="1" t="str">
        <f t="shared" si="26"/>
        <v>210+740</v>
      </c>
      <c r="O108" t="str">
        <f t="shared" si="27"/>
        <v>SG</v>
      </c>
    </row>
    <row r="109" spans="1:15" x14ac:dyDescent="0.2">
      <c r="A109" t="s">
        <v>212</v>
      </c>
      <c r="B109" t="s">
        <v>213</v>
      </c>
      <c r="G109" s="1" t="str">
        <f t="shared" si="16"/>
        <v>104.5178</v>
      </c>
      <c r="H109" s="1" t="str">
        <f t="shared" si="17"/>
        <v xml:space="preserve"> 17.2895</v>
      </c>
      <c r="J109" s="1" t="str">
        <f t="shared" si="25"/>
        <v>LT107</v>
      </c>
      <c r="L109" s="1">
        <v>22</v>
      </c>
      <c r="M109" s="1">
        <v>501</v>
      </c>
      <c r="N109" s="1" t="str">
        <f t="shared" si="26"/>
        <v>210+775</v>
      </c>
      <c r="O109" t="str">
        <f t="shared" si="27"/>
        <v>SG</v>
      </c>
    </row>
    <row r="110" spans="1:15" x14ac:dyDescent="0.2">
      <c r="A110" t="s">
        <v>214</v>
      </c>
      <c r="B110" t="s">
        <v>215</v>
      </c>
      <c r="G110" s="1" t="str">
        <f t="shared" si="16"/>
        <v>104.5181</v>
      </c>
      <c r="H110" s="1" t="str">
        <f t="shared" si="17"/>
        <v xml:space="preserve"> 17.2897</v>
      </c>
      <c r="J110" s="1" t="str">
        <f t="shared" si="25"/>
        <v>LT108</v>
      </c>
      <c r="L110" s="1">
        <v>22</v>
      </c>
      <c r="M110" s="1">
        <v>501</v>
      </c>
      <c r="N110" s="1" t="str">
        <f t="shared" si="26"/>
        <v>210+810</v>
      </c>
      <c r="O110" t="str">
        <f t="shared" si="27"/>
        <v>SG</v>
      </c>
    </row>
    <row r="111" spans="1:15" x14ac:dyDescent="0.2">
      <c r="A111" t="s">
        <v>216</v>
      </c>
      <c r="B111" t="s">
        <v>217</v>
      </c>
      <c r="G111" s="1" t="str">
        <f t="shared" si="16"/>
        <v>104.5185</v>
      </c>
      <c r="H111" s="1" t="str">
        <f t="shared" si="17"/>
        <v xml:space="preserve"> 17.2902</v>
      </c>
      <c r="J111" s="1" t="str">
        <f>MID(B111,1,5)</f>
        <v>LT110</v>
      </c>
      <c r="L111" s="1">
        <v>22</v>
      </c>
      <c r="M111" s="1">
        <v>501</v>
      </c>
      <c r="N111" s="1" t="str">
        <f t="shared" si="26"/>
        <v>210+880</v>
      </c>
      <c r="O111" t="str">
        <f t="shared" si="27"/>
        <v>SG</v>
      </c>
    </row>
    <row r="112" spans="1:15" x14ac:dyDescent="0.2">
      <c r="A112" t="s">
        <v>218</v>
      </c>
      <c r="B112" t="s">
        <v>219</v>
      </c>
      <c r="G112" s="1" t="str">
        <f t="shared" si="16"/>
        <v>104.5187</v>
      </c>
      <c r="H112" s="1" t="str">
        <f t="shared" si="17"/>
        <v xml:space="preserve"> 17.2904</v>
      </c>
      <c r="J112" s="1" t="str">
        <f t="shared" si="25"/>
        <v>LT111</v>
      </c>
      <c r="L112" s="1">
        <v>22</v>
      </c>
      <c r="M112" s="1">
        <v>501</v>
      </c>
      <c r="N112" s="1" t="str">
        <f t="shared" si="26"/>
        <v>210+915</v>
      </c>
      <c r="O112" t="str">
        <f t="shared" si="27"/>
        <v>SG</v>
      </c>
    </row>
    <row r="113" spans="1:15" x14ac:dyDescent="0.2">
      <c r="A113" t="s">
        <v>220</v>
      </c>
      <c r="B113" t="s">
        <v>221</v>
      </c>
      <c r="G113" s="1" t="str">
        <f t="shared" si="16"/>
        <v>104.5189</v>
      </c>
      <c r="H113" s="1" t="str">
        <f t="shared" si="17"/>
        <v xml:space="preserve"> 17.2906</v>
      </c>
      <c r="J113" s="1" t="str">
        <f t="shared" si="25"/>
        <v>LT112</v>
      </c>
      <c r="L113" s="1">
        <v>22</v>
      </c>
      <c r="M113" s="1">
        <v>501</v>
      </c>
      <c r="N113" s="1" t="str">
        <f t="shared" si="26"/>
        <v>210+950</v>
      </c>
      <c r="O113" t="str">
        <f t="shared" si="27"/>
        <v>SG</v>
      </c>
    </row>
    <row r="114" spans="1:15" x14ac:dyDescent="0.2">
      <c r="A114" t="s">
        <v>222</v>
      </c>
      <c r="B114" t="s">
        <v>223</v>
      </c>
      <c r="G114" s="1" t="str">
        <f t="shared" si="16"/>
        <v>104.5192</v>
      </c>
      <c r="H114" s="1" t="str">
        <f t="shared" si="17"/>
        <v xml:space="preserve"> 17.2908</v>
      </c>
      <c r="J114" s="1" t="str">
        <f t="shared" si="25"/>
        <v>LT113</v>
      </c>
      <c r="L114" s="1">
        <v>22</v>
      </c>
      <c r="M114" s="1">
        <v>501</v>
      </c>
      <c r="N114" s="1" t="str">
        <f t="shared" si="26"/>
        <v>210+985</v>
      </c>
      <c r="O114" t="str">
        <f>MID(B114,7,2)</f>
        <v>SG</v>
      </c>
    </row>
    <row r="115" spans="1:15" x14ac:dyDescent="0.2">
      <c r="A115" t="s">
        <v>224</v>
      </c>
      <c r="B115" t="s">
        <v>225</v>
      </c>
      <c r="G115" s="1" t="str">
        <f t="shared" si="16"/>
        <v>104.5194</v>
      </c>
      <c r="H115" s="1" t="str">
        <f t="shared" si="17"/>
        <v xml:space="preserve"> 17.2911</v>
      </c>
      <c r="J115" s="1" t="str">
        <f t="shared" si="25"/>
        <v>LT114</v>
      </c>
      <c r="L115" s="1">
        <v>22</v>
      </c>
      <c r="M115" s="1">
        <v>501</v>
      </c>
      <c r="N115" s="1" t="str">
        <f t="shared" si="26"/>
        <v>211+020</v>
      </c>
      <c r="O115" t="str">
        <f t="shared" si="27"/>
        <v>SG</v>
      </c>
    </row>
    <row r="116" spans="1:15" x14ac:dyDescent="0.2">
      <c r="A116" t="s">
        <v>226</v>
      </c>
      <c r="B116" t="s">
        <v>227</v>
      </c>
      <c r="G116" s="1" t="str">
        <f t="shared" si="16"/>
        <v>104.5196</v>
      </c>
      <c r="H116" s="1" t="str">
        <f t="shared" si="17"/>
        <v xml:space="preserve"> 17.2913</v>
      </c>
      <c r="J116" s="1" t="str">
        <f>MID(B116,1,5)</f>
        <v>LT115</v>
      </c>
      <c r="L116" s="1">
        <v>22</v>
      </c>
      <c r="M116" s="1">
        <v>501</v>
      </c>
      <c r="N116" s="1" t="str">
        <f t="shared" si="26"/>
        <v>210+055</v>
      </c>
      <c r="O116" t="str">
        <f t="shared" si="27"/>
        <v>SG</v>
      </c>
    </row>
    <row r="117" spans="1:15" x14ac:dyDescent="0.2">
      <c r="A117" t="s">
        <v>228</v>
      </c>
      <c r="B117" t="s">
        <v>1158</v>
      </c>
      <c r="G117" s="1" t="str">
        <f t="shared" si="16"/>
        <v>104.5198</v>
      </c>
      <c r="H117" s="1" t="str">
        <f t="shared" si="17"/>
        <v xml:space="preserve"> 17.2915</v>
      </c>
      <c r="J117" s="1" t="str">
        <f t="shared" si="25"/>
        <v>LT116</v>
      </c>
      <c r="L117" s="1">
        <v>22</v>
      </c>
      <c r="M117" s="1">
        <v>501</v>
      </c>
      <c r="N117" s="1" t="str">
        <f t="shared" si="26"/>
        <v>210+090</v>
      </c>
      <c r="O117" t="str">
        <f t="shared" si="27"/>
        <v>SG</v>
      </c>
    </row>
    <row r="118" spans="1:15" x14ac:dyDescent="0.2">
      <c r="A118" t="s">
        <v>229</v>
      </c>
      <c r="B118" t="s">
        <v>230</v>
      </c>
      <c r="G118" s="1" t="str">
        <f t="shared" si="16"/>
        <v>104.5200</v>
      </c>
      <c r="H118" s="1" t="str">
        <f>MID(A118,18,7)</f>
        <v>17.2918</v>
      </c>
      <c r="J118" s="1" t="str">
        <f t="shared" si="25"/>
        <v>LT117</v>
      </c>
      <c r="L118" s="1">
        <v>22</v>
      </c>
      <c r="M118" s="1">
        <v>501</v>
      </c>
      <c r="N118" s="1" t="str">
        <f t="shared" si="26"/>
        <v>211+125</v>
      </c>
      <c r="O118" t="str">
        <f t="shared" si="27"/>
        <v>SG</v>
      </c>
    </row>
    <row r="119" spans="1:15" x14ac:dyDescent="0.2">
      <c r="A119" t="s">
        <v>231</v>
      </c>
      <c r="B119" t="s">
        <v>232</v>
      </c>
      <c r="G119" s="1" t="str">
        <f t="shared" si="16"/>
        <v>104.5202</v>
      </c>
      <c r="H119" s="1" t="str">
        <f t="shared" si="17"/>
        <v xml:space="preserve"> 17.2920</v>
      </c>
      <c r="J119" s="1" t="str">
        <f t="shared" si="25"/>
        <v>LT118</v>
      </c>
      <c r="L119" s="1">
        <v>22</v>
      </c>
      <c r="M119" s="1">
        <v>501</v>
      </c>
      <c r="N119" s="1" t="str">
        <f t="shared" si="26"/>
        <v>211+160</v>
      </c>
      <c r="O119" t="str">
        <f t="shared" si="27"/>
        <v>SG</v>
      </c>
    </row>
    <row r="120" spans="1:15" x14ac:dyDescent="0.2">
      <c r="A120" t="s">
        <v>233</v>
      </c>
      <c r="B120" t="s">
        <v>234</v>
      </c>
      <c r="G120" s="1" t="str">
        <f t="shared" si="16"/>
        <v>104.5205</v>
      </c>
      <c r="H120" s="1" t="str">
        <f t="shared" si="17"/>
        <v xml:space="preserve"> 17.2923</v>
      </c>
      <c r="J120" s="1" t="str">
        <f t="shared" si="25"/>
        <v>LT119</v>
      </c>
      <c r="L120" s="1">
        <v>22</v>
      </c>
      <c r="M120" s="1">
        <v>501</v>
      </c>
      <c r="N120" s="1" t="str">
        <f t="shared" si="26"/>
        <v>211+195</v>
      </c>
      <c r="O120" t="str">
        <f t="shared" si="27"/>
        <v>SG</v>
      </c>
    </row>
    <row r="121" spans="1:15" x14ac:dyDescent="0.2">
      <c r="A121" t="s">
        <v>235</v>
      </c>
      <c r="B121" t="s">
        <v>236</v>
      </c>
      <c r="G121" s="1" t="str">
        <f t="shared" si="16"/>
        <v>104.5206</v>
      </c>
      <c r="H121" s="1" t="str">
        <f t="shared" si="17"/>
        <v xml:space="preserve"> 17.2925</v>
      </c>
      <c r="J121" s="1" t="str">
        <f t="shared" si="25"/>
        <v>LT120</v>
      </c>
      <c r="L121" s="1">
        <v>22</v>
      </c>
      <c r="M121" s="1">
        <v>501</v>
      </c>
      <c r="N121" s="1" t="str">
        <f t="shared" si="26"/>
        <v>211+230</v>
      </c>
      <c r="O121" t="str">
        <f t="shared" si="27"/>
        <v>SG</v>
      </c>
    </row>
    <row r="122" spans="1:15" x14ac:dyDescent="0.2">
      <c r="A122" t="s">
        <v>237</v>
      </c>
      <c r="B122" t="s">
        <v>238</v>
      </c>
      <c r="G122" s="1" t="str">
        <f t="shared" si="16"/>
        <v>104.4166</v>
      </c>
      <c r="H122" s="1" t="str">
        <f t="shared" si="17"/>
        <v xml:space="preserve"> 17.3214</v>
      </c>
      <c r="I122" s="1" t="str">
        <f t="shared" ref="I122:I130" si="28">MID(B122,1,3)</f>
        <v>RT1</v>
      </c>
      <c r="L122" s="1">
        <v>22</v>
      </c>
      <c r="M122" s="1">
        <v>501</v>
      </c>
      <c r="N122" s="1" t="str">
        <f>MID(B122,16,7)</f>
        <v>198+490</v>
      </c>
      <c r="O122" t="str">
        <f t="shared" ref="O67:O130" si="29">MID(B122,5,2)</f>
        <v>SG</v>
      </c>
    </row>
    <row r="123" spans="1:15" x14ac:dyDescent="0.2">
      <c r="A123" t="s">
        <v>239</v>
      </c>
      <c r="B123" t="s">
        <v>240</v>
      </c>
      <c r="G123" s="1" t="str">
        <f t="shared" si="16"/>
        <v>104.4169</v>
      </c>
      <c r="H123" s="1" t="str">
        <f>MID(A123,18,7)</f>
        <v>17.3212</v>
      </c>
      <c r="I123" s="1" t="str">
        <f t="shared" si="28"/>
        <v>RT2</v>
      </c>
      <c r="L123" s="1">
        <v>22</v>
      </c>
      <c r="M123" s="1">
        <v>501</v>
      </c>
      <c r="N123" s="1" t="str">
        <f t="shared" ref="N123:N130" si="30">MID(B123,16,7)</f>
        <v>198+525</v>
      </c>
      <c r="O123" t="str">
        <f t="shared" si="29"/>
        <v>SG</v>
      </c>
    </row>
    <row r="124" spans="1:15" x14ac:dyDescent="0.2">
      <c r="A124" t="s">
        <v>241</v>
      </c>
      <c r="B124" t="s">
        <v>242</v>
      </c>
      <c r="G124" s="1" t="str">
        <f t="shared" si="16"/>
        <v>104.4173</v>
      </c>
      <c r="H124" s="1" t="str">
        <f t="shared" si="17"/>
        <v xml:space="preserve"> 17.3213</v>
      </c>
      <c r="I124" s="1" t="str">
        <f t="shared" si="28"/>
        <v>RT3</v>
      </c>
      <c r="L124" s="1">
        <v>22</v>
      </c>
      <c r="M124" s="1">
        <v>501</v>
      </c>
      <c r="N124" s="1" t="str">
        <f t="shared" si="30"/>
        <v>198+560</v>
      </c>
      <c r="O124" t="str">
        <f t="shared" si="29"/>
        <v>SG</v>
      </c>
    </row>
    <row r="125" spans="1:15" x14ac:dyDescent="0.2">
      <c r="A125" t="s">
        <v>243</v>
      </c>
      <c r="B125" t="s">
        <v>244</v>
      </c>
      <c r="G125" s="1" t="str">
        <f t="shared" si="16"/>
        <v>104.4177</v>
      </c>
      <c r="H125" s="1" t="str">
        <f>MID(A125,18,7)</f>
        <v>17.3214</v>
      </c>
      <c r="I125" s="1" t="str">
        <f t="shared" si="28"/>
        <v>RT4</v>
      </c>
      <c r="L125" s="1">
        <v>22</v>
      </c>
      <c r="M125" s="1">
        <v>501</v>
      </c>
      <c r="N125" s="1" t="str">
        <f t="shared" si="30"/>
        <v>198+595</v>
      </c>
      <c r="O125" t="str">
        <f t="shared" si="29"/>
        <v>SG</v>
      </c>
    </row>
    <row r="126" spans="1:15" x14ac:dyDescent="0.2">
      <c r="A126" t="s">
        <v>245</v>
      </c>
      <c r="B126" t="s">
        <v>246</v>
      </c>
      <c r="G126" s="1" t="str">
        <f t="shared" si="16"/>
        <v>104.4180</v>
      </c>
      <c r="H126" s="1" t="str">
        <f t="shared" si="17"/>
        <v xml:space="preserve"> 17.3214</v>
      </c>
      <c r="I126" s="1" t="str">
        <f t="shared" si="28"/>
        <v>RT5</v>
      </c>
      <c r="L126" s="1">
        <v>22</v>
      </c>
      <c r="M126" s="1">
        <v>501</v>
      </c>
      <c r="N126" s="1" t="str">
        <f t="shared" si="30"/>
        <v>198+630</v>
      </c>
      <c r="O126" t="str">
        <f t="shared" si="29"/>
        <v>SG</v>
      </c>
    </row>
    <row r="127" spans="1:15" x14ac:dyDescent="0.2">
      <c r="A127" t="s">
        <v>247</v>
      </c>
      <c r="B127" t="s">
        <v>1167</v>
      </c>
      <c r="G127" s="1" t="str">
        <f t="shared" si="16"/>
        <v>104.4183</v>
      </c>
      <c r="H127" s="1" t="str">
        <f t="shared" si="17"/>
        <v xml:space="preserve"> 17.3214</v>
      </c>
      <c r="I127" s="1" t="str">
        <f t="shared" si="28"/>
        <v>RT6</v>
      </c>
      <c r="L127" s="1">
        <v>22</v>
      </c>
      <c r="M127" s="1">
        <v>501</v>
      </c>
      <c r="N127" s="1" t="str">
        <f>MID(B127,11,7)</f>
        <v>198+665</v>
      </c>
      <c r="O127" t="str">
        <f t="shared" si="29"/>
        <v>SG</v>
      </c>
    </row>
    <row r="128" spans="1:15" x14ac:dyDescent="0.2">
      <c r="A128" t="s">
        <v>248</v>
      </c>
      <c r="B128" t="s">
        <v>249</v>
      </c>
      <c r="G128" s="1" t="str">
        <f t="shared" si="16"/>
        <v>104.4186</v>
      </c>
      <c r="H128" s="1" t="str">
        <f t="shared" si="17"/>
        <v xml:space="preserve"> 17.3214</v>
      </c>
      <c r="I128" s="1" t="str">
        <f t="shared" si="28"/>
        <v>RT7</v>
      </c>
      <c r="L128" s="1">
        <v>22</v>
      </c>
      <c r="M128" s="1">
        <v>501</v>
      </c>
      <c r="N128" s="1" t="str">
        <f t="shared" si="30"/>
        <v>198+700</v>
      </c>
      <c r="O128" t="str">
        <f t="shared" si="29"/>
        <v>SG</v>
      </c>
    </row>
    <row r="129" spans="1:15" x14ac:dyDescent="0.2">
      <c r="A129" t="s">
        <v>250</v>
      </c>
      <c r="B129" t="s">
        <v>251</v>
      </c>
      <c r="G129" s="1" t="str">
        <f t="shared" si="16"/>
        <v>104.4189</v>
      </c>
      <c r="H129" s="1" t="str">
        <f t="shared" si="17"/>
        <v xml:space="preserve"> 17.3214</v>
      </c>
      <c r="I129" s="1" t="str">
        <f t="shared" si="28"/>
        <v>RT8</v>
      </c>
      <c r="L129" s="1">
        <v>22</v>
      </c>
      <c r="M129" s="1">
        <v>501</v>
      </c>
      <c r="N129" s="1" t="str">
        <f t="shared" si="30"/>
        <v>198+735</v>
      </c>
      <c r="O129" t="str">
        <f t="shared" si="29"/>
        <v>SG</v>
      </c>
    </row>
    <row r="130" spans="1:15" x14ac:dyDescent="0.2">
      <c r="A130" t="s">
        <v>252</v>
      </c>
      <c r="B130" t="s">
        <v>253</v>
      </c>
      <c r="G130" s="1" t="str">
        <f t="shared" si="16"/>
        <v>104.4193</v>
      </c>
      <c r="H130" s="1" t="str">
        <f>MID(A130,18,7)</f>
        <v>17.3213</v>
      </c>
      <c r="I130" s="1" t="str">
        <f t="shared" si="28"/>
        <v>RT9</v>
      </c>
      <c r="L130" s="1">
        <v>22</v>
      </c>
      <c r="M130" s="1">
        <v>501</v>
      </c>
      <c r="N130" s="1" t="str">
        <f t="shared" si="30"/>
        <v>198+770</v>
      </c>
      <c r="O130" t="str">
        <f t="shared" si="29"/>
        <v>SG</v>
      </c>
    </row>
    <row r="131" spans="1:15" x14ac:dyDescent="0.2">
      <c r="A131" t="s">
        <v>254</v>
      </c>
      <c r="B131" t="s">
        <v>255</v>
      </c>
      <c r="G131" s="1" t="str">
        <f t="shared" ref="G131:G194" si="31">MID(A131,8,8)</f>
        <v>104.4196</v>
      </c>
      <c r="H131" s="1" t="str">
        <f t="shared" ref="H131:H194" si="32">MID(A131,18,8)</f>
        <v xml:space="preserve"> 17.3213</v>
      </c>
      <c r="I131" s="1" t="str">
        <f t="shared" ref="I131:I141" si="33">MID(B131,1,4)</f>
        <v>RT10</v>
      </c>
      <c r="L131" s="1">
        <v>22</v>
      </c>
      <c r="M131" s="1">
        <v>501</v>
      </c>
      <c r="N131" s="1" t="str">
        <f>MID(B131,17,7)</f>
        <v>198+805</v>
      </c>
      <c r="O131" t="str">
        <f>MID(B131,6,2)</f>
        <v>SG</v>
      </c>
    </row>
    <row r="132" spans="1:15" x14ac:dyDescent="0.2">
      <c r="A132" t="s">
        <v>256</v>
      </c>
      <c r="B132" t="s">
        <v>257</v>
      </c>
      <c r="G132" s="1" t="str">
        <f t="shared" si="31"/>
        <v>104.4199</v>
      </c>
      <c r="H132" s="1" t="str">
        <f t="shared" si="32"/>
        <v xml:space="preserve"> 17.3212</v>
      </c>
      <c r="I132" s="1" t="str">
        <f t="shared" si="33"/>
        <v>RT11</v>
      </c>
      <c r="L132" s="1">
        <v>22</v>
      </c>
      <c r="M132" s="1">
        <v>501</v>
      </c>
      <c r="N132" s="1" t="str">
        <f t="shared" ref="N132:N141" si="34">MID(B132,17,7)</f>
        <v>198+840</v>
      </c>
      <c r="O132" t="str">
        <f t="shared" ref="O132:O141" si="35">MID(B132,6,2)</f>
        <v>SG</v>
      </c>
    </row>
    <row r="133" spans="1:15" x14ac:dyDescent="0.2">
      <c r="A133" t="s">
        <v>258</v>
      </c>
      <c r="B133" t="s">
        <v>259</v>
      </c>
      <c r="G133" s="1" t="str">
        <f t="shared" si="31"/>
        <v>104.4202</v>
      </c>
      <c r="H133" s="1" t="str">
        <f t="shared" si="32"/>
        <v xml:space="preserve"> 17.3211</v>
      </c>
      <c r="I133" s="1" t="str">
        <f t="shared" si="33"/>
        <v>RT12</v>
      </c>
      <c r="L133" s="1">
        <v>22</v>
      </c>
      <c r="M133" s="1">
        <v>501</v>
      </c>
      <c r="N133" s="1" t="str">
        <f t="shared" si="34"/>
        <v>198+875</v>
      </c>
      <c r="O133" t="str">
        <f t="shared" si="35"/>
        <v>SG</v>
      </c>
    </row>
    <row r="134" spans="1:15" x14ac:dyDescent="0.2">
      <c r="A134" t="s">
        <v>260</v>
      </c>
      <c r="B134" t="s">
        <v>261</v>
      </c>
      <c r="G134" s="1" t="str">
        <f t="shared" si="31"/>
        <v>104.4205</v>
      </c>
      <c r="H134" s="1" t="str">
        <f t="shared" si="32"/>
        <v xml:space="preserve"> 17.3210</v>
      </c>
      <c r="I134" s="1" t="str">
        <f t="shared" si="33"/>
        <v>RT13</v>
      </c>
      <c r="L134" s="1">
        <v>22</v>
      </c>
      <c r="M134" s="1">
        <v>501</v>
      </c>
      <c r="N134" s="1" t="str">
        <f t="shared" si="34"/>
        <v>198+910</v>
      </c>
      <c r="O134" t="str">
        <f t="shared" si="35"/>
        <v>SG</v>
      </c>
    </row>
    <row r="135" spans="1:15" x14ac:dyDescent="0.2">
      <c r="A135" t="s">
        <v>262</v>
      </c>
      <c r="B135" t="s">
        <v>263</v>
      </c>
      <c r="G135" s="1" t="str">
        <f t="shared" si="31"/>
        <v>104.4208</v>
      </c>
      <c r="H135" s="1" t="str">
        <f t="shared" si="32"/>
        <v xml:space="preserve"> 17.3209</v>
      </c>
      <c r="I135" s="1" t="str">
        <f t="shared" si="33"/>
        <v>RT14</v>
      </c>
      <c r="L135" s="1">
        <v>22</v>
      </c>
      <c r="M135" s="1">
        <v>501</v>
      </c>
      <c r="N135" s="1" t="str">
        <f t="shared" si="34"/>
        <v>198+945</v>
      </c>
      <c r="O135" t="str">
        <f t="shared" si="35"/>
        <v>SG</v>
      </c>
    </row>
    <row r="136" spans="1:15" x14ac:dyDescent="0.2">
      <c r="A136" t="s">
        <v>264</v>
      </c>
      <c r="B136" t="s">
        <v>265</v>
      </c>
      <c r="G136" s="1" t="str">
        <f t="shared" si="31"/>
        <v>104.4211</v>
      </c>
      <c r="H136" s="1" t="str">
        <f t="shared" si="32"/>
        <v xml:space="preserve"> 17.3207</v>
      </c>
      <c r="I136" s="1" t="str">
        <f t="shared" si="33"/>
        <v>RT15</v>
      </c>
      <c r="L136" s="1">
        <v>22</v>
      </c>
      <c r="M136" s="1">
        <v>501</v>
      </c>
      <c r="N136" s="1" t="str">
        <f t="shared" si="34"/>
        <v>198+980</v>
      </c>
      <c r="O136" t="str">
        <f t="shared" si="35"/>
        <v>SG</v>
      </c>
    </row>
    <row r="137" spans="1:15" x14ac:dyDescent="0.2">
      <c r="A137" t="s">
        <v>266</v>
      </c>
      <c r="B137" t="s">
        <v>267</v>
      </c>
      <c r="G137" s="1" t="str">
        <f t="shared" si="31"/>
        <v>104.4214</v>
      </c>
      <c r="H137" s="1" t="str">
        <f t="shared" si="32"/>
        <v xml:space="preserve"> 17.3205</v>
      </c>
      <c r="I137" s="1" t="str">
        <f t="shared" si="33"/>
        <v>RT16</v>
      </c>
      <c r="L137" s="1">
        <v>22</v>
      </c>
      <c r="M137" s="1">
        <v>501</v>
      </c>
      <c r="N137" s="1" t="str">
        <f t="shared" si="34"/>
        <v>199+015</v>
      </c>
      <c r="O137" t="str">
        <f t="shared" si="35"/>
        <v>SG</v>
      </c>
    </row>
    <row r="138" spans="1:15" x14ac:dyDescent="0.2">
      <c r="A138" t="s">
        <v>268</v>
      </c>
      <c r="B138" t="s">
        <v>269</v>
      </c>
      <c r="G138" s="1" t="str">
        <f t="shared" si="31"/>
        <v>104.4217</v>
      </c>
      <c r="H138" s="1" t="str">
        <f t="shared" si="32"/>
        <v xml:space="preserve"> 17.3204</v>
      </c>
      <c r="I138" s="1" t="str">
        <f t="shared" si="33"/>
        <v>RT17</v>
      </c>
      <c r="L138" s="1">
        <v>22</v>
      </c>
      <c r="M138" s="1">
        <v>501</v>
      </c>
      <c r="N138" s="1" t="str">
        <f t="shared" si="34"/>
        <v>199+050</v>
      </c>
      <c r="O138" t="str">
        <f t="shared" si="35"/>
        <v>SG</v>
      </c>
    </row>
    <row r="139" spans="1:15" x14ac:dyDescent="0.2">
      <c r="A139" t="s">
        <v>270</v>
      </c>
      <c r="B139" t="s">
        <v>271</v>
      </c>
      <c r="G139" s="1" t="str">
        <f t="shared" si="31"/>
        <v>104.4219</v>
      </c>
      <c r="H139" s="1" t="str">
        <f t="shared" si="32"/>
        <v xml:space="preserve"> 17.3202</v>
      </c>
      <c r="I139" s="1" t="str">
        <f t="shared" si="33"/>
        <v>RT18</v>
      </c>
      <c r="L139" s="1">
        <v>22</v>
      </c>
      <c r="M139" s="1">
        <v>501</v>
      </c>
      <c r="N139" s="1" t="str">
        <f t="shared" si="34"/>
        <v>199+085</v>
      </c>
      <c r="O139" t="str">
        <f t="shared" si="35"/>
        <v>SG</v>
      </c>
    </row>
    <row r="140" spans="1:15" x14ac:dyDescent="0.2">
      <c r="A140" t="s">
        <v>272</v>
      </c>
      <c r="B140" t="s">
        <v>273</v>
      </c>
      <c r="G140" s="1" t="str">
        <f t="shared" si="31"/>
        <v>104.4223</v>
      </c>
      <c r="H140" s="1" t="str">
        <f t="shared" si="32"/>
        <v xml:space="preserve"> 17.3200</v>
      </c>
      <c r="I140" s="1" t="str">
        <f t="shared" si="33"/>
        <v>RT19</v>
      </c>
      <c r="L140" s="1">
        <v>22</v>
      </c>
      <c r="M140" s="1">
        <v>501</v>
      </c>
      <c r="N140" s="1" t="str">
        <f t="shared" si="34"/>
        <v>199+120</v>
      </c>
      <c r="O140" t="str">
        <f t="shared" si="35"/>
        <v>SG</v>
      </c>
    </row>
    <row r="141" spans="1:15" x14ac:dyDescent="0.2">
      <c r="A141" t="s">
        <v>274</v>
      </c>
      <c r="B141" t="s">
        <v>275</v>
      </c>
      <c r="G141" s="1" t="str">
        <f t="shared" si="31"/>
        <v>104.4225</v>
      </c>
      <c r="H141" s="1" t="str">
        <f t="shared" si="32"/>
        <v xml:space="preserve"> 17.3198</v>
      </c>
      <c r="I141" s="1" t="str">
        <f t="shared" si="33"/>
        <v>RT20</v>
      </c>
      <c r="L141" s="1">
        <v>22</v>
      </c>
      <c r="M141" s="1">
        <v>501</v>
      </c>
      <c r="N141" s="1" t="str">
        <f t="shared" si="34"/>
        <v>199+155</v>
      </c>
      <c r="O141" t="str">
        <f t="shared" si="35"/>
        <v>SG</v>
      </c>
    </row>
    <row r="142" spans="1:15" x14ac:dyDescent="0.2">
      <c r="A142" t="s">
        <v>276</v>
      </c>
      <c r="B142" t="s">
        <v>277</v>
      </c>
      <c r="G142" s="1" t="str">
        <f t="shared" si="31"/>
        <v>104.4228</v>
      </c>
      <c r="H142" s="1" t="str">
        <f t="shared" si="32"/>
        <v xml:space="preserve"> 17.3197</v>
      </c>
      <c r="K142" s="1" t="str">
        <f t="shared" ref="K142:K152" si="36">MID(B142,1,3)</f>
        <v>MD1</v>
      </c>
      <c r="L142" s="1">
        <v>22</v>
      </c>
      <c r="M142" s="1">
        <v>501</v>
      </c>
      <c r="N142" s="1" t="str">
        <f>MID(B142,16,7)</f>
        <v>198+500</v>
      </c>
      <c r="O142" t="str">
        <f t="shared" ref="O131:O194" si="37">MID(B142,5,2)</f>
        <v>DB</v>
      </c>
    </row>
    <row r="143" spans="1:15" x14ac:dyDescent="0.2">
      <c r="A143" t="s">
        <v>278</v>
      </c>
      <c r="B143" t="s">
        <v>1168</v>
      </c>
      <c r="G143" s="1" t="str">
        <f t="shared" si="31"/>
        <v>104.4231</v>
      </c>
      <c r="H143" s="1" t="str">
        <f t="shared" si="32"/>
        <v xml:space="preserve"> 17.3195</v>
      </c>
      <c r="K143" s="1" t="str">
        <f t="shared" si="36"/>
        <v>MD2</v>
      </c>
      <c r="L143" s="1">
        <v>22</v>
      </c>
      <c r="M143" s="1">
        <v>501</v>
      </c>
      <c r="N143" s="1" t="str">
        <f t="shared" ref="N143:N152" si="38">MID(B143,16,7)</f>
        <v>198+535</v>
      </c>
      <c r="O143" t="str">
        <f t="shared" si="37"/>
        <v>DB</v>
      </c>
    </row>
    <row r="144" spans="1:15" x14ac:dyDescent="0.2">
      <c r="A144" t="s">
        <v>279</v>
      </c>
      <c r="B144" t="s">
        <v>280</v>
      </c>
      <c r="G144" s="1" t="str">
        <f t="shared" si="31"/>
        <v>104.4233</v>
      </c>
      <c r="H144" s="1" t="str">
        <f t="shared" si="32"/>
        <v xml:space="preserve"> 17.3194</v>
      </c>
      <c r="K144" s="1" t="str">
        <f t="shared" si="36"/>
        <v>MD3</v>
      </c>
      <c r="L144" s="1">
        <v>22</v>
      </c>
      <c r="M144" s="1">
        <v>501</v>
      </c>
      <c r="N144" s="1" t="str">
        <f t="shared" si="38"/>
        <v>198+570</v>
      </c>
      <c r="O144" t="str">
        <f t="shared" si="37"/>
        <v>DB</v>
      </c>
    </row>
    <row r="145" spans="1:15" x14ac:dyDescent="0.2">
      <c r="A145" t="s">
        <v>281</v>
      </c>
      <c r="B145" t="s">
        <v>1169</v>
      </c>
      <c r="G145" s="1" t="str">
        <f t="shared" si="31"/>
        <v>104.4235</v>
      </c>
      <c r="H145" s="1" t="str">
        <f t="shared" si="32"/>
        <v xml:space="preserve"> 17.3191</v>
      </c>
      <c r="K145" s="1" t="str">
        <f t="shared" si="36"/>
        <v>MD4</v>
      </c>
      <c r="L145" s="1">
        <v>22</v>
      </c>
      <c r="M145" s="1">
        <v>501</v>
      </c>
      <c r="N145" s="1" t="str">
        <f>MID(B145,16,7)</f>
        <v>199+605</v>
      </c>
      <c r="O145" t="str">
        <f t="shared" si="37"/>
        <v>DB</v>
      </c>
    </row>
    <row r="146" spans="1:15" x14ac:dyDescent="0.2">
      <c r="A146" t="s">
        <v>282</v>
      </c>
      <c r="B146" t="s">
        <v>283</v>
      </c>
      <c r="G146" s="1" t="str">
        <f t="shared" si="31"/>
        <v>104.4238</v>
      </c>
      <c r="H146" s="1" t="str">
        <f t="shared" si="32"/>
        <v xml:space="preserve"> 17.3190</v>
      </c>
      <c r="K146" s="1" t="str">
        <f t="shared" si="36"/>
        <v>MD5</v>
      </c>
      <c r="L146" s="1">
        <v>22</v>
      </c>
      <c r="M146" s="1">
        <v>501</v>
      </c>
      <c r="N146" s="1" t="str">
        <f t="shared" si="38"/>
        <v>199+640</v>
      </c>
      <c r="O146" t="str">
        <f t="shared" si="37"/>
        <v>DB</v>
      </c>
    </row>
    <row r="147" spans="1:15" x14ac:dyDescent="0.2">
      <c r="A147" t="s">
        <v>284</v>
      </c>
      <c r="B147" t="s">
        <v>285</v>
      </c>
      <c r="G147" s="1" t="str">
        <f t="shared" si="31"/>
        <v>104.4241</v>
      </c>
      <c r="H147" s="1" t="str">
        <f t="shared" si="32"/>
        <v xml:space="preserve"> 17.3188</v>
      </c>
      <c r="K147" s="1" t="str">
        <f t="shared" si="36"/>
        <v>MD6</v>
      </c>
      <c r="L147" s="1">
        <v>22</v>
      </c>
      <c r="M147" s="1">
        <v>501</v>
      </c>
      <c r="N147" s="1" t="str">
        <f t="shared" si="38"/>
        <v>199+675</v>
      </c>
      <c r="O147" t="str">
        <f t="shared" si="37"/>
        <v>DB</v>
      </c>
    </row>
    <row r="148" spans="1:15" x14ac:dyDescent="0.2">
      <c r="A148" t="s">
        <v>286</v>
      </c>
      <c r="B148" t="s">
        <v>287</v>
      </c>
      <c r="G148" s="1" t="str">
        <f t="shared" si="31"/>
        <v>104.4243</v>
      </c>
      <c r="H148" s="1" t="str">
        <f t="shared" si="32"/>
        <v xml:space="preserve"> 17.3186</v>
      </c>
      <c r="K148" s="1" t="str">
        <f t="shared" si="36"/>
        <v>MD7</v>
      </c>
      <c r="L148" s="1">
        <v>22</v>
      </c>
      <c r="M148" s="1">
        <v>501</v>
      </c>
      <c r="N148" s="1" t="str">
        <f t="shared" si="38"/>
        <v>199+710</v>
      </c>
      <c r="O148" t="str">
        <f t="shared" si="37"/>
        <v>DB</v>
      </c>
    </row>
    <row r="149" spans="1:15" x14ac:dyDescent="0.2">
      <c r="A149" t="s">
        <v>288</v>
      </c>
      <c r="B149" t="s">
        <v>289</v>
      </c>
      <c r="G149" s="1" t="str">
        <f t="shared" si="31"/>
        <v>104.4246</v>
      </c>
      <c r="H149" s="1" t="str">
        <f t="shared" si="32"/>
        <v xml:space="preserve"> 17.3184</v>
      </c>
      <c r="K149" s="1" t="str">
        <f t="shared" si="36"/>
        <v>MD8</v>
      </c>
      <c r="L149" s="1">
        <v>22</v>
      </c>
      <c r="M149" s="1">
        <v>501</v>
      </c>
      <c r="N149" s="1" t="str">
        <f t="shared" si="38"/>
        <v>199+745</v>
      </c>
      <c r="O149" t="str">
        <f t="shared" si="37"/>
        <v>DB</v>
      </c>
    </row>
    <row r="150" spans="1:15" x14ac:dyDescent="0.2">
      <c r="A150" t="s">
        <v>290</v>
      </c>
      <c r="B150" t="s">
        <v>291</v>
      </c>
      <c r="G150" s="1" t="str">
        <f t="shared" si="31"/>
        <v>104.4249</v>
      </c>
      <c r="H150" s="1" t="str">
        <f t="shared" si="32"/>
        <v xml:space="preserve"> 17.3182</v>
      </c>
      <c r="K150" s="1" t="str">
        <f t="shared" si="36"/>
        <v>MD8</v>
      </c>
      <c r="L150" s="1">
        <v>22</v>
      </c>
      <c r="M150" s="1">
        <v>501</v>
      </c>
      <c r="N150" s="1" t="str">
        <f t="shared" si="38"/>
        <v>199+780</v>
      </c>
      <c r="O150" t="str">
        <f t="shared" si="37"/>
        <v>DB</v>
      </c>
    </row>
    <row r="151" spans="1:15" x14ac:dyDescent="0.2">
      <c r="A151" t="s">
        <v>292</v>
      </c>
      <c r="B151" t="s">
        <v>293</v>
      </c>
      <c r="G151" s="1" t="str">
        <f t="shared" si="31"/>
        <v>104.4251</v>
      </c>
      <c r="H151" s="1" t="str">
        <f t="shared" si="32"/>
        <v xml:space="preserve"> 17.3180</v>
      </c>
      <c r="K151" s="1" t="str">
        <f t="shared" si="36"/>
        <v>MD8</v>
      </c>
      <c r="L151" s="1">
        <v>22</v>
      </c>
      <c r="M151" s="1">
        <v>501</v>
      </c>
      <c r="N151" s="1" t="str">
        <f t="shared" si="38"/>
        <v>199+815</v>
      </c>
      <c r="O151" t="str">
        <f t="shared" si="37"/>
        <v>DB</v>
      </c>
    </row>
    <row r="152" spans="1:15" x14ac:dyDescent="0.2">
      <c r="A152" t="s">
        <v>294</v>
      </c>
      <c r="B152" t="s">
        <v>295</v>
      </c>
      <c r="G152" s="1" t="str">
        <f t="shared" si="31"/>
        <v>104.4254</v>
      </c>
      <c r="H152" s="1" t="str">
        <f t="shared" si="32"/>
        <v xml:space="preserve"> 17.3179</v>
      </c>
      <c r="K152" s="1" t="str">
        <f t="shared" si="36"/>
        <v>MD9</v>
      </c>
      <c r="L152" s="1">
        <v>22</v>
      </c>
      <c r="M152" s="1">
        <v>501</v>
      </c>
      <c r="N152" s="1" t="str">
        <f t="shared" si="38"/>
        <v>199+850</v>
      </c>
      <c r="O152" t="str">
        <f t="shared" si="37"/>
        <v>DB</v>
      </c>
    </row>
    <row r="153" spans="1:15" x14ac:dyDescent="0.2">
      <c r="A153" t="s">
        <v>296</v>
      </c>
      <c r="B153" t="s">
        <v>297</v>
      </c>
      <c r="G153" s="1" t="str">
        <f t="shared" si="31"/>
        <v>104.4257</v>
      </c>
      <c r="H153" s="1" t="str">
        <f t="shared" si="32"/>
        <v xml:space="preserve"> 17.3176</v>
      </c>
      <c r="K153" s="1" t="str">
        <f t="shared" ref="K153:K184" si="39">MID(B153,1,4)</f>
        <v>MD10</v>
      </c>
      <c r="L153" s="1">
        <v>22</v>
      </c>
      <c r="M153" s="1">
        <v>501</v>
      </c>
      <c r="N153" s="1" t="str">
        <f>MID(B153,17,7)</f>
        <v>199+885</v>
      </c>
      <c r="O153" t="str">
        <f>MID(B153,6,2)</f>
        <v>DB</v>
      </c>
    </row>
    <row r="154" spans="1:15" x14ac:dyDescent="0.2">
      <c r="A154" t="s">
        <v>298</v>
      </c>
      <c r="B154" t="s">
        <v>1170</v>
      </c>
      <c r="G154" s="1" t="str">
        <f t="shared" si="31"/>
        <v>104.4260</v>
      </c>
      <c r="H154" s="1" t="str">
        <f t="shared" si="32"/>
        <v xml:space="preserve"> 17.3174</v>
      </c>
      <c r="K154" s="1" t="str">
        <f t="shared" si="39"/>
        <v>MD11</v>
      </c>
      <c r="L154" s="1">
        <v>22</v>
      </c>
      <c r="M154" s="1">
        <v>501</v>
      </c>
      <c r="N154" s="1" t="str">
        <f t="shared" ref="N154:N217" si="40">MID(B154,17,7)</f>
        <v>199+920</v>
      </c>
      <c r="O154" t="str">
        <f t="shared" ref="O154:O217" si="41">MID(B154,6,2)</f>
        <v>DB</v>
      </c>
    </row>
    <row r="155" spans="1:15" x14ac:dyDescent="0.2">
      <c r="A155" t="s">
        <v>299</v>
      </c>
      <c r="B155" t="s">
        <v>300</v>
      </c>
      <c r="G155" s="1" t="str">
        <f t="shared" si="31"/>
        <v>104.4262</v>
      </c>
      <c r="H155" s="1" t="str">
        <f t="shared" si="32"/>
        <v xml:space="preserve"> 17.3173</v>
      </c>
      <c r="K155" s="1" t="str">
        <f t="shared" si="39"/>
        <v>MD12</v>
      </c>
      <c r="L155" s="1">
        <v>22</v>
      </c>
      <c r="M155" s="1">
        <v>501</v>
      </c>
      <c r="N155" s="1" t="str">
        <f t="shared" si="40"/>
        <v>199+555</v>
      </c>
      <c r="O155" t="str">
        <f t="shared" si="41"/>
        <v>DB</v>
      </c>
    </row>
    <row r="156" spans="1:15" x14ac:dyDescent="0.2">
      <c r="A156" t="s">
        <v>301</v>
      </c>
      <c r="B156" t="s">
        <v>302</v>
      </c>
      <c r="G156" s="1" t="str">
        <f t="shared" si="31"/>
        <v>104.4264</v>
      </c>
      <c r="H156" s="1" t="str">
        <f t="shared" si="32"/>
        <v xml:space="preserve"> 17.3171</v>
      </c>
      <c r="K156" s="1" t="str">
        <f t="shared" si="39"/>
        <v>MD13</v>
      </c>
      <c r="L156" s="1">
        <v>22</v>
      </c>
      <c r="M156" s="1">
        <v>501</v>
      </c>
      <c r="N156" s="1" t="str">
        <f t="shared" si="40"/>
        <v>199+990</v>
      </c>
      <c r="O156" t="str">
        <f t="shared" si="41"/>
        <v>DB</v>
      </c>
    </row>
    <row r="157" spans="1:15" x14ac:dyDescent="0.2">
      <c r="A157" t="s">
        <v>303</v>
      </c>
      <c r="B157" t="s">
        <v>304</v>
      </c>
      <c r="G157" s="1" t="str">
        <f t="shared" si="31"/>
        <v>104.4215</v>
      </c>
      <c r="H157" s="1" t="str">
        <f t="shared" si="32"/>
        <v xml:space="preserve"> 17.3204</v>
      </c>
      <c r="K157" s="1" t="str">
        <f t="shared" si="39"/>
        <v>MD14</v>
      </c>
      <c r="L157" s="1">
        <v>22</v>
      </c>
      <c r="M157" s="1">
        <v>501</v>
      </c>
      <c r="N157" s="1" t="str">
        <f t="shared" si="40"/>
        <v>200+025</v>
      </c>
      <c r="O157" t="str">
        <f t="shared" si="41"/>
        <v>DB</v>
      </c>
    </row>
    <row r="158" spans="1:15" x14ac:dyDescent="0.2">
      <c r="A158" t="s">
        <v>305</v>
      </c>
      <c r="B158" t="s">
        <v>306</v>
      </c>
      <c r="G158" s="1" t="str">
        <f t="shared" si="31"/>
        <v>104.4270</v>
      </c>
      <c r="H158" s="1" t="str">
        <f t="shared" si="32"/>
        <v xml:space="preserve"> 17.3167</v>
      </c>
      <c r="K158" s="1" t="str">
        <f t="shared" si="39"/>
        <v>MD15</v>
      </c>
      <c r="L158" s="1">
        <v>22</v>
      </c>
      <c r="M158" s="1">
        <v>501</v>
      </c>
      <c r="N158" s="1" t="str">
        <f t="shared" si="40"/>
        <v>200+060</v>
      </c>
      <c r="O158" t="str">
        <f t="shared" si="41"/>
        <v>DB</v>
      </c>
    </row>
    <row r="159" spans="1:15" x14ac:dyDescent="0.2">
      <c r="A159" t="s">
        <v>307</v>
      </c>
      <c r="B159" t="s">
        <v>308</v>
      </c>
      <c r="G159" s="1" t="str">
        <f t="shared" si="31"/>
        <v>104.4272</v>
      </c>
      <c r="H159" s="1" t="str">
        <f t="shared" si="32"/>
        <v xml:space="preserve"> 17.3165</v>
      </c>
      <c r="K159" s="1" t="str">
        <f t="shared" si="39"/>
        <v>MD16</v>
      </c>
      <c r="L159" s="1">
        <v>22</v>
      </c>
      <c r="M159" s="1">
        <v>501</v>
      </c>
      <c r="N159" s="1" t="str">
        <f t="shared" si="40"/>
        <v>200+095</v>
      </c>
      <c r="O159" t="str">
        <f t="shared" si="41"/>
        <v>DB</v>
      </c>
    </row>
    <row r="160" spans="1:15" x14ac:dyDescent="0.2">
      <c r="A160" t="s">
        <v>309</v>
      </c>
      <c r="B160" t="s">
        <v>310</v>
      </c>
      <c r="G160" s="1" t="str">
        <f t="shared" si="31"/>
        <v>104.4275</v>
      </c>
      <c r="H160" s="1" t="str">
        <f t="shared" si="32"/>
        <v xml:space="preserve"> 17.3163</v>
      </c>
      <c r="K160" s="1" t="str">
        <f t="shared" si="39"/>
        <v>MD17</v>
      </c>
      <c r="L160" s="1">
        <v>22</v>
      </c>
      <c r="M160" s="1">
        <v>501</v>
      </c>
      <c r="N160" s="1" t="str">
        <f t="shared" si="40"/>
        <v>200+130</v>
      </c>
      <c r="O160" t="str">
        <f t="shared" si="41"/>
        <v>DB</v>
      </c>
    </row>
    <row r="161" spans="1:15" x14ac:dyDescent="0.2">
      <c r="A161" t="s">
        <v>311</v>
      </c>
      <c r="B161" t="s">
        <v>312</v>
      </c>
      <c r="G161" s="1" t="str">
        <f t="shared" si="31"/>
        <v>104.4278</v>
      </c>
      <c r="H161" s="1" t="str">
        <f t="shared" si="32"/>
        <v xml:space="preserve"> 17.3161</v>
      </c>
      <c r="K161" s="1" t="str">
        <f t="shared" si="39"/>
        <v>MD18</v>
      </c>
      <c r="L161" s="1">
        <v>22</v>
      </c>
      <c r="M161" s="1">
        <v>501</v>
      </c>
      <c r="N161" s="1" t="str">
        <f t="shared" si="40"/>
        <v>200+165</v>
      </c>
      <c r="O161" t="str">
        <f t="shared" si="41"/>
        <v>DB</v>
      </c>
    </row>
    <row r="162" spans="1:15" x14ac:dyDescent="0.2">
      <c r="A162" t="s">
        <v>313</v>
      </c>
      <c r="B162" t="s">
        <v>314</v>
      </c>
      <c r="G162" s="1" t="str">
        <f t="shared" si="31"/>
        <v>104.4280</v>
      </c>
      <c r="H162" s="1" t="str">
        <f>MID(A162,18,7)</f>
        <v>17.3159</v>
      </c>
      <c r="K162" s="1" t="str">
        <f t="shared" si="39"/>
        <v>MD19</v>
      </c>
      <c r="L162" s="1">
        <v>22</v>
      </c>
      <c r="M162" s="1">
        <v>501</v>
      </c>
      <c r="N162" s="1" t="str">
        <f t="shared" si="40"/>
        <v>200+200</v>
      </c>
      <c r="O162" t="str">
        <f t="shared" si="41"/>
        <v>DB</v>
      </c>
    </row>
    <row r="163" spans="1:15" x14ac:dyDescent="0.2">
      <c r="A163" t="s">
        <v>315</v>
      </c>
      <c r="B163" t="s">
        <v>316</v>
      </c>
      <c r="G163" s="1" t="str">
        <f t="shared" si="31"/>
        <v>104.4283</v>
      </c>
      <c r="H163" s="1" t="str">
        <f t="shared" si="32"/>
        <v xml:space="preserve"> 17.3157</v>
      </c>
      <c r="K163" s="1" t="str">
        <f t="shared" si="39"/>
        <v>MD20</v>
      </c>
      <c r="L163" s="1">
        <v>22</v>
      </c>
      <c r="M163" s="1">
        <v>501</v>
      </c>
      <c r="N163" s="1" t="str">
        <f t="shared" si="40"/>
        <v>200+235</v>
      </c>
      <c r="O163" t="str">
        <f t="shared" si="41"/>
        <v>DB</v>
      </c>
    </row>
    <row r="164" spans="1:15" x14ac:dyDescent="0.2">
      <c r="A164" t="s">
        <v>317</v>
      </c>
      <c r="B164" t="s">
        <v>318</v>
      </c>
      <c r="G164" s="1" t="str">
        <f t="shared" si="31"/>
        <v>104.4285</v>
      </c>
      <c r="H164" s="1" t="str">
        <f t="shared" si="32"/>
        <v xml:space="preserve"> 17.3156</v>
      </c>
      <c r="K164" s="1" t="str">
        <f t="shared" si="39"/>
        <v>MD21</v>
      </c>
      <c r="L164" s="1">
        <v>22</v>
      </c>
      <c r="M164" s="1">
        <v>501</v>
      </c>
      <c r="N164" s="1" t="str">
        <f t="shared" si="40"/>
        <v>200+270</v>
      </c>
      <c r="O164" t="str">
        <f t="shared" si="41"/>
        <v>DB</v>
      </c>
    </row>
    <row r="165" spans="1:15" x14ac:dyDescent="0.2">
      <c r="A165" t="s">
        <v>319</v>
      </c>
      <c r="B165" t="s">
        <v>320</v>
      </c>
      <c r="G165" s="1" t="str">
        <f t="shared" si="31"/>
        <v>104.4288</v>
      </c>
      <c r="H165" s="1" t="str">
        <f t="shared" si="32"/>
        <v xml:space="preserve"> 17.3154</v>
      </c>
      <c r="K165" s="1" t="str">
        <f t="shared" si="39"/>
        <v>MD22</v>
      </c>
      <c r="L165" s="1">
        <v>22</v>
      </c>
      <c r="M165" s="1">
        <v>501</v>
      </c>
      <c r="N165" s="1" t="str">
        <f t="shared" si="40"/>
        <v>200+305</v>
      </c>
      <c r="O165" t="str">
        <f t="shared" si="41"/>
        <v>DB</v>
      </c>
    </row>
    <row r="166" spans="1:15" x14ac:dyDescent="0.2">
      <c r="A166" t="s">
        <v>321</v>
      </c>
      <c r="B166" t="s">
        <v>322</v>
      </c>
      <c r="G166" s="1" t="str">
        <f t="shared" si="31"/>
        <v>104.4291</v>
      </c>
      <c r="H166" s="1" t="str">
        <f t="shared" si="32"/>
        <v xml:space="preserve"> 17.3152</v>
      </c>
      <c r="K166" s="1" t="str">
        <f t="shared" si="39"/>
        <v>MD23</v>
      </c>
      <c r="L166" s="1">
        <v>22</v>
      </c>
      <c r="M166" s="1">
        <v>501</v>
      </c>
      <c r="N166" s="1" t="str">
        <f t="shared" si="40"/>
        <v>200+340</v>
      </c>
      <c r="O166" t="str">
        <f t="shared" si="41"/>
        <v>DB</v>
      </c>
    </row>
    <row r="167" spans="1:15" x14ac:dyDescent="0.2">
      <c r="A167" t="s">
        <v>323</v>
      </c>
      <c r="B167" t="s">
        <v>324</v>
      </c>
      <c r="G167" s="1" t="str">
        <f t="shared" si="31"/>
        <v>104.4293</v>
      </c>
      <c r="H167" s="1" t="str">
        <f t="shared" si="32"/>
        <v xml:space="preserve"> 17.3150</v>
      </c>
      <c r="K167" s="1" t="str">
        <f t="shared" si="39"/>
        <v>MD24</v>
      </c>
      <c r="L167" s="1">
        <v>22</v>
      </c>
      <c r="M167" s="1">
        <v>501</v>
      </c>
      <c r="N167" s="1" t="str">
        <f t="shared" si="40"/>
        <v>200+375</v>
      </c>
      <c r="O167" t="str">
        <f t="shared" si="41"/>
        <v>DB</v>
      </c>
    </row>
    <row r="168" spans="1:15" x14ac:dyDescent="0.2">
      <c r="A168" t="s">
        <v>325</v>
      </c>
      <c r="B168" t="s">
        <v>326</v>
      </c>
      <c r="G168" s="1" t="str">
        <f t="shared" si="31"/>
        <v>104.4296</v>
      </c>
      <c r="H168" s="1" t="str">
        <f t="shared" si="32"/>
        <v xml:space="preserve"> 17.3148</v>
      </c>
      <c r="K168" s="1" t="str">
        <f t="shared" si="39"/>
        <v>MD25</v>
      </c>
      <c r="L168" s="1">
        <v>22</v>
      </c>
      <c r="M168" s="1">
        <v>501</v>
      </c>
      <c r="N168" s="1" t="str">
        <f t="shared" si="40"/>
        <v>200+410</v>
      </c>
      <c r="O168" t="str">
        <f t="shared" si="41"/>
        <v>DB</v>
      </c>
    </row>
    <row r="169" spans="1:15" x14ac:dyDescent="0.2">
      <c r="A169" t="s">
        <v>327</v>
      </c>
      <c r="B169" t="s">
        <v>328</v>
      </c>
      <c r="G169" s="1" t="str">
        <f t="shared" si="31"/>
        <v>104.4299</v>
      </c>
      <c r="H169" s="1" t="str">
        <f t="shared" si="32"/>
        <v xml:space="preserve"> 17.3146</v>
      </c>
      <c r="K169" s="1" t="str">
        <f t="shared" si="39"/>
        <v>MD26</v>
      </c>
      <c r="L169" s="1">
        <v>22</v>
      </c>
      <c r="M169" s="1">
        <v>501</v>
      </c>
      <c r="N169" s="1" t="str">
        <f t="shared" si="40"/>
        <v>200+445</v>
      </c>
      <c r="O169" t="str">
        <f t="shared" si="41"/>
        <v>DB</v>
      </c>
    </row>
    <row r="170" spans="1:15" x14ac:dyDescent="0.2">
      <c r="A170" t="s">
        <v>329</v>
      </c>
      <c r="B170" t="s">
        <v>330</v>
      </c>
      <c r="G170" s="1" t="str">
        <f t="shared" si="31"/>
        <v>104.4302</v>
      </c>
      <c r="H170" s="1" t="str">
        <f>MID(A170,17,7)</f>
        <v>17.3144</v>
      </c>
      <c r="K170" s="1" t="str">
        <f t="shared" si="39"/>
        <v>MD26</v>
      </c>
      <c r="L170" s="1">
        <v>22</v>
      </c>
      <c r="M170" s="1">
        <v>501</v>
      </c>
      <c r="N170" s="1" t="str">
        <f t="shared" si="40"/>
        <v>200+480</v>
      </c>
      <c r="O170" t="str">
        <f t="shared" si="41"/>
        <v>DB</v>
      </c>
    </row>
    <row r="171" spans="1:15" x14ac:dyDescent="0.2">
      <c r="A171" t="s">
        <v>331</v>
      </c>
      <c r="B171" t="s">
        <v>332</v>
      </c>
      <c r="G171" s="1" t="str">
        <f t="shared" si="31"/>
        <v>104.4304</v>
      </c>
      <c r="H171" s="1" t="str">
        <f t="shared" si="32"/>
        <v xml:space="preserve"> 17.3142</v>
      </c>
      <c r="K171" s="1" t="str">
        <f t="shared" si="39"/>
        <v>MD27</v>
      </c>
      <c r="L171" s="1">
        <v>22</v>
      </c>
      <c r="M171" s="1">
        <v>501</v>
      </c>
      <c r="N171" s="1" t="str">
        <f t="shared" si="40"/>
        <v>200+515</v>
      </c>
      <c r="O171" t="str">
        <f t="shared" si="41"/>
        <v>DB</v>
      </c>
    </row>
    <row r="172" spans="1:15" x14ac:dyDescent="0.2">
      <c r="A172" t="s">
        <v>333</v>
      </c>
      <c r="B172" t="s">
        <v>334</v>
      </c>
      <c r="G172" s="1" t="str">
        <f t="shared" si="31"/>
        <v>104.4307</v>
      </c>
      <c r="H172" s="1" t="str">
        <f t="shared" si="32"/>
        <v xml:space="preserve"> 17.3140</v>
      </c>
      <c r="K172" s="1" t="str">
        <f t="shared" si="39"/>
        <v>MD28</v>
      </c>
      <c r="L172" s="1">
        <v>22</v>
      </c>
      <c r="M172" s="1">
        <v>501</v>
      </c>
      <c r="N172" s="1" t="str">
        <f t="shared" si="40"/>
        <v>200+550</v>
      </c>
      <c r="O172" t="str">
        <f t="shared" si="41"/>
        <v>DB</v>
      </c>
    </row>
    <row r="173" spans="1:15" x14ac:dyDescent="0.2">
      <c r="A173" t="s">
        <v>335</v>
      </c>
      <c r="B173" t="s">
        <v>336</v>
      </c>
      <c r="G173" s="1" t="str">
        <f t="shared" si="31"/>
        <v>104.4310</v>
      </c>
      <c r="H173" s="1" t="str">
        <f t="shared" si="32"/>
        <v xml:space="preserve"> 17.3138</v>
      </c>
      <c r="K173" s="1" t="str">
        <f t="shared" si="39"/>
        <v>MD29</v>
      </c>
      <c r="L173" s="1">
        <v>22</v>
      </c>
      <c r="M173" s="1">
        <v>501</v>
      </c>
      <c r="N173" s="1" t="str">
        <f t="shared" si="40"/>
        <v>200+585</v>
      </c>
      <c r="O173" t="str">
        <f>MID(B173,6,2)</f>
        <v>DB</v>
      </c>
    </row>
    <row r="174" spans="1:15" x14ac:dyDescent="0.2">
      <c r="A174" t="s">
        <v>337</v>
      </c>
      <c r="B174" t="s">
        <v>338</v>
      </c>
      <c r="G174" s="1" t="str">
        <f t="shared" si="31"/>
        <v>104.4313</v>
      </c>
      <c r="H174" s="1" t="str">
        <f t="shared" si="32"/>
        <v xml:space="preserve"> 17.3136</v>
      </c>
      <c r="K174" s="1" t="str">
        <f t="shared" si="39"/>
        <v>MD30</v>
      </c>
      <c r="L174" s="1">
        <v>22</v>
      </c>
      <c r="M174" s="1">
        <v>501</v>
      </c>
      <c r="N174" s="1" t="str">
        <f t="shared" si="40"/>
        <v>200+620</v>
      </c>
      <c r="O174" t="str">
        <f t="shared" si="41"/>
        <v>DB</v>
      </c>
    </row>
    <row r="175" spans="1:15" x14ac:dyDescent="0.2">
      <c r="A175" t="s">
        <v>339</v>
      </c>
      <c r="B175" t="s">
        <v>340</v>
      </c>
      <c r="G175" s="1" t="str">
        <f t="shared" si="31"/>
        <v>104.4315</v>
      </c>
      <c r="H175" s="1" t="str">
        <f t="shared" si="32"/>
        <v xml:space="preserve"> 17.3134</v>
      </c>
      <c r="K175" s="1" t="str">
        <f t="shared" si="39"/>
        <v>MD31</v>
      </c>
      <c r="L175" s="1">
        <v>22</v>
      </c>
      <c r="M175" s="1">
        <v>501</v>
      </c>
      <c r="N175" s="1" t="str">
        <f t="shared" si="40"/>
        <v>200+655</v>
      </c>
      <c r="O175" t="str">
        <f t="shared" si="41"/>
        <v>DB</v>
      </c>
    </row>
    <row r="176" spans="1:15" x14ac:dyDescent="0.2">
      <c r="A176" t="s">
        <v>341</v>
      </c>
      <c r="B176" t="s">
        <v>340</v>
      </c>
      <c r="G176" s="1" t="str">
        <f t="shared" si="31"/>
        <v>104.4317</v>
      </c>
      <c r="H176" s="1" t="str">
        <f t="shared" si="32"/>
        <v xml:space="preserve"> 17.3133</v>
      </c>
      <c r="K176" s="1" t="str">
        <f t="shared" si="39"/>
        <v>MD31</v>
      </c>
      <c r="L176" s="1">
        <v>22</v>
      </c>
      <c r="M176" s="1">
        <v>501</v>
      </c>
      <c r="N176" s="1" t="str">
        <f t="shared" si="40"/>
        <v>200+655</v>
      </c>
      <c r="O176" t="str">
        <f t="shared" si="41"/>
        <v>DB</v>
      </c>
    </row>
    <row r="177" spans="1:15" x14ac:dyDescent="0.2">
      <c r="A177" t="s">
        <v>342</v>
      </c>
      <c r="B177" t="s">
        <v>343</v>
      </c>
      <c r="G177" s="1" t="str">
        <f t="shared" si="31"/>
        <v>104.4320</v>
      </c>
      <c r="H177" s="1" t="str">
        <f t="shared" si="32"/>
        <v xml:space="preserve"> 17.3131</v>
      </c>
      <c r="K177" s="1" t="str">
        <f t="shared" si="39"/>
        <v>MD32</v>
      </c>
      <c r="L177" s="1">
        <v>22</v>
      </c>
      <c r="M177" s="1">
        <v>501</v>
      </c>
      <c r="N177" s="1" t="str">
        <f t="shared" si="40"/>
        <v>200+690</v>
      </c>
      <c r="O177" t="str">
        <f t="shared" si="41"/>
        <v>DB</v>
      </c>
    </row>
    <row r="178" spans="1:15" x14ac:dyDescent="0.2">
      <c r="A178" t="s">
        <v>344</v>
      </c>
      <c r="B178" t="s">
        <v>2420</v>
      </c>
      <c r="G178" s="1" t="str">
        <f t="shared" si="31"/>
        <v>104.4322</v>
      </c>
      <c r="H178" s="1" t="str">
        <f t="shared" si="32"/>
        <v xml:space="preserve"> 17.3129</v>
      </c>
      <c r="K178" s="1" t="str">
        <f t="shared" si="39"/>
        <v>MD33</v>
      </c>
      <c r="L178" s="1">
        <v>22</v>
      </c>
      <c r="M178" s="1">
        <v>501</v>
      </c>
      <c r="N178" s="1" t="str">
        <f t="shared" si="40"/>
        <v>200+725</v>
      </c>
      <c r="O178" t="str">
        <f t="shared" si="41"/>
        <v>DB</v>
      </c>
    </row>
    <row r="179" spans="1:15" x14ac:dyDescent="0.2">
      <c r="A179" t="s">
        <v>345</v>
      </c>
      <c r="B179" t="s">
        <v>346</v>
      </c>
      <c r="G179" s="1" t="str">
        <f t="shared" si="31"/>
        <v>104.4325</v>
      </c>
      <c r="H179" s="1" t="str">
        <f t="shared" si="32"/>
        <v xml:space="preserve"> 17.3127</v>
      </c>
      <c r="K179" s="1" t="str">
        <f t="shared" si="39"/>
        <v>MD34</v>
      </c>
      <c r="L179" s="1">
        <v>22</v>
      </c>
      <c r="M179" s="1">
        <v>501</v>
      </c>
      <c r="N179" s="1" t="str">
        <f t="shared" si="40"/>
        <v>200+795</v>
      </c>
      <c r="O179" t="str">
        <f t="shared" si="41"/>
        <v>DB</v>
      </c>
    </row>
    <row r="180" spans="1:15" x14ac:dyDescent="0.2">
      <c r="A180" t="s">
        <v>347</v>
      </c>
      <c r="B180" t="s">
        <v>348</v>
      </c>
      <c r="G180" s="1" t="str">
        <f t="shared" si="31"/>
        <v>104.4328</v>
      </c>
      <c r="H180" s="1" t="str">
        <f t="shared" si="32"/>
        <v xml:space="preserve"> 17.3125</v>
      </c>
      <c r="K180" s="1" t="str">
        <f t="shared" si="39"/>
        <v>MD35</v>
      </c>
      <c r="L180" s="1">
        <v>22</v>
      </c>
      <c r="M180" s="1">
        <v>501</v>
      </c>
      <c r="N180" s="1" t="str">
        <f t="shared" si="40"/>
        <v>200+830</v>
      </c>
      <c r="O180" t="str">
        <f t="shared" si="41"/>
        <v>DB</v>
      </c>
    </row>
    <row r="181" spans="1:15" x14ac:dyDescent="0.2">
      <c r="A181" t="s">
        <v>349</v>
      </c>
      <c r="B181" t="s">
        <v>350</v>
      </c>
      <c r="G181" s="1" t="str">
        <f t="shared" si="31"/>
        <v>104.4331</v>
      </c>
      <c r="H181" s="1" t="str">
        <f t="shared" si="32"/>
        <v xml:space="preserve"> 17.3123</v>
      </c>
      <c r="K181" s="1" t="str">
        <f t="shared" si="39"/>
        <v>MD36</v>
      </c>
      <c r="L181" s="1">
        <v>22</v>
      </c>
      <c r="M181" s="1">
        <v>501</v>
      </c>
      <c r="N181" s="1" t="str">
        <f t="shared" si="40"/>
        <v>200+868</v>
      </c>
      <c r="O181" t="str">
        <f t="shared" si="41"/>
        <v>DB</v>
      </c>
    </row>
    <row r="182" spans="1:15" x14ac:dyDescent="0.2">
      <c r="A182" t="s">
        <v>351</v>
      </c>
      <c r="B182" t="s">
        <v>352</v>
      </c>
      <c r="G182" s="1" t="str">
        <f t="shared" si="31"/>
        <v>104.4333</v>
      </c>
      <c r="H182" s="1" t="str">
        <f t="shared" si="32"/>
        <v xml:space="preserve"> 17.3121</v>
      </c>
      <c r="K182" s="1" t="str">
        <f t="shared" si="39"/>
        <v>MD37</v>
      </c>
      <c r="L182" s="1">
        <v>22</v>
      </c>
      <c r="M182" s="1">
        <v>501</v>
      </c>
      <c r="N182" s="1" t="str">
        <f t="shared" si="40"/>
        <v>200+900</v>
      </c>
      <c r="O182" t="str">
        <f t="shared" si="41"/>
        <v>DB</v>
      </c>
    </row>
    <row r="183" spans="1:15" x14ac:dyDescent="0.2">
      <c r="A183" t="s">
        <v>353</v>
      </c>
      <c r="B183" t="s">
        <v>354</v>
      </c>
      <c r="G183" s="1" t="str">
        <f t="shared" si="31"/>
        <v>104.4336</v>
      </c>
      <c r="H183" s="1" t="str">
        <f t="shared" si="32"/>
        <v xml:space="preserve"> 17.3119</v>
      </c>
      <c r="K183" s="1" t="str">
        <f t="shared" si="39"/>
        <v>MD38</v>
      </c>
      <c r="L183" s="1">
        <v>22</v>
      </c>
      <c r="M183" s="1">
        <v>501</v>
      </c>
      <c r="N183" s="1" t="str">
        <f t="shared" si="40"/>
        <v>200+935</v>
      </c>
      <c r="O183" t="str">
        <f t="shared" si="41"/>
        <v>DB</v>
      </c>
    </row>
    <row r="184" spans="1:15" x14ac:dyDescent="0.2">
      <c r="A184" t="s">
        <v>355</v>
      </c>
      <c r="B184" t="s">
        <v>356</v>
      </c>
      <c r="G184" s="1" t="str">
        <f t="shared" si="31"/>
        <v>104.4341</v>
      </c>
      <c r="H184" s="1" t="str">
        <f t="shared" si="32"/>
        <v xml:space="preserve"> 17.3115</v>
      </c>
      <c r="K184" s="1" t="str">
        <f t="shared" si="39"/>
        <v>MD40</v>
      </c>
      <c r="L184" s="1">
        <v>22</v>
      </c>
      <c r="M184" s="1">
        <v>501</v>
      </c>
      <c r="N184" s="1" t="str">
        <f t="shared" si="40"/>
        <v>201+005</v>
      </c>
      <c r="O184" t="str">
        <f t="shared" si="41"/>
        <v>DB</v>
      </c>
    </row>
    <row r="185" spans="1:15" x14ac:dyDescent="0.2">
      <c r="A185" t="s">
        <v>357</v>
      </c>
      <c r="B185" t="s">
        <v>358</v>
      </c>
      <c r="G185" s="1" t="str">
        <f t="shared" si="31"/>
        <v>104.4340</v>
      </c>
      <c r="H185" s="1" t="str">
        <f>MID(A185,18,7)</f>
        <v>17.3119</v>
      </c>
      <c r="J185" s="1" t="str">
        <f>MID(B185,1,4)</f>
        <v>LT41</v>
      </c>
      <c r="L185" s="1">
        <v>22</v>
      </c>
      <c r="M185" s="1">
        <v>501</v>
      </c>
      <c r="N185" s="1" t="str">
        <f t="shared" si="40"/>
        <v>200+970</v>
      </c>
      <c r="O185" t="str">
        <f t="shared" si="41"/>
        <v>SG</v>
      </c>
    </row>
    <row r="186" spans="1:15" x14ac:dyDescent="0.2">
      <c r="A186" t="s">
        <v>359</v>
      </c>
      <c r="B186" t="s">
        <v>360</v>
      </c>
      <c r="G186" s="1" t="str">
        <f t="shared" si="31"/>
        <v>104.4339</v>
      </c>
      <c r="H186" s="1" t="str">
        <f t="shared" si="32"/>
        <v xml:space="preserve"> 17.3117</v>
      </c>
      <c r="K186" s="1" t="str">
        <f t="shared" ref="K186:K217" si="42">MID(B186,1,4)</f>
        <v>MD39</v>
      </c>
      <c r="L186" s="1">
        <v>22</v>
      </c>
      <c r="M186" s="1">
        <v>501</v>
      </c>
      <c r="N186" s="1" t="str">
        <f t="shared" si="40"/>
        <v>200+970</v>
      </c>
      <c r="O186" t="str">
        <f t="shared" si="41"/>
        <v>DB</v>
      </c>
    </row>
    <row r="187" spans="1:15" x14ac:dyDescent="0.2">
      <c r="A187" t="s">
        <v>361</v>
      </c>
      <c r="B187" t="s">
        <v>362</v>
      </c>
      <c r="G187" s="1" t="str">
        <f t="shared" si="31"/>
        <v>104.4346</v>
      </c>
      <c r="H187" s="1" t="str">
        <f t="shared" si="32"/>
        <v xml:space="preserve"> 17.3112</v>
      </c>
      <c r="K187" s="1" t="str">
        <f t="shared" si="42"/>
        <v>MD42</v>
      </c>
      <c r="L187" s="1">
        <v>22</v>
      </c>
      <c r="M187" s="1">
        <v>501</v>
      </c>
      <c r="N187" s="1" t="str">
        <f t="shared" si="40"/>
        <v>201+075</v>
      </c>
      <c r="O187" t="str">
        <f t="shared" si="41"/>
        <v>DB</v>
      </c>
    </row>
    <row r="188" spans="1:15" x14ac:dyDescent="0.2">
      <c r="A188" t="s">
        <v>363</v>
      </c>
      <c r="B188" t="s">
        <v>364</v>
      </c>
      <c r="G188" s="1" t="str">
        <f t="shared" si="31"/>
        <v>104.4344</v>
      </c>
      <c r="H188" s="1" t="str">
        <f>MID(A188,17,7)</f>
        <v>17.3114</v>
      </c>
      <c r="K188" s="1" t="str">
        <f t="shared" si="42"/>
        <v>MD41</v>
      </c>
      <c r="L188" s="1">
        <v>22</v>
      </c>
      <c r="M188" s="1">
        <v>501</v>
      </c>
      <c r="N188" s="1" t="str">
        <f t="shared" si="40"/>
        <v>201+040</v>
      </c>
      <c r="O188" t="str">
        <f t="shared" si="41"/>
        <v>DB</v>
      </c>
    </row>
    <row r="189" spans="1:15" x14ac:dyDescent="0.2">
      <c r="A189" t="s">
        <v>365</v>
      </c>
      <c r="B189" t="s">
        <v>366</v>
      </c>
      <c r="G189" s="1" t="str">
        <f t="shared" si="31"/>
        <v>104.4349</v>
      </c>
      <c r="H189" s="1" t="str">
        <f t="shared" si="32"/>
        <v xml:space="preserve"> 17.3110</v>
      </c>
      <c r="K189" s="1" t="str">
        <f t="shared" si="42"/>
        <v>MD43</v>
      </c>
      <c r="L189" s="1">
        <v>22</v>
      </c>
      <c r="M189" s="1">
        <v>501</v>
      </c>
      <c r="N189" s="1" t="str">
        <f t="shared" si="40"/>
        <v>201+110</v>
      </c>
      <c r="O189" t="str">
        <f t="shared" si="41"/>
        <v>DB</v>
      </c>
    </row>
    <row r="190" spans="1:15" x14ac:dyDescent="0.2">
      <c r="A190" t="s">
        <v>367</v>
      </c>
      <c r="B190" t="s">
        <v>368</v>
      </c>
      <c r="G190" s="1" t="str">
        <f t="shared" si="31"/>
        <v>104.4351</v>
      </c>
      <c r="H190" s="1" t="str">
        <f t="shared" si="32"/>
        <v xml:space="preserve"> 17.3108</v>
      </c>
      <c r="K190" s="1" t="str">
        <f t="shared" si="42"/>
        <v>MD44</v>
      </c>
      <c r="L190" s="1">
        <v>22</v>
      </c>
      <c r="M190" s="1">
        <v>501</v>
      </c>
      <c r="N190" s="1" t="str">
        <f t="shared" si="40"/>
        <v>201+145</v>
      </c>
      <c r="O190" t="str">
        <f t="shared" si="41"/>
        <v>DB</v>
      </c>
    </row>
    <row r="191" spans="1:15" x14ac:dyDescent="0.2">
      <c r="A191" t="s">
        <v>369</v>
      </c>
      <c r="B191" t="s">
        <v>370</v>
      </c>
      <c r="G191" s="1" t="str">
        <f t="shared" si="31"/>
        <v>104.4354</v>
      </c>
      <c r="H191" s="1" t="str">
        <f t="shared" si="32"/>
        <v xml:space="preserve"> 17.3106</v>
      </c>
      <c r="K191" s="1" t="str">
        <f t="shared" si="42"/>
        <v>MD45</v>
      </c>
      <c r="L191" s="1">
        <v>22</v>
      </c>
      <c r="M191" s="1">
        <v>501</v>
      </c>
      <c r="N191" s="1" t="str">
        <f t="shared" si="40"/>
        <v>201+180</v>
      </c>
      <c r="O191" t="str">
        <f t="shared" si="41"/>
        <v>DB</v>
      </c>
    </row>
    <row r="192" spans="1:15" x14ac:dyDescent="0.2">
      <c r="A192" t="s">
        <v>371</v>
      </c>
      <c r="B192" t="s">
        <v>372</v>
      </c>
      <c r="G192" s="1" t="str">
        <f t="shared" si="31"/>
        <v>104.4357</v>
      </c>
      <c r="H192" s="1" t="str">
        <f t="shared" si="32"/>
        <v xml:space="preserve"> 17.3104</v>
      </c>
      <c r="K192" s="1" t="str">
        <f t="shared" si="42"/>
        <v>MD46</v>
      </c>
      <c r="L192" s="1">
        <v>22</v>
      </c>
      <c r="M192" s="1">
        <v>501</v>
      </c>
      <c r="N192" s="1" t="str">
        <f t="shared" si="40"/>
        <v>201+215</v>
      </c>
      <c r="O192" t="str">
        <f t="shared" si="41"/>
        <v>DB</v>
      </c>
    </row>
    <row r="193" spans="1:15" x14ac:dyDescent="0.2">
      <c r="A193" t="s">
        <v>373</v>
      </c>
      <c r="B193" t="s">
        <v>374</v>
      </c>
      <c r="G193" s="1" t="str">
        <f t="shared" si="31"/>
        <v>104.4359</v>
      </c>
      <c r="H193" s="1" t="str">
        <f t="shared" si="32"/>
        <v xml:space="preserve"> 17.3102</v>
      </c>
      <c r="K193" s="1" t="str">
        <f t="shared" si="42"/>
        <v>MD47</v>
      </c>
      <c r="L193" s="1">
        <v>22</v>
      </c>
      <c r="M193" s="1">
        <v>501</v>
      </c>
      <c r="N193" s="1" t="str">
        <f t="shared" si="40"/>
        <v>2201+25</v>
      </c>
      <c r="O193" t="str">
        <f t="shared" si="41"/>
        <v>DB</v>
      </c>
    </row>
    <row r="194" spans="1:15" x14ac:dyDescent="0.2">
      <c r="A194" t="s">
        <v>375</v>
      </c>
      <c r="B194" t="s">
        <v>376</v>
      </c>
      <c r="G194" s="1" t="str">
        <f t="shared" si="31"/>
        <v>104.4362</v>
      </c>
      <c r="H194" s="1" t="str">
        <f t="shared" si="32"/>
        <v xml:space="preserve"> 17.3100</v>
      </c>
      <c r="K194" s="1" t="str">
        <f t="shared" si="42"/>
        <v>MD48</v>
      </c>
      <c r="L194" s="1">
        <v>22</v>
      </c>
      <c r="M194" s="1">
        <v>501</v>
      </c>
      <c r="N194" s="1" t="str">
        <f t="shared" si="40"/>
        <v>201+285</v>
      </c>
      <c r="O194" t="str">
        <f t="shared" si="41"/>
        <v>DB</v>
      </c>
    </row>
    <row r="195" spans="1:15" x14ac:dyDescent="0.2">
      <c r="A195" t="s">
        <v>377</v>
      </c>
      <c r="B195" t="s">
        <v>378</v>
      </c>
      <c r="G195" s="1" t="str">
        <f t="shared" ref="G195:G258" si="43">MID(A195,8,8)</f>
        <v>104.4364</v>
      </c>
      <c r="H195" s="1" t="str">
        <f t="shared" ref="H195:H258" si="44">MID(A195,18,8)</f>
        <v xml:space="preserve"> 17.3099</v>
      </c>
      <c r="K195" s="1" t="str">
        <f t="shared" si="42"/>
        <v>MD49</v>
      </c>
      <c r="L195" s="1">
        <v>22</v>
      </c>
      <c r="M195" s="1">
        <v>501</v>
      </c>
      <c r="N195" s="1" t="str">
        <f t="shared" si="40"/>
        <v>201+320</v>
      </c>
      <c r="O195" t="str">
        <f t="shared" si="41"/>
        <v>DB</v>
      </c>
    </row>
    <row r="196" spans="1:15" x14ac:dyDescent="0.2">
      <c r="A196" t="s">
        <v>379</v>
      </c>
      <c r="B196" t="s">
        <v>380</v>
      </c>
      <c r="G196" s="1" t="str">
        <f t="shared" si="43"/>
        <v>104.4367</v>
      </c>
      <c r="H196" s="1" t="str">
        <f t="shared" si="44"/>
        <v xml:space="preserve"> 17.3097</v>
      </c>
      <c r="K196" s="1" t="str">
        <f t="shared" si="42"/>
        <v>MD50</v>
      </c>
      <c r="L196" s="1">
        <v>22</v>
      </c>
      <c r="M196" s="1">
        <v>501</v>
      </c>
      <c r="N196" s="1" t="str">
        <f t="shared" si="40"/>
        <v>201+355</v>
      </c>
      <c r="O196" t="str">
        <f t="shared" si="41"/>
        <v>DB</v>
      </c>
    </row>
    <row r="197" spans="1:15" x14ac:dyDescent="0.2">
      <c r="A197" t="s">
        <v>381</v>
      </c>
      <c r="B197" t="s">
        <v>382</v>
      </c>
      <c r="G197" s="1" t="str">
        <f t="shared" si="43"/>
        <v>104.4369</v>
      </c>
      <c r="H197" s="1" t="str">
        <f t="shared" si="44"/>
        <v xml:space="preserve"> 17.3095</v>
      </c>
      <c r="K197" s="1" t="str">
        <f t="shared" si="42"/>
        <v>MD51</v>
      </c>
      <c r="L197" s="1">
        <v>22</v>
      </c>
      <c r="M197" s="1">
        <v>501</v>
      </c>
      <c r="N197" s="1" t="str">
        <f t="shared" si="40"/>
        <v>201+390</v>
      </c>
      <c r="O197" t="str">
        <f t="shared" si="41"/>
        <v>DB</v>
      </c>
    </row>
    <row r="198" spans="1:15" x14ac:dyDescent="0.2">
      <c r="A198" t="s">
        <v>383</v>
      </c>
      <c r="B198" t="s">
        <v>384</v>
      </c>
      <c r="G198" s="1" t="str">
        <f t="shared" si="43"/>
        <v>104.4372</v>
      </c>
      <c r="H198" s="1" t="str">
        <f t="shared" si="44"/>
        <v xml:space="preserve"> 17.3093</v>
      </c>
      <c r="K198" s="1" t="str">
        <f t="shared" si="42"/>
        <v>MD52</v>
      </c>
      <c r="L198" s="1">
        <v>22</v>
      </c>
      <c r="M198" s="1">
        <v>501</v>
      </c>
      <c r="N198" s="1" t="str">
        <f t="shared" si="40"/>
        <v>201+425</v>
      </c>
      <c r="O198" t="str">
        <f t="shared" si="41"/>
        <v>DB</v>
      </c>
    </row>
    <row r="199" spans="1:15" x14ac:dyDescent="0.2">
      <c r="A199" t="s">
        <v>385</v>
      </c>
      <c r="B199" t="s">
        <v>386</v>
      </c>
      <c r="G199" s="1" t="str">
        <f t="shared" si="43"/>
        <v>104.4375</v>
      </c>
      <c r="H199" s="1" t="str">
        <f t="shared" si="44"/>
        <v xml:space="preserve"> 17.3091</v>
      </c>
      <c r="K199" s="1" t="str">
        <f t="shared" si="42"/>
        <v>MD53</v>
      </c>
      <c r="L199" s="1">
        <v>22</v>
      </c>
      <c r="M199" s="1">
        <v>501</v>
      </c>
      <c r="N199" s="1" t="str">
        <f t="shared" si="40"/>
        <v>201+460</v>
      </c>
      <c r="O199" t="str">
        <f t="shared" si="41"/>
        <v>DB</v>
      </c>
    </row>
    <row r="200" spans="1:15" x14ac:dyDescent="0.2">
      <c r="A200" t="s">
        <v>387</v>
      </c>
      <c r="B200" t="s">
        <v>388</v>
      </c>
      <c r="G200" s="1" t="str">
        <f t="shared" si="43"/>
        <v>104.4377</v>
      </c>
      <c r="H200" s="1" t="str">
        <f t="shared" si="44"/>
        <v xml:space="preserve"> 17.3089</v>
      </c>
      <c r="K200" s="1" t="str">
        <f t="shared" si="42"/>
        <v>MD54</v>
      </c>
      <c r="L200" s="1">
        <v>22</v>
      </c>
      <c r="M200" s="1">
        <v>501</v>
      </c>
      <c r="N200" s="1" t="str">
        <f t="shared" si="40"/>
        <v>201+495</v>
      </c>
      <c r="O200" t="str">
        <f t="shared" si="41"/>
        <v>DB</v>
      </c>
    </row>
    <row r="201" spans="1:15" x14ac:dyDescent="0.2">
      <c r="A201" t="s">
        <v>389</v>
      </c>
      <c r="B201" t="s">
        <v>390</v>
      </c>
      <c r="G201" s="1" t="str">
        <f t="shared" si="43"/>
        <v>104.4380</v>
      </c>
      <c r="H201" s="1" t="str">
        <f t="shared" si="44"/>
        <v xml:space="preserve"> 17.3088</v>
      </c>
      <c r="K201" s="1" t="str">
        <f t="shared" si="42"/>
        <v>MD55</v>
      </c>
      <c r="L201" s="1">
        <v>22</v>
      </c>
      <c r="M201" s="1">
        <v>501</v>
      </c>
      <c r="N201" s="1" t="str">
        <f t="shared" si="40"/>
        <v>201+530</v>
      </c>
      <c r="O201" t="str">
        <f t="shared" si="41"/>
        <v>DB</v>
      </c>
    </row>
    <row r="202" spans="1:15" x14ac:dyDescent="0.2">
      <c r="A202" t="s">
        <v>391</v>
      </c>
      <c r="B202" t="s">
        <v>392</v>
      </c>
      <c r="G202" s="1" t="str">
        <f t="shared" si="43"/>
        <v>104.4382</v>
      </c>
      <c r="H202" s="1" t="str">
        <f t="shared" si="44"/>
        <v xml:space="preserve"> 17.3086</v>
      </c>
      <c r="K202" s="1" t="str">
        <f t="shared" si="42"/>
        <v>MD56</v>
      </c>
      <c r="L202" s="1">
        <v>22</v>
      </c>
      <c r="M202" s="1">
        <v>501</v>
      </c>
      <c r="N202" s="1" t="str">
        <f t="shared" si="40"/>
        <v>201+565</v>
      </c>
      <c r="O202" t="str">
        <f t="shared" si="41"/>
        <v>DB</v>
      </c>
    </row>
    <row r="203" spans="1:15" x14ac:dyDescent="0.2">
      <c r="A203" t="s">
        <v>393</v>
      </c>
      <c r="B203" t="s">
        <v>394</v>
      </c>
      <c r="G203" s="1" t="str">
        <f t="shared" si="43"/>
        <v>104.4385</v>
      </c>
      <c r="H203" s="1" t="str">
        <f t="shared" si="44"/>
        <v xml:space="preserve"> 17.3084</v>
      </c>
      <c r="K203" s="1" t="str">
        <f t="shared" si="42"/>
        <v>MD57</v>
      </c>
      <c r="L203" s="1">
        <v>22</v>
      </c>
      <c r="M203" s="1">
        <v>501</v>
      </c>
      <c r="N203" s="1" t="str">
        <f t="shared" si="40"/>
        <v>201+600</v>
      </c>
      <c r="O203" t="str">
        <f t="shared" si="41"/>
        <v>DB</v>
      </c>
    </row>
    <row r="204" spans="1:15" x14ac:dyDescent="0.2">
      <c r="A204" t="s">
        <v>395</v>
      </c>
      <c r="B204" t="s">
        <v>396</v>
      </c>
      <c r="G204" s="1" t="str">
        <f t="shared" si="43"/>
        <v>104.4388</v>
      </c>
      <c r="H204" s="1" t="str">
        <f t="shared" si="44"/>
        <v xml:space="preserve"> 17.3082</v>
      </c>
      <c r="K204" s="1" t="str">
        <f t="shared" si="42"/>
        <v>MD58</v>
      </c>
      <c r="L204" s="1">
        <v>22</v>
      </c>
      <c r="M204" s="1">
        <v>501</v>
      </c>
      <c r="N204" s="1" t="str">
        <f t="shared" si="40"/>
        <v>201+635</v>
      </c>
      <c r="O204" t="str">
        <f t="shared" si="41"/>
        <v>DB</v>
      </c>
    </row>
    <row r="205" spans="1:15" x14ac:dyDescent="0.2">
      <c r="A205" t="s">
        <v>397</v>
      </c>
      <c r="B205" t="s">
        <v>398</v>
      </c>
      <c r="G205" s="1" t="str">
        <f t="shared" si="43"/>
        <v>104.4391</v>
      </c>
      <c r="H205" s="1" t="str">
        <f>MID(A205,17,7)</f>
        <v>17.3080</v>
      </c>
      <c r="K205" s="1" t="str">
        <f t="shared" si="42"/>
        <v>MD59</v>
      </c>
      <c r="L205" s="1">
        <v>22</v>
      </c>
      <c r="M205" s="1">
        <v>501</v>
      </c>
      <c r="N205" s="1" t="str">
        <f t="shared" si="40"/>
        <v>201+670</v>
      </c>
      <c r="O205" t="str">
        <f t="shared" si="41"/>
        <v>DB</v>
      </c>
    </row>
    <row r="206" spans="1:15" x14ac:dyDescent="0.2">
      <c r="A206" t="s">
        <v>399</v>
      </c>
      <c r="B206" t="s">
        <v>400</v>
      </c>
      <c r="G206" s="1" t="str">
        <f t="shared" si="43"/>
        <v>104.4393</v>
      </c>
      <c r="H206" s="1" t="str">
        <f t="shared" si="44"/>
        <v xml:space="preserve"> 17.3078</v>
      </c>
      <c r="K206" s="1" t="str">
        <f t="shared" si="42"/>
        <v>MD60</v>
      </c>
      <c r="L206" s="1">
        <v>22</v>
      </c>
      <c r="M206" s="1">
        <v>501</v>
      </c>
      <c r="N206" s="1" t="str">
        <f t="shared" si="40"/>
        <v>201+705</v>
      </c>
      <c r="O206" t="str">
        <f t="shared" si="41"/>
        <v>DB</v>
      </c>
    </row>
    <row r="207" spans="1:15" x14ac:dyDescent="0.2">
      <c r="A207" t="s">
        <v>401</v>
      </c>
      <c r="B207" t="s">
        <v>402</v>
      </c>
      <c r="G207" s="1" t="str">
        <f t="shared" si="43"/>
        <v>104.4396</v>
      </c>
      <c r="H207" s="1" t="str">
        <f t="shared" si="44"/>
        <v xml:space="preserve"> 17.3076</v>
      </c>
      <c r="K207" s="1" t="str">
        <f t="shared" si="42"/>
        <v>MD61</v>
      </c>
      <c r="L207" s="1">
        <v>22</v>
      </c>
      <c r="M207" s="1">
        <v>501</v>
      </c>
      <c r="N207" s="1" t="str">
        <f t="shared" si="40"/>
        <v>201+740</v>
      </c>
      <c r="O207" t="str">
        <f t="shared" si="41"/>
        <v>DB</v>
      </c>
    </row>
    <row r="208" spans="1:15" x14ac:dyDescent="0.2">
      <c r="A208" t="s">
        <v>403</v>
      </c>
      <c r="B208" t="s">
        <v>404</v>
      </c>
      <c r="G208" s="1" t="str">
        <f t="shared" si="43"/>
        <v>104.4398</v>
      </c>
      <c r="H208" s="1" t="str">
        <f t="shared" si="44"/>
        <v xml:space="preserve"> 17.3074</v>
      </c>
      <c r="K208" s="1" t="str">
        <f t="shared" si="42"/>
        <v>MD62</v>
      </c>
      <c r="L208" s="1">
        <v>22</v>
      </c>
      <c r="M208" s="1">
        <v>501</v>
      </c>
      <c r="N208" s="1" t="str">
        <f t="shared" si="40"/>
        <v>201+775</v>
      </c>
      <c r="O208" t="str">
        <f t="shared" si="41"/>
        <v>DB</v>
      </c>
    </row>
    <row r="209" spans="1:15" x14ac:dyDescent="0.2">
      <c r="A209" t="s">
        <v>405</v>
      </c>
      <c r="B209" t="s">
        <v>406</v>
      </c>
      <c r="G209" s="1" t="str">
        <f t="shared" si="43"/>
        <v>104.4400</v>
      </c>
      <c r="H209" s="1" t="str">
        <f t="shared" si="44"/>
        <v xml:space="preserve"> 17.3072</v>
      </c>
      <c r="K209" s="1" t="str">
        <f t="shared" si="42"/>
        <v>MD63</v>
      </c>
      <c r="L209" s="1">
        <v>22</v>
      </c>
      <c r="M209" s="1">
        <v>501</v>
      </c>
      <c r="N209" s="1" t="str">
        <f t="shared" si="40"/>
        <v>201+810</v>
      </c>
      <c r="O209" t="str">
        <f t="shared" si="41"/>
        <v>DB</v>
      </c>
    </row>
    <row r="210" spans="1:15" x14ac:dyDescent="0.2">
      <c r="A210" t="s">
        <v>407</v>
      </c>
      <c r="B210" t="s">
        <v>408</v>
      </c>
      <c r="G210" s="1" t="str">
        <f t="shared" si="43"/>
        <v>104.4403</v>
      </c>
      <c r="H210" s="1" t="str">
        <f t="shared" si="44"/>
        <v xml:space="preserve"> 17.3071</v>
      </c>
      <c r="K210" s="1" t="str">
        <f t="shared" si="42"/>
        <v>MD64</v>
      </c>
      <c r="L210" s="1">
        <v>22</v>
      </c>
      <c r="M210" s="1">
        <v>501</v>
      </c>
      <c r="N210" s="1" t="str">
        <f t="shared" si="40"/>
        <v>201+845</v>
      </c>
      <c r="O210" t="str">
        <f t="shared" si="41"/>
        <v>DB</v>
      </c>
    </row>
    <row r="211" spans="1:15" x14ac:dyDescent="0.2">
      <c r="A211" t="s">
        <v>409</v>
      </c>
      <c r="B211" t="s">
        <v>410</v>
      </c>
      <c r="G211" s="1" t="str">
        <f t="shared" si="43"/>
        <v>104.4406</v>
      </c>
      <c r="H211" s="1" t="str">
        <f>MID(A211,18,7)</f>
        <v>17.3069</v>
      </c>
      <c r="K211" s="1" t="str">
        <f t="shared" si="42"/>
        <v>MD65</v>
      </c>
      <c r="L211" s="1">
        <v>22</v>
      </c>
      <c r="M211" s="1">
        <v>501</v>
      </c>
      <c r="N211" s="1" t="str">
        <f t="shared" si="40"/>
        <v>201+880</v>
      </c>
      <c r="O211" t="str">
        <f t="shared" si="41"/>
        <v>DB</v>
      </c>
    </row>
    <row r="212" spans="1:15" x14ac:dyDescent="0.2">
      <c r="A212" t="s">
        <v>411</v>
      </c>
      <c r="B212" t="s">
        <v>1171</v>
      </c>
      <c r="G212" s="1" t="str">
        <f t="shared" si="43"/>
        <v>104.4408</v>
      </c>
      <c r="H212" s="1" t="str">
        <f t="shared" si="44"/>
        <v xml:space="preserve"> 17.3067</v>
      </c>
      <c r="K212" s="1" t="str">
        <f t="shared" si="42"/>
        <v>MD66</v>
      </c>
      <c r="L212" s="1">
        <v>22</v>
      </c>
      <c r="M212" s="1">
        <v>501</v>
      </c>
      <c r="N212" s="1" t="str">
        <f t="shared" si="40"/>
        <v>201+915</v>
      </c>
      <c r="O212" t="str">
        <f t="shared" si="41"/>
        <v>DB</v>
      </c>
    </row>
    <row r="213" spans="1:15" x14ac:dyDescent="0.2">
      <c r="A213" t="s">
        <v>412</v>
      </c>
      <c r="B213" t="s">
        <v>413</v>
      </c>
      <c r="G213" s="1" t="str">
        <f t="shared" si="43"/>
        <v>104.4410</v>
      </c>
      <c r="H213" s="1" t="str">
        <f t="shared" si="44"/>
        <v xml:space="preserve"> 17.3065</v>
      </c>
      <c r="K213" s="1" t="str">
        <f t="shared" si="42"/>
        <v>MD67</v>
      </c>
      <c r="L213" s="1">
        <v>22</v>
      </c>
      <c r="M213" s="1">
        <v>501</v>
      </c>
      <c r="N213" s="1" t="str">
        <f t="shared" si="40"/>
        <v>201+950</v>
      </c>
      <c r="O213" t="str">
        <f t="shared" si="41"/>
        <v>DB</v>
      </c>
    </row>
    <row r="214" spans="1:15" x14ac:dyDescent="0.2">
      <c r="A214" t="s">
        <v>414</v>
      </c>
      <c r="B214" t="s">
        <v>415</v>
      </c>
      <c r="G214" s="1" t="str">
        <f t="shared" si="43"/>
        <v>104.4413</v>
      </c>
      <c r="H214" s="1" t="str">
        <f t="shared" si="44"/>
        <v xml:space="preserve"> 17.3063</v>
      </c>
      <c r="K214" s="1" t="str">
        <f t="shared" si="42"/>
        <v>MD68</v>
      </c>
      <c r="L214" s="1">
        <v>22</v>
      </c>
      <c r="M214" s="1">
        <v>501</v>
      </c>
      <c r="N214" s="1" t="str">
        <f t="shared" si="40"/>
        <v>201+985</v>
      </c>
      <c r="O214" t="str">
        <f t="shared" si="41"/>
        <v>DB</v>
      </c>
    </row>
    <row r="215" spans="1:15" x14ac:dyDescent="0.2">
      <c r="A215" t="s">
        <v>416</v>
      </c>
      <c r="B215" t="s">
        <v>417</v>
      </c>
      <c r="G215" s="1" t="str">
        <f t="shared" si="43"/>
        <v>104.4416</v>
      </c>
      <c r="H215" s="1" t="str">
        <f t="shared" si="44"/>
        <v xml:space="preserve"> 17.3061</v>
      </c>
      <c r="K215" s="1" t="str">
        <f t="shared" si="42"/>
        <v>MD69</v>
      </c>
      <c r="L215" s="1">
        <v>22</v>
      </c>
      <c r="M215" s="1">
        <v>501</v>
      </c>
      <c r="N215" s="1" t="str">
        <f t="shared" si="40"/>
        <v>202+020</v>
      </c>
      <c r="O215" t="str">
        <f t="shared" si="41"/>
        <v>DB</v>
      </c>
    </row>
    <row r="216" spans="1:15" x14ac:dyDescent="0.2">
      <c r="A216" t="s">
        <v>418</v>
      </c>
      <c r="B216" t="s">
        <v>419</v>
      </c>
      <c r="G216" s="1" t="str">
        <f t="shared" si="43"/>
        <v>104.4418</v>
      </c>
      <c r="H216" s="1" t="str">
        <f t="shared" si="44"/>
        <v xml:space="preserve"> 17.3060</v>
      </c>
      <c r="K216" s="1" t="str">
        <f t="shared" si="42"/>
        <v>MD70</v>
      </c>
      <c r="L216" s="1">
        <v>22</v>
      </c>
      <c r="M216" s="1">
        <v>501</v>
      </c>
      <c r="N216" s="1" t="str">
        <f t="shared" si="40"/>
        <v>202+055</v>
      </c>
      <c r="O216" t="str">
        <f t="shared" si="41"/>
        <v>DB</v>
      </c>
    </row>
    <row r="217" spans="1:15" x14ac:dyDescent="0.2">
      <c r="A217" t="s">
        <v>420</v>
      </c>
      <c r="B217" t="s">
        <v>421</v>
      </c>
      <c r="G217" s="1" t="str">
        <f t="shared" si="43"/>
        <v>104.4421</v>
      </c>
      <c r="H217" s="1" t="str">
        <f t="shared" si="44"/>
        <v xml:space="preserve"> 17.3058</v>
      </c>
      <c r="K217" s="1" t="str">
        <f t="shared" si="42"/>
        <v>MD71</v>
      </c>
      <c r="L217" s="1">
        <v>22</v>
      </c>
      <c r="M217" s="1">
        <v>501</v>
      </c>
      <c r="N217" s="1" t="str">
        <f t="shared" si="40"/>
        <v>205+090</v>
      </c>
      <c r="O217" t="str">
        <f t="shared" si="41"/>
        <v>DB</v>
      </c>
    </row>
    <row r="218" spans="1:15" x14ac:dyDescent="0.2">
      <c r="A218" t="s">
        <v>422</v>
      </c>
      <c r="B218" t="s">
        <v>423</v>
      </c>
      <c r="G218" s="1" t="str">
        <f t="shared" si="43"/>
        <v>104.4423</v>
      </c>
      <c r="H218" s="1" t="str">
        <f t="shared" si="44"/>
        <v xml:space="preserve"> 17.3056</v>
      </c>
      <c r="K218" s="1" t="str">
        <f t="shared" ref="K218:K246" si="45">MID(B218,1,4)</f>
        <v>MD72</v>
      </c>
      <c r="L218" s="1">
        <v>22</v>
      </c>
      <c r="M218" s="1">
        <v>501</v>
      </c>
      <c r="N218" s="1" t="str">
        <f t="shared" ref="N218:N246" si="46">MID(B218,17,7)</f>
        <v>202+125</v>
      </c>
      <c r="O218" t="str">
        <f t="shared" ref="O218:O246" si="47">MID(B218,6,2)</f>
        <v>DB</v>
      </c>
    </row>
    <row r="219" spans="1:15" x14ac:dyDescent="0.2">
      <c r="A219" t="s">
        <v>424</v>
      </c>
      <c r="B219" t="s">
        <v>425</v>
      </c>
      <c r="G219" s="1" t="str">
        <f t="shared" si="43"/>
        <v>104.4425</v>
      </c>
      <c r="H219" s="1" t="str">
        <f t="shared" si="44"/>
        <v xml:space="preserve"> 17.3054</v>
      </c>
      <c r="K219" s="1" t="str">
        <f t="shared" si="45"/>
        <v>MD73</v>
      </c>
      <c r="L219" s="1">
        <v>22</v>
      </c>
      <c r="M219" s="1">
        <v>501</v>
      </c>
      <c r="N219" s="1" t="str">
        <f t="shared" si="46"/>
        <v>202+160</v>
      </c>
      <c r="O219" t="str">
        <f t="shared" si="47"/>
        <v>DB</v>
      </c>
    </row>
    <row r="220" spans="1:15" x14ac:dyDescent="0.2">
      <c r="A220" t="s">
        <v>426</v>
      </c>
      <c r="B220" t="s">
        <v>427</v>
      </c>
      <c r="G220" s="1" t="str">
        <f t="shared" si="43"/>
        <v>104.4428</v>
      </c>
      <c r="H220" s="1" t="str">
        <f>MID(A220,18,7)</f>
        <v>17.3053</v>
      </c>
      <c r="K220" s="1" t="str">
        <f t="shared" si="45"/>
        <v>MD74</v>
      </c>
      <c r="L220" s="1">
        <v>22</v>
      </c>
      <c r="M220" s="1">
        <v>501</v>
      </c>
      <c r="N220" s="1" t="str">
        <f t="shared" si="46"/>
        <v>202+195</v>
      </c>
      <c r="O220" t="str">
        <f t="shared" si="47"/>
        <v>DB</v>
      </c>
    </row>
    <row r="221" spans="1:15" x14ac:dyDescent="0.2">
      <c r="A221" t="s">
        <v>428</v>
      </c>
      <c r="B221" t="s">
        <v>429</v>
      </c>
      <c r="G221" s="1" t="str">
        <f t="shared" si="43"/>
        <v>104.4431</v>
      </c>
      <c r="H221" s="1" t="str">
        <f t="shared" si="44"/>
        <v xml:space="preserve"> 17.3051</v>
      </c>
      <c r="K221" s="1" t="str">
        <f t="shared" si="45"/>
        <v>MD75</v>
      </c>
      <c r="L221" s="1">
        <v>22</v>
      </c>
      <c r="M221" s="1">
        <v>501</v>
      </c>
      <c r="N221" s="1" t="str">
        <f t="shared" si="46"/>
        <v>202+230</v>
      </c>
      <c r="O221" t="str">
        <f t="shared" si="47"/>
        <v>DB</v>
      </c>
    </row>
    <row r="222" spans="1:15" x14ac:dyDescent="0.2">
      <c r="A222" t="s">
        <v>430</v>
      </c>
      <c r="B222" t="s">
        <v>431</v>
      </c>
      <c r="G222" s="1" t="str">
        <f t="shared" si="43"/>
        <v>104.4433</v>
      </c>
      <c r="H222" s="1" t="str">
        <f t="shared" si="44"/>
        <v xml:space="preserve"> 17.3049</v>
      </c>
      <c r="K222" s="1" t="str">
        <f t="shared" si="45"/>
        <v>MD76</v>
      </c>
      <c r="L222" s="1">
        <v>22</v>
      </c>
      <c r="M222" s="1">
        <v>501</v>
      </c>
      <c r="N222" s="1" t="str">
        <f t="shared" si="46"/>
        <v>202+265</v>
      </c>
      <c r="O222" t="str">
        <f t="shared" si="47"/>
        <v>DB</v>
      </c>
    </row>
    <row r="223" spans="1:15" x14ac:dyDescent="0.2">
      <c r="A223" t="s">
        <v>432</v>
      </c>
      <c r="B223" t="s">
        <v>433</v>
      </c>
      <c r="G223" s="1" t="str">
        <f t="shared" si="43"/>
        <v>104.4435</v>
      </c>
      <c r="H223" s="1" t="str">
        <f t="shared" si="44"/>
        <v xml:space="preserve"> 17.3047</v>
      </c>
      <c r="K223" s="1" t="str">
        <f t="shared" si="45"/>
        <v>MD76</v>
      </c>
      <c r="L223" s="1">
        <v>22</v>
      </c>
      <c r="M223" s="1">
        <v>501</v>
      </c>
      <c r="N223" s="1" t="str">
        <f t="shared" si="46"/>
        <v>202+300</v>
      </c>
      <c r="O223" t="str">
        <f t="shared" si="47"/>
        <v>DB</v>
      </c>
    </row>
    <row r="224" spans="1:15" x14ac:dyDescent="0.2">
      <c r="A224" t="s">
        <v>434</v>
      </c>
      <c r="B224" t="s">
        <v>435</v>
      </c>
      <c r="G224" s="1" t="str">
        <f t="shared" si="43"/>
        <v>104.4438</v>
      </c>
      <c r="H224" s="1" t="str">
        <f t="shared" si="44"/>
        <v xml:space="preserve"> 17.3045</v>
      </c>
      <c r="K224" s="1" t="str">
        <f t="shared" si="45"/>
        <v>MD77</v>
      </c>
      <c r="L224" s="1">
        <v>22</v>
      </c>
      <c r="M224" s="1">
        <v>501</v>
      </c>
      <c r="N224" s="1" t="str">
        <f t="shared" si="46"/>
        <v>202+335</v>
      </c>
      <c r="O224" t="str">
        <f t="shared" si="47"/>
        <v>DB</v>
      </c>
    </row>
    <row r="225" spans="1:15" x14ac:dyDescent="0.2">
      <c r="A225" t="s">
        <v>436</v>
      </c>
      <c r="B225" t="s">
        <v>437</v>
      </c>
      <c r="G225" s="1" t="str">
        <f t="shared" si="43"/>
        <v>104.4440</v>
      </c>
      <c r="H225" s="1" t="str">
        <f t="shared" si="44"/>
        <v xml:space="preserve"> 17.3044</v>
      </c>
      <c r="K225" s="1" t="str">
        <f t="shared" si="45"/>
        <v>MD78</v>
      </c>
      <c r="L225" s="1">
        <v>22</v>
      </c>
      <c r="M225" s="1">
        <v>501</v>
      </c>
      <c r="N225" s="1" t="str">
        <f t="shared" si="46"/>
        <v>202+370</v>
      </c>
      <c r="O225" t="str">
        <f t="shared" si="47"/>
        <v>DB</v>
      </c>
    </row>
    <row r="226" spans="1:15" x14ac:dyDescent="0.2">
      <c r="A226" t="s">
        <v>438</v>
      </c>
      <c r="B226" t="s">
        <v>439</v>
      </c>
      <c r="G226" s="1" t="str">
        <f t="shared" si="43"/>
        <v>104.4443</v>
      </c>
      <c r="H226" s="1" t="str">
        <f t="shared" si="44"/>
        <v xml:space="preserve"> 17.3042</v>
      </c>
      <c r="K226" s="1" t="str">
        <f t="shared" si="45"/>
        <v>MD79</v>
      </c>
      <c r="L226" s="1">
        <v>22</v>
      </c>
      <c r="M226" s="1">
        <v>501</v>
      </c>
      <c r="N226" s="1" t="str">
        <f t="shared" si="46"/>
        <v>202+405</v>
      </c>
      <c r="O226" t="str">
        <f t="shared" si="47"/>
        <v>DB</v>
      </c>
    </row>
    <row r="227" spans="1:15" x14ac:dyDescent="0.2">
      <c r="A227" t="s">
        <v>440</v>
      </c>
      <c r="B227" t="s">
        <v>441</v>
      </c>
      <c r="G227" s="1" t="str">
        <f t="shared" si="43"/>
        <v>104.4445</v>
      </c>
      <c r="H227" s="1" t="str">
        <f>MID(A227,18,7)</f>
        <v>17.3040</v>
      </c>
      <c r="K227" s="1" t="str">
        <f t="shared" si="45"/>
        <v>MD80</v>
      </c>
      <c r="L227" s="1">
        <v>22</v>
      </c>
      <c r="M227" s="1">
        <v>501</v>
      </c>
      <c r="N227" s="1" t="str">
        <f t="shared" si="46"/>
        <v>202+435</v>
      </c>
      <c r="O227" t="str">
        <f t="shared" si="47"/>
        <v>DB</v>
      </c>
    </row>
    <row r="228" spans="1:15" x14ac:dyDescent="0.2">
      <c r="A228" t="s">
        <v>442</v>
      </c>
      <c r="B228" t="s">
        <v>443</v>
      </c>
      <c r="G228" s="1" t="str">
        <f t="shared" si="43"/>
        <v>104.4447</v>
      </c>
      <c r="H228" s="1" t="str">
        <f t="shared" si="44"/>
        <v xml:space="preserve"> 17.3038</v>
      </c>
      <c r="K228" s="1" t="str">
        <f t="shared" si="45"/>
        <v>MD81</v>
      </c>
      <c r="L228" s="1">
        <v>22</v>
      </c>
      <c r="M228" s="1">
        <v>501</v>
      </c>
      <c r="N228" s="1" t="str">
        <f t="shared" si="46"/>
        <v>202+465</v>
      </c>
      <c r="O228" t="str">
        <f t="shared" si="47"/>
        <v>DB</v>
      </c>
    </row>
    <row r="229" spans="1:15" x14ac:dyDescent="0.2">
      <c r="A229" t="s">
        <v>444</v>
      </c>
      <c r="B229" t="s">
        <v>445</v>
      </c>
      <c r="G229" s="1" t="str">
        <f t="shared" si="43"/>
        <v>104.4450</v>
      </c>
      <c r="H229" s="1" t="str">
        <f t="shared" si="44"/>
        <v xml:space="preserve"> 17.3037</v>
      </c>
      <c r="K229" s="1" t="str">
        <f t="shared" si="45"/>
        <v>MD82</v>
      </c>
      <c r="L229" s="1">
        <v>22</v>
      </c>
      <c r="M229" s="1">
        <v>501</v>
      </c>
      <c r="N229" s="1" t="str">
        <f t="shared" si="46"/>
        <v>202+470</v>
      </c>
      <c r="O229" t="str">
        <f t="shared" si="47"/>
        <v>DB</v>
      </c>
    </row>
    <row r="230" spans="1:15" x14ac:dyDescent="0.2">
      <c r="A230" t="s">
        <v>446</v>
      </c>
      <c r="B230" t="s">
        <v>447</v>
      </c>
      <c r="G230" s="1" t="str">
        <f t="shared" si="43"/>
        <v>104.4452</v>
      </c>
      <c r="H230" s="1" t="str">
        <f t="shared" si="44"/>
        <v xml:space="preserve"> 17.3035</v>
      </c>
      <c r="K230" s="1" t="str">
        <f t="shared" si="45"/>
        <v>MD83</v>
      </c>
      <c r="L230" s="1">
        <v>22</v>
      </c>
      <c r="M230" s="1">
        <v>501</v>
      </c>
      <c r="N230" s="1" t="str">
        <f t="shared" si="46"/>
        <v>202+505</v>
      </c>
      <c r="O230" t="str">
        <f t="shared" si="47"/>
        <v>DB</v>
      </c>
    </row>
    <row r="231" spans="1:15" x14ac:dyDescent="0.2">
      <c r="A231" t="s">
        <v>448</v>
      </c>
      <c r="B231" t="s">
        <v>449</v>
      </c>
      <c r="G231" s="1" t="str">
        <f t="shared" si="43"/>
        <v>104.4455</v>
      </c>
      <c r="H231" s="1" t="str">
        <f t="shared" si="44"/>
        <v xml:space="preserve"> 17.3033</v>
      </c>
      <c r="K231" s="1" t="str">
        <f t="shared" si="45"/>
        <v>MD84</v>
      </c>
      <c r="L231" s="1">
        <v>22</v>
      </c>
      <c r="M231" s="1">
        <v>501</v>
      </c>
      <c r="N231" s="1" t="str">
        <f t="shared" si="46"/>
        <v>202+540</v>
      </c>
      <c r="O231" t="str">
        <f t="shared" si="47"/>
        <v>DB</v>
      </c>
    </row>
    <row r="232" spans="1:15" x14ac:dyDescent="0.2">
      <c r="A232" t="s">
        <v>450</v>
      </c>
      <c r="B232" t="s">
        <v>451</v>
      </c>
      <c r="G232" s="1" t="str">
        <f t="shared" si="43"/>
        <v>104.4457</v>
      </c>
      <c r="H232" s="1" t="str">
        <f t="shared" si="44"/>
        <v xml:space="preserve"> 17.3031</v>
      </c>
      <c r="K232" s="1" t="str">
        <f t="shared" si="45"/>
        <v>MD85</v>
      </c>
      <c r="L232" s="1">
        <v>22</v>
      </c>
      <c r="M232" s="1">
        <v>501</v>
      </c>
      <c r="N232" s="1" t="str">
        <f t="shared" si="46"/>
        <v>202+575</v>
      </c>
      <c r="O232" t="str">
        <f t="shared" si="47"/>
        <v>DB</v>
      </c>
    </row>
    <row r="233" spans="1:15" x14ac:dyDescent="0.2">
      <c r="A233" t="s">
        <v>452</v>
      </c>
      <c r="B233" t="s">
        <v>453</v>
      </c>
      <c r="G233" s="1" t="str">
        <f t="shared" si="43"/>
        <v>104.4460</v>
      </c>
      <c r="H233" s="1" t="str">
        <f>MID(A233,18,7)</f>
        <v>17.3029</v>
      </c>
      <c r="K233" s="1" t="str">
        <f t="shared" si="45"/>
        <v>MD86</v>
      </c>
      <c r="L233" s="1">
        <v>22</v>
      </c>
      <c r="M233" s="1">
        <v>501</v>
      </c>
      <c r="N233" s="1" t="str">
        <f t="shared" si="46"/>
        <v>202+610</v>
      </c>
      <c r="O233" t="str">
        <f t="shared" si="47"/>
        <v>DB</v>
      </c>
    </row>
    <row r="234" spans="1:15" x14ac:dyDescent="0.2">
      <c r="A234" t="s">
        <v>454</v>
      </c>
      <c r="B234" t="s">
        <v>455</v>
      </c>
      <c r="G234" s="1" t="str">
        <f t="shared" si="43"/>
        <v>104.4462</v>
      </c>
      <c r="H234" s="1" t="str">
        <f t="shared" si="44"/>
        <v xml:space="preserve"> 17.3028</v>
      </c>
      <c r="K234" s="1" t="str">
        <f t="shared" si="45"/>
        <v>MD87</v>
      </c>
      <c r="L234" s="1">
        <v>22</v>
      </c>
      <c r="M234" s="1">
        <v>501</v>
      </c>
      <c r="N234" s="1" t="str">
        <f t="shared" si="46"/>
        <v>202+645</v>
      </c>
      <c r="O234" t="str">
        <f t="shared" si="47"/>
        <v>DB</v>
      </c>
    </row>
    <row r="235" spans="1:15" x14ac:dyDescent="0.2">
      <c r="A235" t="s">
        <v>456</v>
      </c>
      <c r="B235" t="s">
        <v>457</v>
      </c>
      <c r="G235" s="1" t="str">
        <f t="shared" si="43"/>
        <v>104.4465</v>
      </c>
      <c r="H235" s="1" t="str">
        <f t="shared" si="44"/>
        <v xml:space="preserve"> 17.3026</v>
      </c>
      <c r="K235" s="1" t="str">
        <f t="shared" si="45"/>
        <v>MD88</v>
      </c>
      <c r="L235" s="1">
        <v>22</v>
      </c>
      <c r="M235" s="1">
        <v>501</v>
      </c>
      <c r="N235" s="1" t="str">
        <f t="shared" si="46"/>
        <v>202+680</v>
      </c>
      <c r="O235" t="str">
        <f t="shared" si="47"/>
        <v>DB</v>
      </c>
    </row>
    <row r="236" spans="1:15" x14ac:dyDescent="0.2">
      <c r="A236" t="s">
        <v>458</v>
      </c>
      <c r="B236" t="s">
        <v>459</v>
      </c>
      <c r="G236" s="1" t="str">
        <f t="shared" si="43"/>
        <v>104.4467</v>
      </c>
      <c r="H236" s="1" t="str">
        <f t="shared" si="44"/>
        <v xml:space="preserve"> 17.3024</v>
      </c>
      <c r="K236" s="1" t="str">
        <f t="shared" si="45"/>
        <v>MD89</v>
      </c>
      <c r="L236" s="1">
        <v>22</v>
      </c>
      <c r="M236" s="1">
        <v>501</v>
      </c>
      <c r="N236" s="1" t="str">
        <f t="shared" si="46"/>
        <v>202+715</v>
      </c>
      <c r="O236" t="str">
        <f t="shared" si="47"/>
        <v>DB</v>
      </c>
    </row>
    <row r="237" spans="1:15" x14ac:dyDescent="0.2">
      <c r="A237" t="s">
        <v>460</v>
      </c>
      <c r="B237" t="s">
        <v>461</v>
      </c>
      <c r="G237" s="1" t="str">
        <f t="shared" si="43"/>
        <v>104.4470</v>
      </c>
      <c r="H237" s="1" t="str">
        <f t="shared" si="44"/>
        <v xml:space="preserve"> 17.3022</v>
      </c>
      <c r="K237" s="1" t="str">
        <f t="shared" si="45"/>
        <v>MD90</v>
      </c>
      <c r="L237" s="1">
        <v>22</v>
      </c>
      <c r="M237" s="1">
        <v>501</v>
      </c>
      <c r="N237" s="1" t="str">
        <f t="shared" si="46"/>
        <v>202+750</v>
      </c>
      <c r="O237" t="str">
        <f t="shared" si="47"/>
        <v>DB</v>
      </c>
    </row>
    <row r="238" spans="1:15" x14ac:dyDescent="0.2">
      <c r="A238" t="s">
        <v>462</v>
      </c>
      <c r="B238" t="s">
        <v>463</v>
      </c>
      <c r="G238" s="1" t="str">
        <f t="shared" si="43"/>
        <v>104.4472</v>
      </c>
      <c r="H238" s="1" t="str">
        <f t="shared" si="44"/>
        <v xml:space="preserve"> 17.3020</v>
      </c>
      <c r="K238" s="1" t="str">
        <f t="shared" si="45"/>
        <v>MD91</v>
      </c>
      <c r="L238" s="1">
        <v>22</v>
      </c>
      <c r="M238" s="1">
        <v>501</v>
      </c>
      <c r="N238" s="1" t="str">
        <f t="shared" si="46"/>
        <v>202+785</v>
      </c>
      <c r="O238" t="str">
        <f t="shared" si="47"/>
        <v>DB</v>
      </c>
    </row>
    <row r="239" spans="1:15" x14ac:dyDescent="0.2">
      <c r="A239" t="s">
        <v>464</v>
      </c>
      <c r="B239" t="s">
        <v>465</v>
      </c>
      <c r="G239" s="1" t="str">
        <f t="shared" si="43"/>
        <v>104.4475</v>
      </c>
      <c r="H239" s="1" t="str">
        <f t="shared" si="44"/>
        <v xml:space="preserve"> 17.3019</v>
      </c>
      <c r="K239" s="1" t="str">
        <f t="shared" si="45"/>
        <v>MD92</v>
      </c>
      <c r="L239" s="1">
        <v>22</v>
      </c>
      <c r="M239" s="1">
        <v>501</v>
      </c>
      <c r="N239" s="1" t="str">
        <f t="shared" si="46"/>
        <v>202+820</v>
      </c>
      <c r="O239" t="str">
        <f t="shared" si="47"/>
        <v>DB</v>
      </c>
    </row>
    <row r="240" spans="1:15" x14ac:dyDescent="0.2">
      <c r="A240" t="s">
        <v>466</v>
      </c>
      <c r="B240" t="s">
        <v>467</v>
      </c>
      <c r="G240" s="1" t="str">
        <f t="shared" si="43"/>
        <v>104.4477</v>
      </c>
      <c r="H240" s="1" t="str">
        <f t="shared" si="44"/>
        <v xml:space="preserve"> 17.3017</v>
      </c>
      <c r="K240" s="1" t="str">
        <f t="shared" si="45"/>
        <v>MD93</v>
      </c>
      <c r="L240" s="1">
        <v>22</v>
      </c>
      <c r="M240" s="1">
        <v>501</v>
      </c>
      <c r="N240" s="1" t="str">
        <f t="shared" si="46"/>
        <v>202+855</v>
      </c>
      <c r="O240" t="str">
        <f t="shared" si="47"/>
        <v>DB</v>
      </c>
    </row>
    <row r="241" spans="1:15" x14ac:dyDescent="0.2">
      <c r="A241" t="s">
        <v>468</v>
      </c>
      <c r="B241" t="s">
        <v>469</v>
      </c>
      <c r="G241" s="1" t="str">
        <f t="shared" si="43"/>
        <v>104.4478</v>
      </c>
      <c r="H241" s="1" t="str">
        <f t="shared" si="44"/>
        <v xml:space="preserve"> 17.3016</v>
      </c>
      <c r="K241" s="1" t="str">
        <f t="shared" si="45"/>
        <v>MD94</v>
      </c>
      <c r="L241" s="1">
        <v>22</v>
      </c>
      <c r="M241" s="1">
        <v>501</v>
      </c>
      <c r="N241" s="1" t="str">
        <f t="shared" si="46"/>
        <v>202+890</v>
      </c>
      <c r="O241" t="str">
        <f t="shared" si="47"/>
        <v>DB</v>
      </c>
    </row>
    <row r="242" spans="1:15" x14ac:dyDescent="0.2">
      <c r="A242" t="s">
        <v>470</v>
      </c>
      <c r="B242" t="s">
        <v>471</v>
      </c>
      <c r="G242" s="1" t="str">
        <f t="shared" si="43"/>
        <v>104.4480</v>
      </c>
      <c r="H242" s="1" t="str">
        <f t="shared" si="44"/>
        <v xml:space="preserve"> 17.3015</v>
      </c>
      <c r="K242" s="1" t="str">
        <f t="shared" si="45"/>
        <v>MD95</v>
      </c>
      <c r="L242" s="1">
        <v>22</v>
      </c>
      <c r="M242" s="1">
        <v>501</v>
      </c>
      <c r="N242" s="1" t="str">
        <f t="shared" si="46"/>
        <v>202+925</v>
      </c>
      <c r="O242" t="str">
        <f t="shared" si="47"/>
        <v>DB</v>
      </c>
    </row>
    <row r="243" spans="1:15" x14ac:dyDescent="0.2">
      <c r="A243" t="s">
        <v>472</v>
      </c>
      <c r="B243" t="s">
        <v>473</v>
      </c>
      <c r="G243" s="1" t="str">
        <f t="shared" si="43"/>
        <v>104.4482</v>
      </c>
      <c r="H243" s="1" t="str">
        <f t="shared" si="44"/>
        <v xml:space="preserve"> 17.3014</v>
      </c>
      <c r="K243" s="1" t="str">
        <f t="shared" si="45"/>
        <v>MD96</v>
      </c>
      <c r="L243" s="1">
        <v>22</v>
      </c>
      <c r="M243" s="1">
        <v>501</v>
      </c>
      <c r="N243" s="1" t="str">
        <f t="shared" si="46"/>
        <v>202+960</v>
      </c>
      <c r="O243" t="str">
        <f t="shared" si="47"/>
        <v>DB</v>
      </c>
    </row>
    <row r="244" spans="1:15" x14ac:dyDescent="0.2">
      <c r="A244" t="s">
        <v>474</v>
      </c>
      <c r="B244" t="s">
        <v>475</v>
      </c>
      <c r="G244" s="1" t="str">
        <f t="shared" si="43"/>
        <v>104.4485</v>
      </c>
      <c r="H244" s="1" t="str">
        <f t="shared" si="44"/>
        <v xml:space="preserve"> 17.3012</v>
      </c>
      <c r="K244" s="1" t="str">
        <f t="shared" si="45"/>
        <v>MD97</v>
      </c>
      <c r="L244" s="1">
        <v>22</v>
      </c>
      <c r="M244" s="1">
        <v>501</v>
      </c>
      <c r="N244" s="1" t="str">
        <f t="shared" si="46"/>
        <v>202+995</v>
      </c>
      <c r="O244" t="str">
        <f t="shared" si="47"/>
        <v>DB</v>
      </c>
    </row>
    <row r="245" spans="1:15" x14ac:dyDescent="0.2">
      <c r="A245" t="s">
        <v>476</v>
      </c>
      <c r="B245" t="s">
        <v>477</v>
      </c>
      <c r="G245" s="1" t="str">
        <f t="shared" si="43"/>
        <v>104.4487</v>
      </c>
      <c r="H245" s="1" t="str">
        <f>MID(A245,18,7)</f>
        <v>17.3011</v>
      </c>
      <c r="K245" s="1" t="str">
        <f t="shared" si="45"/>
        <v>MD98</v>
      </c>
      <c r="L245" s="1">
        <v>22</v>
      </c>
      <c r="M245" s="1">
        <v>501</v>
      </c>
      <c r="N245" s="1" t="str">
        <f t="shared" si="46"/>
        <v>203+030</v>
      </c>
      <c r="O245" t="str">
        <f t="shared" si="47"/>
        <v>DB</v>
      </c>
    </row>
    <row r="246" spans="1:15" x14ac:dyDescent="0.2">
      <c r="A246" t="s">
        <v>478</v>
      </c>
      <c r="B246" t="s">
        <v>479</v>
      </c>
      <c r="G246" s="1" t="str">
        <f t="shared" si="43"/>
        <v>104.4490</v>
      </c>
      <c r="H246" s="1" t="str">
        <f t="shared" si="44"/>
        <v xml:space="preserve"> 17.3009</v>
      </c>
      <c r="K246" s="1" t="str">
        <f t="shared" si="45"/>
        <v>MD99</v>
      </c>
      <c r="L246" s="1">
        <v>22</v>
      </c>
      <c r="M246" s="1">
        <v>501</v>
      </c>
      <c r="N246" s="1" t="str">
        <f t="shared" si="46"/>
        <v>203+065</v>
      </c>
      <c r="O246" t="str">
        <f t="shared" si="47"/>
        <v>DB</v>
      </c>
    </row>
    <row r="247" spans="1:15" x14ac:dyDescent="0.2">
      <c r="A247" t="s">
        <v>480</v>
      </c>
      <c r="B247" t="s">
        <v>481</v>
      </c>
      <c r="G247" s="1" t="str">
        <f t="shared" si="43"/>
        <v>104.4494</v>
      </c>
      <c r="H247" s="1" t="str">
        <f t="shared" si="44"/>
        <v xml:space="preserve"> 17.3008</v>
      </c>
      <c r="K247" s="1" t="str">
        <f t="shared" ref="K247:K278" si="48">MID(B247,1,5)</f>
        <v>MD100</v>
      </c>
      <c r="L247" s="1">
        <v>22</v>
      </c>
      <c r="M247" s="1">
        <v>501</v>
      </c>
      <c r="N247" s="1" t="str">
        <f>MID(B247,18,7)</f>
        <v>203+100</v>
      </c>
      <c r="O247" t="str">
        <f>MID(B247,7,2)</f>
        <v>DB</v>
      </c>
    </row>
    <row r="248" spans="1:15" x14ac:dyDescent="0.2">
      <c r="A248" t="s">
        <v>482</v>
      </c>
      <c r="B248" t="s">
        <v>483</v>
      </c>
      <c r="G248" s="1" t="str">
        <f t="shared" si="43"/>
        <v>104.4496</v>
      </c>
      <c r="H248" s="1" t="str">
        <f t="shared" si="44"/>
        <v xml:space="preserve"> 17.3007</v>
      </c>
      <c r="K248" s="1" t="str">
        <f t="shared" si="48"/>
        <v>MD101</v>
      </c>
      <c r="L248" s="1">
        <v>22</v>
      </c>
      <c r="M248" s="1">
        <v>501</v>
      </c>
      <c r="N248" s="1" t="str">
        <f t="shared" ref="N248:N311" si="49">MID(B248,18,7)</f>
        <v>203+135</v>
      </c>
      <c r="O248" t="str">
        <f t="shared" ref="O248:O313" si="50">MID(B248,7,2)</f>
        <v>DB</v>
      </c>
    </row>
    <row r="249" spans="1:15" x14ac:dyDescent="0.2">
      <c r="A249" t="s">
        <v>484</v>
      </c>
      <c r="B249" t="s">
        <v>485</v>
      </c>
      <c r="G249" s="1" t="str">
        <f t="shared" si="43"/>
        <v>104.4499</v>
      </c>
      <c r="H249" s="1" t="str">
        <f t="shared" si="44"/>
        <v xml:space="preserve"> 17.3005</v>
      </c>
      <c r="K249" s="1" t="str">
        <f t="shared" si="48"/>
        <v>MD102</v>
      </c>
      <c r="L249" s="1">
        <v>22</v>
      </c>
      <c r="M249" s="1">
        <v>501</v>
      </c>
      <c r="N249" s="1" t="str">
        <f t="shared" si="49"/>
        <v>203+170</v>
      </c>
      <c r="O249" t="str">
        <f t="shared" si="50"/>
        <v>DB</v>
      </c>
    </row>
    <row r="250" spans="1:15" x14ac:dyDescent="0.2">
      <c r="A250" t="s">
        <v>486</v>
      </c>
      <c r="B250" t="s">
        <v>487</v>
      </c>
      <c r="G250" s="1" t="str">
        <f t="shared" si="43"/>
        <v>104.4501</v>
      </c>
      <c r="H250" s="1" t="str">
        <f t="shared" si="44"/>
        <v xml:space="preserve"> 17.3004</v>
      </c>
      <c r="K250" s="1" t="str">
        <f t="shared" si="48"/>
        <v>MD103</v>
      </c>
      <c r="L250" s="1">
        <v>22</v>
      </c>
      <c r="M250" s="1">
        <v>501</v>
      </c>
      <c r="N250" s="1" t="str">
        <f t="shared" si="49"/>
        <v>203+205</v>
      </c>
      <c r="O250" t="str">
        <f t="shared" si="50"/>
        <v>DB</v>
      </c>
    </row>
    <row r="251" spans="1:15" x14ac:dyDescent="0.2">
      <c r="A251" t="s">
        <v>488</v>
      </c>
      <c r="B251" t="s">
        <v>489</v>
      </c>
      <c r="G251" s="1" t="str">
        <f t="shared" si="43"/>
        <v>104.4504</v>
      </c>
      <c r="H251" s="1" t="str">
        <f t="shared" si="44"/>
        <v xml:space="preserve"> 17.3003</v>
      </c>
      <c r="K251" s="1" t="str">
        <f t="shared" si="48"/>
        <v>MD104</v>
      </c>
      <c r="L251" s="1">
        <v>22</v>
      </c>
      <c r="M251" s="1">
        <v>501</v>
      </c>
      <c r="N251" s="1" t="str">
        <f t="shared" si="49"/>
        <v>203+240</v>
      </c>
      <c r="O251" t="str">
        <f t="shared" si="50"/>
        <v>DB</v>
      </c>
    </row>
    <row r="252" spans="1:15" x14ac:dyDescent="0.2">
      <c r="A252" t="s">
        <v>490</v>
      </c>
      <c r="B252" t="s">
        <v>491</v>
      </c>
      <c r="G252" s="1" t="str">
        <f t="shared" si="43"/>
        <v>104.4507</v>
      </c>
      <c r="H252" s="1" t="str">
        <f t="shared" si="44"/>
        <v xml:space="preserve"> 17.3002</v>
      </c>
      <c r="K252" s="1" t="str">
        <f t="shared" si="48"/>
        <v>MD105</v>
      </c>
      <c r="L252" s="1">
        <v>22</v>
      </c>
      <c r="M252" s="1">
        <v>501</v>
      </c>
      <c r="N252" s="1" t="str">
        <f t="shared" si="49"/>
        <v>203+275</v>
      </c>
      <c r="O252" t="str">
        <f t="shared" si="50"/>
        <v>DB</v>
      </c>
    </row>
    <row r="253" spans="1:15" x14ac:dyDescent="0.2">
      <c r="A253" t="s">
        <v>492</v>
      </c>
      <c r="B253" t="s">
        <v>493</v>
      </c>
      <c r="G253" s="1" t="str">
        <f t="shared" si="43"/>
        <v>104.4510</v>
      </c>
      <c r="H253" s="1" t="str">
        <f t="shared" si="44"/>
        <v xml:space="preserve"> 17.3001</v>
      </c>
      <c r="K253" s="1" t="str">
        <f t="shared" si="48"/>
        <v>MD106</v>
      </c>
      <c r="L253" s="1">
        <v>22</v>
      </c>
      <c r="M253" s="1">
        <v>501</v>
      </c>
      <c r="N253" s="1" t="str">
        <f t="shared" si="49"/>
        <v>203+310</v>
      </c>
      <c r="O253" t="str">
        <f t="shared" si="50"/>
        <v>DB</v>
      </c>
    </row>
    <row r="254" spans="1:15" x14ac:dyDescent="0.2">
      <c r="A254" t="s">
        <v>494</v>
      </c>
      <c r="B254" t="s">
        <v>1159</v>
      </c>
      <c r="G254" s="1" t="str">
        <f t="shared" si="43"/>
        <v>104.4513</v>
      </c>
      <c r="H254" s="1" t="str">
        <f t="shared" si="44"/>
        <v xml:space="preserve"> 17.3000</v>
      </c>
      <c r="K254" s="1" t="str">
        <f t="shared" si="48"/>
        <v>MD107</v>
      </c>
      <c r="L254" s="1">
        <v>22</v>
      </c>
      <c r="M254" s="1">
        <v>501</v>
      </c>
      <c r="N254" s="1" t="str">
        <f t="shared" si="49"/>
        <v>203+345</v>
      </c>
      <c r="O254" t="str">
        <f t="shared" si="50"/>
        <v>DB</v>
      </c>
    </row>
    <row r="255" spans="1:15" x14ac:dyDescent="0.2">
      <c r="A255" t="s">
        <v>495</v>
      </c>
      <c r="B255" t="s">
        <v>496</v>
      </c>
      <c r="G255" s="1" t="str">
        <f t="shared" si="43"/>
        <v>104.4516</v>
      </c>
      <c r="H255" s="1" t="str">
        <f t="shared" si="44"/>
        <v xml:space="preserve"> 17.2999</v>
      </c>
      <c r="K255" s="1" t="str">
        <f t="shared" si="48"/>
        <v>MD107</v>
      </c>
      <c r="L255" s="1">
        <v>22</v>
      </c>
      <c r="M255" s="1">
        <v>501</v>
      </c>
      <c r="N255" s="1" t="str">
        <f t="shared" si="49"/>
        <v>203+380</v>
      </c>
      <c r="O255" t="str">
        <f t="shared" si="50"/>
        <v>DB</v>
      </c>
    </row>
    <row r="256" spans="1:15" x14ac:dyDescent="0.2">
      <c r="A256" t="s">
        <v>497</v>
      </c>
      <c r="B256" t="s">
        <v>498</v>
      </c>
      <c r="G256" s="1" t="str">
        <f t="shared" si="43"/>
        <v>104.4519</v>
      </c>
      <c r="H256" s="1" t="str">
        <f t="shared" si="44"/>
        <v xml:space="preserve"> 17.2998</v>
      </c>
      <c r="K256" s="1" t="str">
        <f t="shared" si="48"/>
        <v>MD108</v>
      </c>
      <c r="L256" s="1">
        <v>22</v>
      </c>
      <c r="M256" s="1">
        <v>501</v>
      </c>
      <c r="N256" s="1" t="str">
        <f t="shared" si="49"/>
        <v>203+415</v>
      </c>
      <c r="O256" t="str">
        <f t="shared" si="50"/>
        <v>DB</v>
      </c>
    </row>
    <row r="257" spans="1:15" x14ac:dyDescent="0.2">
      <c r="A257" t="s">
        <v>499</v>
      </c>
      <c r="B257" t="s">
        <v>2421</v>
      </c>
      <c r="G257" s="1" t="str">
        <f t="shared" si="43"/>
        <v>104.4522</v>
      </c>
      <c r="H257" s="1" t="str">
        <f t="shared" si="44"/>
        <v xml:space="preserve"> 17.2996</v>
      </c>
      <c r="K257" s="1" t="str">
        <f t="shared" si="48"/>
        <v>MD109</v>
      </c>
      <c r="L257" s="1">
        <v>22</v>
      </c>
      <c r="M257" s="1">
        <v>501</v>
      </c>
      <c r="N257" s="1" t="str">
        <f t="shared" si="49"/>
        <v>203+500</v>
      </c>
      <c r="O257" t="str">
        <f t="shared" si="50"/>
        <v>DB</v>
      </c>
    </row>
    <row r="258" spans="1:15" x14ac:dyDescent="0.2">
      <c r="A258" t="s">
        <v>500</v>
      </c>
      <c r="B258" t="s">
        <v>1176</v>
      </c>
      <c r="G258" s="1" t="str">
        <f t="shared" si="43"/>
        <v>104.4525</v>
      </c>
      <c r="H258" s="1" t="str">
        <f t="shared" si="44"/>
        <v xml:space="preserve"> 17.2995</v>
      </c>
      <c r="K258" s="1" t="str">
        <f t="shared" si="48"/>
        <v>MD110</v>
      </c>
      <c r="L258" s="1">
        <v>22</v>
      </c>
      <c r="M258" s="1">
        <v>501</v>
      </c>
      <c r="N258" s="1" t="str">
        <f t="shared" si="49"/>
        <v>203+485</v>
      </c>
      <c r="O258" t="str">
        <f t="shared" si="50"/>
        <v>DB</v>
      </c>
    </row>
    <row r="259" spans="1:15" x14ac:dyDescent="0.2">
      <c r="A259" t="s">
        <v>501</v>
      </c>
      <c r="B259" t="s">
        <v>502</v>
      </c>
      <c r="G259" s="1" t="str">
        <f t="shared" ref="G259:G322" si="51">MID(A259,8,8)</f>
        <v>104.4527</v>
      </c>
      <c r="H259" s="1" t="str">
        <f t="shared" ref="H259:H321" si="52">MID(A259,18,8)</f>
        <v xml:space="preserve"> 17.2994</v>
      </c>
      <c r="K259" s="1" t="str">
        <f t="shared" si="48"/>
        <v>MD111</v>
      </c>
      <c r="L259" s="1">
        <v>22</v>
      </c>
      <c r="M259" s="1">
        <v>501</v>
      </c>
      <c r="N259" s="1" t="str">
        <f t="shared" si="49"/>
        <v>203+520</v>
      </c>
      <c r="O259" t="str">
        <f t="shared" si="50"/>
        <v>DB</v>
      </c>
    </row>
    <row r="260" spans="1:15" x14ac:dyDescent="0.2">
      <c r="A260" t="s">
        <v>503</v>
      </c>
      <c r="B260" t="s">
        <v>504</v>
      </c>
      <c r="G260" s="1" t="str">
        <f t="shared" si="51"/>
        <v>104.4530</v>
      </c>
      <c r="H260" s="1" t="str">
        <f t="shared" si="52"/>
        <v xml:space="preserve"> 17.2993</v>
      </c>
      <c r="K260" s="1" t="str">
        <f t="shared" si="48"/>
        <v>MD112</v>
      </c>
      <c r="L260" s="1">
        <v>22</v>
      </c>
      <c r="M260" s="1">
        <v>501</v>
      </c>
      <c r="N260" s="1" t="str">
        <f t="shared" si="49"/>
        <v>203+555</v>
      </c>
      <c r="O260" t="str">
        <f t="shared" si="50"/>
        <v>DB</v>
      </c>
    </row>
    <row r="261" spans="1:15" x14ac:dyDescent="0.2">
      <c r="A261" t="s">
        <v>505</v>
      </c>
      <c r="B261" t="s">
        <v>506</v>
      </c>
      <c r="G261" s="1" t="str">
        <f t="shared" si="51"/>
        <v>104.4533</v>
      </c>
      <c r="H261" s="1" t="str">
        <f t="shared" si="52"/>
        <v xml:space="preserve"> 17.2992</v>
      </c>
      <c r="K261" s="1" t="str">
        <f t="shared" si="48"/>
        <v>MD113</v>
      </c>
      <c r="L261" s="1">
        <v>22</v>
      </c>
      <c r="M261" s="1">
        <v>501</v>
      </c>
      <c r="N261" s="1" t="str">
        <f t="shared" si="49"/>
        <v>203+590</v>
      </c>
      <c r="O261" t="str">
        <f t="shared" si="50"/>
        <v>DB</v>
      </c>
    </row>
    <row r="262" spans="1:15" x14ac:dyDescent="0.2">
      <c r="A262" t="s">
        <v>507</v>
      </c>
      <c r="B262" t="s">
        <v>508</v>
      </c>
      <c r="G262" s="1" t="str">
        <f t="shared" si="51"/>
        <v>104.4536</v>
      </c>
      <c r="H262" s="1" t="str">
        <f t="shared" si="52"/>
        <v xml:space="preserve"> 17.2991</v>
      </c>
      <c r="K262" s="1" t="str">
        <f t="shared" si="48"/>
        <v>MD114</v>
      </c>
      <c r="L262" s="1">
        <v>22</v>
      </c>
      <c r="M262" s="1">
        <v>501</v>
      </c>
      <c r="N262" s="1" t="str">
        <f t="shared" si="49"/>
        <v>203+625</v>
      </c>
      <c r="O262" t="str">
        <f t="shared" si="50"/>
        <v>DB</v>
      </c>
    </row>
    <row r="263" spans="1:15" x14ac:dyDescent="0.2">
      <c r="A263" t="s">
        <v>509</v>
      </c>
      <c r="B263" t="s">
        <v>510</v>
      </c>
      <c r="G263" s="1" t="str">
        <f t="shared" si="51"/>
        <v>104.4539</v>
      </c>
      <c r="H263" s="1" t="str">
        <f t="shared" si="52"/>
        <v xml:space="preserve"> 17.2990</v>
      </c>
      <c r="K263" s="1" t="str">
        <f t="shared" si="48"/>
        <v>MD115</v>
      </c>
      <c r="L263" s="1">
        <v>22</v>
      </c>
      <c r="M263" s="1">
        <v>501</v>
      </c>
      <c r="N263" s="1" t="str">
        <f t="shared" si="49"/>
        <v>203+660</v>
      </c>
      <c r="O263" t="str">
        <f t="shared" si="50"/>
        <v>DB</v>
      </c>
    </row>
    <row r="264" spans="1:15" x14ac:dyDescent="0.2">
      <c r="A264" t="s">
        <v>511</v>
      </c>
      <c r="B264" t="s">
        <v>512</v>
      </c>
      <c r="G264" s="1" t="str">
        <f t="shared" si="51"/>
        <v>104.4542</v>
      </c>
      <c r="H264" s="1" t="str">
        <f t="shared" si="52"/>
        <v xml:space="preserve"> 17.2989</v>
      </c>
      <c r="K264" s="1" t="str">
        <f t="shared" si="48"/>
        <v>MD116</v>
      </c>
      <c r="L264" s="1">
        <v>22</v>
      </c>
      <c r="M264" s="1">
        <v>501</v>
      </c>
      <c r="N264" s="1" t="str">
        <f t="shared" si="49"/>
        <v>203+695</v>
      </c>
      <c r="O264" t="str">
        <f t="shared" si="50"/>
        <v>DB</v>
      </c>
    </row>
    <row r="265" spans="1:15" x14ac:dyDescent="0.2">
      <c r="A265" t="s">
        <v>513</v>
      </c>
      <c r="B265" t="s">
        <v>514</v>
      </c>
      <c r="G265" s="1" t="str">
        <f t="shared" si="51"/>
        <v>104.4545</v>
      </c>
      <c r="H265" s="1" t="str">
        <f t="shared" si="52"/>
        <v xml:space="preserve"> 17.2988</v>
      </c>
      <c r="K265" s="1" t="str">
        <f t="shared" si="48"/>
        <v>MD117</v>
      </c>
      <c r="L265" s="1">
        <v>22</v>
      </c>
      <c r="M265" s="1">
        <v>501</v>
      </c>
      <c r="N265" s="1" t="str">
        <f t="shared" si="49"/>
        <v>203+730</v>
      </c>
      <c r="O265" t="str">
        <f t="shared" si="50"/>
        <v>DB</v>
      </c>
    </row>
    <row r="266" spans="1:15" x14ac:dyDescent="0.2">
      <c r="A266" t="s">
        <v>515</v>
      </c>
      <c r="B266" t="s">
        <v>516</v>
      </c>
      <c r="G266" s="1" t="str">
        <f t="shared" si="51"/>
        <v>104.4548</v>
      </c>
      <c r="H266" s="1" t="str">
        <f t="shared" si="52"/>
        <v xml:space="preserve"> 17.2986</v>
      </c>
      <c r="K266" s="1" t="str">
        <f t="shared" si="48"/>
        <v>MD118</v>
      </c>
      <c r="L266" s="1">
        <v>22</v>
      </c>
      <c r="M266" s="1">
        <v>501</v>
      </c>
      <c r="N266" s="1" t="str">
        <f>MID(B266,18,7)</f>
        <v>203+765</v>
      </c>
      <c r="O266" t="str">
        <f t="shared" si="50"/>
        <v>DB</v>
      </c>
    </row>
    <row r="267" spans="1:15" x14ac:dyDescent="0.2">
      <c r="A267" t="s">
        <v>517</v>
      </c>
      <c r="B267" t="s">
        <v>518</v>
      </c>
      <c r="G267" s="1" t="str">
        <f t="shared" si="51"/>
        <v>104.4551</v>
      </c>
      <c r="H267" s="1" t="str">
        <f t="shared" si="52"/>
        <v xml:space="preserve"> 17.2985</v>
      </c>
      <c r="K267" s="1" t="str">
        <f t="shared" si="48"/>
        <v>MD119</v>
      </c>
      <c r="L267" s="1">
        <v>22</v>
      </c>
      <c r="M267" s="1">
        <v>501</v>
      </c>
      <c r="N267" s="1" t="str">
        <f t="shared" si="49"/>
        <v>203+800</v>
      </c>
      <c r="O267" t="str">
        <f t="shared" si="50"/>
        <v>DB</v>
      </c>
    </row>
    <row r="268" spans="1:15" x14ac:dyDescent="0.2">
      <c r="A268" t="s">
        <v>519</v>
      </c>
      <c r="B268" t="s">
        <v>520</v>
      </c>
      <c r="G268" s="1" t="str">
        <f t="shared" si="51"/>
        <v>104.4554</v>
      </c>
      <c r="H268" s="1" t="str">
        <f t="shared" si="52"/>
        <v xml:space="preserve"> 17.2984</v>
      </c>
      <c r="K268" s="1" t="str">
        <f t="shared" si="48"/>
        <v>MD120</v>
      </c>
      <c r="L268" s="1">
        <v>22</v>
      </c>
      <c r="M268" s="1">
        <v>501</v>
      </c>
      <c r="N268" s="1" t="str">
        <f t="shared" si="49"/>
        <v>203+835</v>
      </c>
      <c r="O268" t="str">
        <f t="shared" si="50"/>
        <v>DB</v>
      </c>
    </row>
    <row r="269" spans="1:15" x14ac:dyDescent="0.2">
      <c r="A269" t="s">
        <v>521</v>
      </c>
      <c r="B269" t="s">
        <v>522</v>
      </c>
      <c r="G269" s="1" t="str">
        <f t="shared" si="51"/>
        <v>104.4557</v>
      </c>
      <c r="H269" s="1" t="str">
        <f t="shared" si="52"/>
        <v xml:space="preserve"> 17.2983</v>
      </c>
      <c r="K269" s="1" t="str">
        <f t="shared" si="48"/>
        <v>MD121</v>
      </c>
      <c r="L269" s="1">
        <v>22</v>
      </c>
      <c r="M269" s="1">
        <v>501</v>
      </c>
      <c r="N269" s="1" t="str">
        <f t="shared" si="49"/>
        <v>203+870</v>
      </c>
      <c r="O269" t="str">
        <f t="shared" si="50"/>
        <v>DB</v>
      </c>
    </row>
    <row r="270" spans="1:15" x14ac:dyDescent="0.2">
      <c r="A270" t="s">
        <v>523</v>
      </c>
      <c r="B270" t="s">
        <v>524</v>
      </c>
      <c r="G270" s="1" t="str">
        <f t="shared" si="51"/>
        <v>104.4559</v>
      </c>
      <c r="H270" s="1" t="str">
        <f t="shared" si="52"/>
        <v xml:space="preserve"> 17.2982</v>
      </c>
      <c r="K270" s="1" t="str">
        <f t="shared" si="48"/>
        <v>MD122</v>
      </c>
      <c r="L270" s="1">
        <v>22</v>
      </c>
      <c r="M270" s="1">
        <v>501</v>
      </c>
      <c r="N270" s="1" t="str">
        <f t="shared" si="49"/>
        <v>203+905</v>
      </c>
      <c r="O270" t="str">
        <f t="shared" si="50"/>
        <v>DB</v>
      </c>
    </row>
    <row r="271" spans="1:15" x14ac:dyDescent="0.2">
      <c r="A271" t="s">
        <v>525</v>
      </c>
      <c r="B271" t="s">
        <v>526</v>
      </c>
      <c r="G271" s="1" t="str">
        <f t="shared" si="51"/>
        <v>104.4562</v>
      </c>
      <c r="H271" s="1" t="str">
        <f t="shared" si="52"/>
        <v xml:space="preserve"> 17.2981</v>
      </c>
      <c r="K271" s="1" t="str">
        <f t="shared" si="48"/>
        <v>MD123</v>
      </c>
      <c r="L271" s="1">
        <v>22</v>
      </c>
      <c r="M271" s="1">
        <v>501</v>
      </c>
      <c r="N271" s="1" t="str">
        <f t="shared" si="49"/>
        <v>203+940</v>
      </c>
      <c r="O271" t="str">
        <f t="shared" si="50"/>
        <v>DB</v>
      </c>
    </row>
    <row r="272" spans="1:15" x14ac:dyDescent="0.2">
      <c r="A272" t="s">
        <v>527</v>
      </c>
      <c r="B272" t="s">
        <v>528</v>
      </c>
      <c r="G272" s="1" t="str">
        <f t="shared" si="51"/>
        <v>104.4565</v>
      </c>
      <c r="H272" s="1" t="str">
        <f t="shared" si="52"/>
        <v xml:space="preserve"> 17.2980</v>
      </c>
      <c r="K272" s="1" t="str">
        <f t="shared" si="48"/>
        <v>MD124</v>
      </c>
      <c r="L272" s="1">
        <v>22</v>
      </c>
      <c r="M272" s="1">
        <v>501</v>
      </c>
      <c r="N272" s="1" t="str">
        <f t="shared" si="49"/>
        <v>203+975</v>
      </c>
      <c r="O272" t="str">
        <f t="shared" si="50"/>
        <v>DB</v>
      </c>
    </row>
    <row r="273" spans="1:15" x14ac:dyDescent="0.2">
      <c r="A273" t="s">
        <v>529</v>
      </c>
      <c r="B273" t="s">
        <v>530</v>
      </c>
      <c r="G273" s="1" t="str">
        <f t="shared" si="51"/>
        <v>104.4568</v>
      </c>
      <c r="H273" s="1" t="str">
        <f t="shared" si="52"/>
        <v xml:space="preserve"> 17.2979</v>
      </c>
      <c r="K273" s="1" t="str">
        <f t="shared" si="48"/>
        <v>MD125</v>
      </c>
      <c r="L273" s="1">
        <v>22</v>
      </c>
      <c r="M273" s="1">
        <v>501</v>
      </c>
      <c r="N273" s="1" t="str">
        <f t="shared" si="49"/>
        <v>204+010</v>
      </c>
      <c r="O273" t="str">
        <f t="shared" si="50"/>
        <v>DB</v>
      </c>
    </row>
    <row r="274" spans="1:15" x14ac:dyDescent="0.2">
      <c r="A274" t="s">
        <v>531</v>
      </c>
      <c r="B274" t="s">
        <v>532</v>
      </c>
      <c r="G274" s="1" t="str">
        <f t="shared" si="51"/>
        <v>104.4570</v>
      </c>
      <c r="H274" s="1" t="str">
        <f t="shared" si="52"/>
        <v xml:space="preserve"> 17.2978</v>
      </c>
      <c r="K274" s="1" t="str">
        <f t="shared" si="48"/>
        <v>MD126</v>
      </c>
      <c r="L274" s="1">
        <v>22</v>
      </c>
      <c r="M274" s="1">
        <v>501</v>
      </c>
      <c r="N274" s="1" t="str">
        <f t="shared" si="49"/>
        <v>204+045</v>
      </c>
      <c r="O274" t="str">
        <f t="shared" si="50"/>
        <v>DB</v>
      </c>
    </row>
    <row r="275" spans="1:15" x14ac:dyDescent="0.2">
      <c r="A275" t="s">
        <v>533</v>
      </c>
      <c r="B275" t="s">
        <v>534</v>
      </c>
      <c r="G275" s="1" t="str">
        <f t="shared" si="51"/>
        <v>104.4574</v>
      </c>
      <c r="H275" s="1" t="str">
        <f t="shared" si="52"/>
        <v xml:space="preserve"> 17.2976</v>
      </c>
      <c r="K275" s="1" t="str">
        <f t="shared" si="48"/>
        <v>MD127</v>
      </c>
      <c r="L275" s="1">
        <v>22</v>
      </c>
      <c r="M275" s="1">
        <v>501</v>
      </c>
      <c r="N275" s="1" t="str">
        <f t="shared" si="49"/>
        <v>204+080</v>
      </c>
      <c r="O275" t="str">
        <f t="shared" si="50"/>
        <v>DB</v>
      </c>
    </row>
    <row r="276" spans="1:15" x14ac:dyDescent="0.2">
      <c r="A276" t="s">
        <v>535</v>
      </c>
      <c r="B276" t="s">
        <v>536</v>
      </c>
      <c r="G276" s="1" t="str">
        <f t="shared" si="51"/>
        <v>104.4577</v>
      </c>
      <c r="H276" s="1" t="str">
        <f t="shared" si="52"/>
        <v xml:space="preserve"> 17.2975</v>
      </c>
      <c r="K276" s="1" t="str">
        <f t="shared" si="48"/>
        <v>MD128</v>
      </c>
      <c r="L276" s="1">
        <v>22</v>
      </c>
      <c r="M276" s="1">
        <v>501</v>
      </c>
      <c r="N276" s="1" t="str">
        <f t="shared" si="49"/>
        <v>204+115</v>
      </c>
      <c r="O276" t="str">
        <f t="shared" si="50"/>
        <v>DB</v>
      </c>
    </row>
    <row r="277" spans="1:15" x14ac:dyDescent="0.2">
      <c r="A277" t="s">
        <v>537</v>
      </c>
      <c r="B277" t="s">
        <v>538</v>
      </c>
      <c r="G277" s="1" t="str">
        <f t="shared" si="51"/>
        <v>104.4579</v>
      </c>
      <c r="H277" s="1" t="str">
        <f t="shared" si="52"/>
        <v xml:space="preserve"> 17.2974</v>
      </c>
      <c r="K277" s="1" t="str">
        <f t="shared" si="48"/>
        <v>MD129</v>
      </c>
      <c r="L277" s="1">
        <v>22</v>
      </c>
      <c r="M277" s="1">
        <v>501</v>
      </c>
      <c r="N277" s="1" t="str">
        <f t="shared" si="49"/>
        <v>204+150</v>
      </c>
      <c r="O277" t="str">
        <f t="shared" si="50"/>
        <v>DB</v>
      </c>
    </row>
    <row r="278" spans="1:15" x14ac:dyDescent="0.2">
      <c r="A278" t="s">
        <v>539</v>
      </c>
      <c r="B278" t="s">
        <v>540</v>
      </c>
      <c r="G278" s="1" t="str">
        <f t="shared" si="51"/>
        <v>104.4582</v>
      </c>
      <c r="H278" s="1" t="str">
        <f t="shared" si="52"/>
        <v xml:space="preserve"> 17.2973</v>
      </c>
      <c r="K278" s="1" t="str">
        <f t="shared" si="48"/>
        <v>MD130</v>
      </c>
      <c r="L278" s="1">
        <v>22</v>
      </c>
      <c r="M278" s="1">
        <v>501</v>
      </c>
      <c r="N278" s="1" t="str">
        <f>MID(B278,18,7)</f>
        <v>204+185</v>
      </c>
      <c r="O278" t="str">
        <f t="shared" si="50"/>
        <v>DB</v>
      </c>
    </row>
    <row r="279" spans="1:15" x14ac:dyDescent="0.2">
      <c r="A279" t="s">
        <v>541</v>
      </c>
      <c r="B279" t="s">
        <v>542</v>
      </c>
      <c r="G279" s="1" t="str">
        <f t="shared" si="51"/>
        <v>104.4585</v>
      </c>
      <c r="H279" s="1" t="str">
        <f t="shared" si="52"/>
        <v xml:space="preserve"> 17.2972</v>
      </c>
      <c r="K279" s="1" t="str">
        <f t="shared" ref="K279:K310" si="53">MID(B279,1,5)</f>
        <v>MD131</v>
      </c>
      <c r="L279" s="1">
        <v>22</v>
      </c>
      <c r="M279" s="1">
        <v>501</v>
      </c>
      <c r="N279" s="1" t="str">
        <f t="shared" si="49"/>
        <v>204+220</v>
      </c>
      <c r="O279" t="str">
        <f t="shared" si="50"/>
        <v>DB</v>
      </c>
    </row>
    <row r="280" spans="1:15" x14ac:dyDescent="0.2">
      <c r="A280" t="s">
        <v>543</v>
      </c>
      <c r="B280" t="s">
        <v>544</v>
      </c>
      <c r="G280" s="1" t="str">
        <f t="shared" si="51"/>
        <v>104.4588</v>
      </c>
      <c r="H280" s="1" t="str">
        <f>MID(A280,18,7)</f>
        <v>17.2971</v>
      </c>
      <c r="K280" s="1" t="str">
        <f t="shared" si="53"/>
        <v>MD132</v>
      </c>
      <c r="L280" s="1">
        <v>22</v>
      </c>
      <c r="M280" s="1">
        <v>501</v>
      </c>
      <c r="N280" s="1" t="str">
        <f t="shared" si="49"/>
        <v>204+255</v>
      </c>
      <c r="O280" t="str">
        <f t="shared" si="50"/>
        <v>DB</v>
      </c>
    </row>
    <row r="281" spans="1:15" x14ac:dyDescent="0.2">
      <c r="A281" t="s">
        <v>545</v>
      </c>
      <c r="B281" t="s">
        <v>546</v>
      </c>
      <c r="G281" s="1" t="str">
        <f t="shared" si="51"/>
        <v>104.4591</v>
      </c>
      <c r="H281" s="1" t="str">
        <f>MID(A281,18,7)</f>
        <v>17.2970</v>
      </c>
      <c r="K281" s="1" t="str">
        <f t="shared" si="53"/>
        <v>MD133</v>
      </c>
      <c r="L281" s="1">
        <v>22</v>
      </c>
      <c r="M281" s="1">
        <v>501</v>
      </c>
      <c r="N281" s="1" t="str">
        <f t="shared" si="49"/>
        <v>204+290</v>
      </c>
      <c r="O281" t="str">
        <f t="shared" si="50"/>
        <v>DB</v>
      </c>
    </row>
    <row r="282" spans="1:15" x14ac:dyDescent="0.2">
      <c r="A282" t="s">
        <v>547</v>
      </c>
      <c r="B282" t="s">
        <v>548</v>
      </c>
      <c r="G282" s="1" t="str">
        <f t="shared" si="51"/>
        <v>104.4594</v>
      </c>
      <c r="H282" s="1" t="str">
        <f t="shared" si="52"/>
        <v xml:space="preserve"> 17.2969</v>
      </c>
      <c r="K282" s="1" t="str">
        <f t="shared" si="53"/>
        <v>MD134</v>
      </c>
      <c r="L282" s="1">
        <v>22</v>
      </c>
      <c r="M282" s="1">
        <v>501</v>
      </c>
      <c r="N282" s="1" t="str">
        <f t="shared" si="49"/>
        <v>204+325</v>
      </c>
      <c r="O282" t="str">
        <f t="shared" si="50"/>
        <v>DB</v>
      </c>
    </row>
    <row r="283" spans="1:15" x14ac:dyDescent="0.2">
      <c r="A283" t="s">
        <v>549</v>
      </c>
      <c r="B283" t="s">
        <v>550</v>
      </c>
      <c r="G283" s="1" t="str">
        <f t="shared" si="51"/>
        <v>104.4597</v>
      </c>
      <c r="H283" s="1" t="str">
        <f t="shared" si="52"/>
        <v xml:space="preserve"> 17.2967</v>
      </c>
      <c r="K283" s="1" t="str">
        <f t="shared" si="53"/>
        <v>MD135</v>
      </c>
      <c r="L283" s="1">
        <v>22</v>
      </c>
      <c r="M283" s="1">
        <v>501</v>
      </c>
      <c r="N283" s="1" t="str">
        <f t="shared" si="49"/>
        <v>204+360</v>
      </c>
      <c r="O283" t="str">
        <f t="shared" si="50"/>
        <v>DB</v>
      </c>
    </row>
    <row r="284" spans="1:15" x14ac:dyDescent="0.2">
      <c r="A284" t="s">
        <v>551</v>
      </c>
      <c r="B284" t="s">
        <v>552</v>
      </c>
      <c r="G284" s="1" t="str">
        <f t="shared" si="51"/>
        <v>104.4600</v>
      </c>
      <c r="H284" s="1" t="str">
        <f t="shared" si="52"/>
        <v xml:space="preserve"> 17.2966</v>
      </c>
      <c r="K284" s="1" t="str">
        <f t="shared" si="53"/>
        <v>MD136</v>
      </c>
      <c r="L284" s="1">
        <v>22</v>
      </c>
      <c r="M284" s="1">
        <v>501</v>
      </c>
      <c r="N284" s="1" t="str">
        <f t="shared" si="49"/>
        <v>204+395</v>
      </c>
      <c r="O284" t="str">
        <f t="shared" si="50"/>
        <v>DB</v>
      </c>
    </row>
    <row r="285" spans="1:15" x14ac:dyDescent="0.2">
      <c r="A285" t="s">
        <v>553</v>
      </c>
      <c r="B285" t="s">
        <v>554</v>
      </c>
      <c r="G285" s="1" t="str">
        <f t="shared" si="51"/>
        <v>104.4603</v>
      </c>
      <c r="H285" s="1" t="str">
        <f t="shared" si="52"/>
        <v xml:space="preserve"> 17.2965</v>
      </c>
      <c r="K285" s="1" t="str">
        <f t="shared" si="53"/>
        <v>MD137</v>
      </c>
      <c r="L285" s="1">
        <v>22</v>
      </c>
      <c r="M285" s="1">
        <v>501</v>
      </c>
      <c r="N285" s="1" t="str">
        <f t="shared" si="49"/>
        <v>204+430</v>
      </c>
      <c r="O285" t="str">
        <f t="shared" si="50"/>
        <v>DB</v>
      </c>
    </row>
    <row r="286" spans="1:15" x14ac:dyDescent="0.2">
      <c r="A286" t="s">
        <v>555</v>
      </c>
      <c r="B286" t="s">
        <v>1160</v>
      </c>
      <c r="G286" s="1" t="str">
        <f t="shared" si="51"/>
        <v>104.4606</v>
      </c>
      <c r="H286" s="1" t="str">
        <f t="shared" si="52"/>
        <v xml:space="preserve"> 17.2964</v>
      </c>
      <c r="K286" s="1" t="str">
        <f t="shared" si="53"/>
        <v>MD138</v>
      </c>
      <c r="L286" s="1">
        <v>22</v>
      </c>
      <c r="M286" s="1">
        <v>501</v>
      </c>
      <c r="N286" s="1" t="str">
        <f t="shared" si="49"/>
        <v>204+465</v>
      </c>
      <c r="O286" t="str">
        <f t="shared" si="50"/>
        <v>DB</v>
      </c>
    </row>
    <row r="287" spans="1:15" x14ac:dyDescent="0.2">
      <c r="A287" t="s">
        <v>556</v>
      </c>
      <c r="B287" t="s">
        <v>557</v>
      </c>
      <c r="G287" s="1" t="str">
        <f t="shared" si="51"/>
        <v>104.4609</v>
      </c>
      <c r="H287" s="1" t="str">
        <f t="shared" si="52"/>
        <v xml:space="preserve"> 17.2963</v>
      </c>
      <c r="K287" s="1" t="str">
        <f t="shared" si="53"/>
        <v>MD139</v>
      </c>
      <c r="L287" s="1">
        <v>22</v>
      </c>
      <c r="M287" s="1">
        <v>501</v>
      </c>
      <c r="N287" s="1" t="str">
        <f t="shared" si="49"/>
        <v>204+500</v>
      </c>
      <c r="O287" t="str">
        <f t="shared" si="50"/>
        <v>DB</v>
      </c>
    </row>
    <row r="288" spans="1:15" x14ac:dyDescent="0.2">
      <c r="A288" t="s">
        <v>558</v>
      </c>
      <c r="B288" t="s">
        <v>559</v>
      </c>
      <c r="G288" s="1" t="str">
        <f t="shared" si="51"/>
        <v>104.4612</v>
      </c>
      <c r="H288" s="1" t="str">
        <f t="shared" si="52"/>
        <v xml:space="preserve"> 17.2962</v>
      </c>
      <c r="K288" s="1" t="str">
        <f t="shared" si="53"/>
        <v>MD140</v>
      </c>
      <c r="L288" s="1">
        <v>22</v>
      </c>
      <c r="M288" s="1">
        <v>501</v>
      </c>
      <c r="N288" s="1" t="str">
        <f t="shared" si="49"/>
        <v>204+535</v>
      </c>
      <c r="O288" t="str">
        <f t="shared" si="50"/>
        <v>DB</v>
      </c>
    </row>
    <row r="289" spans="1:15" x14ac:dyDescent="0.2">
      <c r="A289" t="s">
        <v>560</v>
      </c>
      <c r="B289" t="s">
        <v>561</v>
      </c>
      <c r="G289" s="1" t="str">
        <f t="shared" si="51"/>
        <v>104.4615</v>
      </c>
      <c r="H289" s="1" t="str">
        <f t="shared" si="52"/>
        <v xml:space="preserve"> 17.2960</v>
      </c>
      <c r="K289" s="1" t="str">
        <f t="shared" si="53"/>
        <v>MD141</v>
      </c>
      <c r="L289" s="1">
        <v>22</v>
      </c>
      <c r="M289" s="1">
        <v>501</v>
      </c>
      <c r="N289" s="1" t="str">
        <f t="shared" si="49"/>
        <v>204+570</v>
      </c>
      <c r="O289" t="str">
        <f t="shared" si="50"/>
        <v>DB</v>
      </c>
    </row>
    <row r="290" spans="1:15" x14ac:dyDescent="0.2">
      <c r="A290" t="s">
        <v>562</v>
      </c>
      <c r="B290" t="s">
        <v>563</v>
      </c>
      <c r="G290" s="1" t="str">
        <f t="shared" si="51"/>
        <v>104.4618</v>
      </c>
      <c r="H290" s="1" t="str">
        <f t="shared" si="52"/>
        <v xml:space="preserve"> 17.2959</v>
      </c>
      <c r="K290" s="1" t="str">
        <f t="shared" si="53"/>
        <v>MD142</v>
      </c>
      <c r="L290" s="1">
        <v>22</v>
      </c>
      <c r="M290" s="1">
        <v>501</v>
      </c>
      <c r="N290" s="1" t="str">
        <f t="shared" si="49"/>
        <v>204+605</v>
      </c>
      <c r="O290" t="str">
        <f t="shared" si="50"/>
        <v>DB</v>
      </c>
    </row>
    <row r="291" spans="1:15" x14ac:dyDescent="0.2">
      <c r="A291" t="s">
        <v>564</v>
      </c>
      <c r="B291" t="s">
        <v>565</v>
      </c>
      <c r="G291" s="1" t="str">
        <f t="shared" si="51"/>
        <v>104.4621</v>
      </c>
      <c r="H291" s="1" t="str">
        <f t="shared" si="52"/>
        <v xml:space="preserve"> 17.2958</v>
      </c>
      <c r="K291" s="1" t="str">
        <f t="shared" si="53"/>
        <v>MD143</v>
      </c>
      <c r="L291" s="1">
        <v>22</v>
      </c>
      <c r="M291" s="1">
        <v>501</v>
      </c>
      <c r="N291" s="1" t="str">
        <f t="shared" si="49"/>
        <v>204+640</v>
      </c>
      <c r="O291" t="str">
        <f t="shared" si="50"/>
        <v>DB</v>
      </c>
    </row>
    <row r="292" spans="1:15" x14ac:dyDescent="0.2">
      <c r="A292" t="s">
        <v>566</v>
      </c>
      <c r="B292" t="s">
        <v>567</v>
      </c>
      <c r="G292" s="1" t="str">
        <f t="shared" si="51"/>
        <v>104.4624</v>
      </c>
      <c r="H292" s="1" t="str">
        <f t="shared" si="52"/>
        <v xml:space="preserve"> 17.2957</v>
      </c>
      <c r="K292" s="1" t="str">
        <f t="shared" si="53"/>
        <v>MD144</v>
      </c>
      <c r="L292" s="1">
        <v>22</v>
      </c>
      <c r="M292" s="1">
        <v>501</v>
      </c>
      <c r="N292" s="1" t="str">
        <f t="shared" si="49"/>
        <v>204+675</v>
      </c>
      <c r="O292" t="str">
        <f t="shared" si="50"/>
        <v>DB</v>
      </c>
    </row>
    <row r="293" spans="1:15" x14ac:dyDescent="0.2">
      <c r="A293" t="s">
        <v>568</v>
      </c>
      <c r="B293" t="s">
        <v>569</v>
      </c>
      <c r="G293" s="1" t="str">
        <f t="shared" si="51"/>
        <v>104.4627</v>
      </c>
      <c r="H293" s="1" t="str">
        <f t="shared" si="52"/>
        <v xml:space="preserve"> 17.2956</v>
      </c>
      <c r="K293" s="1" t="str">
        <f t="shared" si="53"/>
        <v>MD145</v>
      </c>
      <c r="L293" s="1">
        <v>22</v>
      </c>
      <c r="M293" s="1">
        <v>501</v>
      </c>
      <c r="N293" s="1" t="str">
        <f t="shared" si="49"/>
        <v>204+710</v>
      </c>
      <c r="O293" t="str">
        <f t="shared" si="50"/>
        <v>DB</v>
      </c>
    </row>
    <row r="294" spans="1:15" x14ac:dyDescent="0.2">
      <c r="A294" t="s">
        <v>570</v>
      </c>
      <c r="B294" t="s">
        <v>571</v>
      </c>
      <c r="G294" s="1" t="str">
        <f t="shared" si="51"/>
        <v>104.4631</v>
      </c>
      <c r="H294" s="1" t="str">
        <f t="shared" si="52"/>
        <v xml:space="preserve"> 17.2954</v>
      </c>
      <c r="K294" s="1" t="str">
        <f t="shared" si="53"/>
        <v>MD146</v>
      </c>
      <c r="L294" s="1">
        <v>22</v>
      </c>
      <c r="M294" s="1">
        <v>501</v>
      </c>
      <c r="N294" s="1" t="str">
        <f t="shared" si="49"/>
        <v>204+745</v>
      </c>
      <c r="O294" t="str">
        <f t="shared" si="50"/>
        <v>DB</v>
      </c>
    </row>
    <row r="295" spans="1:15" x14ac:dyDescent="0.2">
      <c r="A295" t="s">
        <v>572</v>
      </c>
      <c r="B295" t="s">
        <v>573</v>
      </c>
      <c r="G295" s="1" t="str">
        <f t="shared" si="51"/>
        <v>104.4634</v>
      </c>
      <c r="H295" s="1" t="str">
        <f t="shared" si="52"/>
        <v xml:space="preserve"> 17.2953</v>
      </c>
      <c r="K295" s="1" t="str">
        <f t="shared" si="53"/>
        <v>MD147</v>
      </c>
      <c r="L295" s="1">
        <v>22</v>
      </c>
      <c r="M295" s="1">
        <v>501</v>
      </c>
      <c r="N295" s="1" t="str">
        <f t="shared" si="49"/>
        <v>204+780</v>
      </c>
      <c r="O295" t="str">
        <f t="shared" si="50"/>
        <v>DB</v>
      </c>
    </row>
    <row r="296" spans="1:15" x14ac:dyDescent="0.2">
      <c r="A296" t="s">
        <v>574</v>
      </c>
      <c r="B296" t="s">
        <v>575</v>
      </c>
      <c r="G296" s="1" t="str">
        <f t="shared" si="51"/>
        <v>104.4636</v>
      </c>
      <c r="H296" s="1" t="str">
        <f t="shared" si="52"/>
        <v xml:space="preserve"> 17.2953</v>
      </c>
      <c r="K296" s="1" t="str">
        <f t="shared" si="53"/>
        <v>MD148</v>
      </c>
      <c r="L296" s="1">
        <v>22</v>
      </c>
      <c r="M296" s="1">
        <v>501</v>
      </c>
      <c r="N296" s="1" t="str">
        <f>MID(B296,18,7)</f>
        <v>204+815</v>
      </c>
      <c r="O296" t="str">
        <f t="shared" si="50"/>
        <v>DB</v>
      </c>
    </row>
    <row r="297" spans="1:15" x14ac:dyDescent="0.2">
      <c r="A297" t="s">
        <v>576</v>
      </c>
      <c r="B297" t="s">
        <v>577</v>
      </c>
      <c r="G297" s="1" t="str">
        <f t="shared" si="51"/>
        <v>104.4639</v>
      </c>
      <c r="H297" s="1" t="str">
        <f t="shared" si="52"/>
        <v xml:space="preserve"> 17.2951</v>
      </c>
      <c r="K297" s="1" t="str">
        <f t="shared" si="53"/>
        <v>MD149</v>
      </c>
      <c r="L297" s="1">
        <v>22</v>
      </c>
      <c r="M297" s="1">
        <v>501</v>
      </c>
      <c r="N297" s="1" t="str">
        <f t="shared" si="49"/>
        <v>204+850</v>
      </c>
      <c r="O297" t="str">
        <f t="shared" si="50"/>
        <v>DB</v>
      </c>
    </row>
    <row r="298" spans="1:15" x14ac:dyDescent="0.2">
      <c r="A298" t="s">
        <v>578</v>
      </c>
      <c r="B298" t="s">
        <v>579</v>
      </c>
      <c r="G298" s="1" t="str">
        <f t="shared" si="51"/>
        <v>104.4642</v>
      </c>
      <c r="H298" s="1" t="str">
        <f t="shared" si="52"/>
        <v xml:space="preserve"> 17.2950</v>
      </c>
      <c r="K298" s="1" t="str">
        <f t="shared" si="53"/>
        <v>MD150</v>
      </c>
      <c r="L298" s="1">
        <v>22</v>
      </c>
      <c r="M298" s="1">
        <v>501</v>
      </c>
      <c r="N298" s="1" t="str">
        <f t="shared" si="49"/>
        <v>204+885</v>
      </c>
      <c r="O298" t="str">
        <f t="shared" si="50"/>
        <v>DB</v>
      </c>
    </row>
    <row r="299" spans="1:15" x14ac:dyDescent="0.2">
      <c r="A299" t="s">
        <v>580</v>
      </c>
      <c r="B299" t="s">
        <v>581</v>
      </c>
      <c r="G299" s="1" t="str">
        <f t="shared" si="51"/>
        <v>104.4645</v>
      </c>
      <c r="H299" s="1" t="str">
        <f t="shared" si="52"/>
        <v xml:space="preserve"> 17.2949</v>
      </c>
      <c r="K299" s="1" t="str">
        <f t="shared" si="53"/>
        <v>MD151</v>
      </c>
      <c r="L299" s="1">
        <v>22</v>
      </c>
      <c r="M299" s="1">
        <v>501</v>
      </c>
      <c r="N299" s="1" t="str">
        <f t="shared" si="49"/>
        <v>204+920</v>
      </c>
      <c r="O299" t="str">
        <f t="shared" si="50"/>
        <v>DB</v>
      </c>
    </row>
    <row r="300" spans="1:15" x14ac:dyDescent="0.2">
      <c r="A300" t="s">
        <v>582</v>
      </c>
      <c r="B300" t="s">
        <v>583</v>
      </c>
      <c r="G300" s="1" t="str">
        <f t="shared" si="51"/>
        <v>104.4648</v>
      </c>
      <c r="H300" s="1" t="str">
        <f t="shared" si="52"/>
        <v xml:space="preserve"> 17.2948</v>
      </c>
      <c r="K300" s="1" t="str">
        <f t="shared" si="53"/>
        <v>MD152</v>
      </c>
      <c r="L300" s="1">
        <v>22</v>
      </c>
      <c r="M300" s="1">
        <v>501</v>
      </c>
      <c r="N300" s="1" t="str">
        <f t="shared" si="49"/>
        <v>204+955</v>
      </c>
      <c r="O300" t="str">
        <f t="shared" si="50"/>
        <v>DB</v>
      </c>
    </row>
    <row r="301" spans="1:15" x14ac:dyDescent="0.2">
      <c r="A301" t="s">
        <v>584</v>
      </c>
      <c r="B301" t="s">
        <v>585</v>
      </c>
      <c r="G301" s="1" t="str">
        <f t="shared" si="51"/>
        <v>104.4651</v>
      </c>
      <c r="H301" s="1" t="str">
        <f t="shared" si="52"/>
        <v xml:space="preserve"> 17.2946</v>
      </c>
      <c r="K301" s="1" t="str">
        <f t="shared" si="53"/>
        <v>MD153</v>
      </c>
      <c r="L301" s="1">
        <v>22</v>
      </c>
      <c r="M301" s="1">
        <v>501</v>
      </c>
      <c r="N301" s="1" t="str">
        <f t="shared" si="49"/>
        <v>204+990</v>
      </c>
      <c r="O301" t="str">
        <f t="shared" si="50"/>
        <v>DB</v>
      </c>
    </row>
    <row r="302" spans="1:15" x14ac:dyDescent="0.2">
      <c r="A302" t="s">
        <v>586</v>
      </c>
      <c r="B302" t="s">
        <v>587</v>
      </c>
      <c r="G302" s="1" t="str">
        <f t="shared" si="51"/>
        <v>104.4654</v>
      </c>
      <c r="H302" s="1" t="str">
        <f t="shared" si="52"/>
        <v xml:space="preserve"> 17.2945</v>
      </c>
      <c r="K302" s="1" t="str">
        <f t="shared" si="53"/>
        <v>MD154</v>
      </c>
      <c r="L302" s="1">
        <v>22</v>
      </c>
      <c r="M302" s="1">
        <v>501</v>
      </c>
      <c r="N302" s="1" t="str">
        <f t="shared" si="49"/>
        <v>205+025</v>
      </c>
      <c r="O302" t="str">
        <f t="shared" si="50"/>
        <v>DB</v>
      </c>
    </row>
    <row r="303" spans="1:15" x14ac:dyDescent="0.2">
      <c r="A303" t="s">
        <v>588</v>
      </c>
      <c r="B303" t="s">
        <v>589</v>
      </c>
      <c r="G303" s="1" t="str">
        <f t="shared" si="51"/>
        <v>104.4658</v>
      </c>
      <c r="H303" s="1" t="str">
        <f t="shared" si="52"/>
        <v xml:space="preserve"> 17.2944</v>
      </c>
      <c r="K303" s="1" t="str">
        <f t="shared" si="53"/>
        <v>MD155</v>
      </c>
      <c r="L303" s="1">
        <v>22</v>
      </c>
      <c r="M303" s="1">
        <v>501</v>
      </c>
      <c r="N303" s="1" t="str">
        <f t="shared" si="49"/>
        <v>205+060</v>
      </c>
      <c r="O303" t="str">
        <f t="shared" si="50"/>
        <v>DB</v>
      </c>
    </row>
    <row r="304" spans="1:15" x14ac:dyDescent="0.2">
      <c r="A304" t="s">
        <v>590</v>
      </c>
      <c r="B304" t="s">
        <v>591</v>
      </c>
      <c r="G304" s="1" t="str">
        <f t="shared" si="51"/>
        <v>104.4661</v>
      </c>
      <c r="H304" s="1" t="str">
        <f t="shared" si="52"/>
        <v xml:space="preserve"> 17.2943</v>
      </c>
      <c r="K304" s="1" t="str">
        <f t="shared" si="53"/>
        <v>MD156</v>
      </c>
      <c r="L304" s="1">
        <v>22</v>
      </c>
      <c r="M304" s="1">
        <v>501</v>
      </c>
      <c r="N304" s="1" t="str">
        <f t="shared" si="49"/>
        <v>205+095</v>
      </c>
      <c r="O304" t="str">
        <f t="shared" si="50"/>
        <v>DB</v>
      </c>
    </row>
    <row r="305" spans="1:15" x14ac:dyDescent="0.2">
      <c r="A305" t="s">
        <v>592</v>
      </c>
      <c r="B305" t="s">
        <v>593</v>
      </c>
      <c r="G305" s="1" t="str">
        <f t="shared" si="51"/>
        <v>104.4664</v>
      </c>
      <c r="H305" s="1" t="str">
        <f t="shared" si="52"/>
        <v xml:space="preserve"> 17.2942</v>
      </c>
      <c r="K305" s="1" t="str">
        <f t="shared" si="53"/>
        <v>MD157</v>
      </c>
      <c r="L305" s="1">
        <v>22</v>
      </c>
      <c r="M305" s="1">
        <v>501</v>
      </c>
      <c r="N305" s="1" t="str">
        <f t="shared" si="49"/>
        <v>205+130</v>
      </c>
      <c r="O305" t="str">
        <f t="shared" si="50"/>
        <v>DB</v>
      </c>
    </row>
    <row r="306" spans="1:15" x14ac:dyDescent="0.2">
      <c r="A306" t="s">
        <v>594</v>
      </c>
      <c r="B306" t="s">
        <v>595</v>
      </c>
      <c r="G306" s="1" t="str">
        <f t="shared" si="51"/>
        <v>104.4667</v>
      </c>
      <c r="H306" s="1" t="str">
        <f t="shared" si="52"/>
        <v xml:space="preserve"> 17.2941</v>
      </c>
      <c r="K306" s="1" t="str">
        <f t="shared" si="53"/>
        <v>MD158</v>
      </c>
      <c r="L306" s="1">
        <v>22</v>
      </c>
      <c r="M306" s="1">
        <v>501</v>
      </c>
      <c r="N306" s="1" t="str">
        <f t="shared" si="49"/>
        <v>205+165</v>
      </c>
      <c r="O306" t="str">
        <f t="shared" si="50"/>
        <v>DB</v>
      </c>
    </row>
    <row r="307" spans="1:15" x14ac:dyDescent="0.2">
      <c r="A307" t="s">
        <v>596</v>
      </c>
      <c r="B307" t="s">
        <v>597</v>
      </c>
      <c r="G307" s="1" t="str">
        <f t="shared" si="51"/>
        <v>104.4670</v>
      </c>
      <c r="H307" s="1" t="str">
        <f t="shared" si="52"/>
        <v xml:space="preserve"> 17.2939</v>
      </c>
      <c r="K307" s="1" t="str">
        <f t="shared" si="53"/>
        <v>MD159</v>
      </c>
      <c r="L307" s="1">
        <v>22</v>
      </c>
      <c r="M307" s="1">
        <v>501</v>
      </c>
      <c r="N307" s="1" t="str">
        <f t="shared" si="49"/>
        <v>205+200</v>
      </c>
      <c r="O307" t="str">
        <f t="shared" si="50"/>
        <v>DB</v>
      </c>
    </row>
    <row r="308" spans="1:15" x14ac:dyDescent="0.2">
      <c r="A308" t="s">
        <v>598</v>
      </c>
      <c r="B308" t="s">
        <v>599</v>
      </c>
      <c r="G308" s="1" t="str">
        <f t="shared" si="51"/>
        <v>104.4673</v>
      </c>
      <c r="H308" s="1" t="str">
        <f>MID(A308,18,7)</f>
        <v>17.2938</v>
      </c>
      <c r="K308" s="1" t="str">
        <f t="shared" si="53"/>
        <v>MD160</v>
      </c>
      <c r="L308" s="1">
        <v>22</v>
      </c>
      <c r="M308" s="1">
        <v>501</v>
      </c>
      <c r="N308" s="1" t="str">
        <f t="shared" si="49"/>
        <v>205+235</v>
      </c>
      <c r="O308" t="str">
        <f t="shared" si="50"/>
        <v>DB</v>
      </c>
    </row>
    <row r="309" spans="1:15" x14ac:dyDescent="0.2">
      <c r="A309" t="s">
        <v>600</v>
      </c>
      <c r="B309" t="s">
        <v>601</v>
      </c>
      <c r="G309" s="1" t="str">
        <f t="shared" si="51"/>
        <v>104.4676</v>
      </c>
      <c r="H309" s="1" t="str">
        <f t="shared" si="52"/>
        <v xml:space="preserve"> 17.2937</v>
      </c>
      <c r="K309" s="1" t="str">
        <f t="shared" si="53"/>
        <v>MD161</v>
      </c>
      <c r="L309" s="1">
        <v>22</v>
      </c>
      <c r="M309" s="1">
        <v>501</v>
      </c>
      <c r="N309" s="1" t="str">
        <f t="shared" si="49"/>
        <v>205+270</v>
      </c>
      <c r="O309" t="str">
        <f t="shared" si="50"/>
        <v>DB</v>
      </c>
    </row>
    <row r="310" spans="1:15" x14ac:dyDescent="0.2">
      <c r="A310" t="s">
        <v>602</v>
      </c>
      <c r="B310" t="s">
        <v>603</v>
      </c>
      <c r="G310" s="1" t="str">
        <f t="shared" si="51"/>
        <v>104.4679</v>
      </c>
      <c r="H310" s="1" t="str">
        <f t="shared" si="52"/>
        <v xml:space="preserve"> 17.2936</v>
      </c>
      <c r="K310" s="1" t="str">
        <f t="shared" si="53"/>
        <v>MD162</v>
      </c>
      <c r="L310" s="1">
        <v>22</v>
      </c>
      <c r="M310" s="1">
        <v>501</v>
      </c>
      <c r="N310" s="1" t="str">
        <f t="shared" si="49"/>
        <v>205+270</v>
      </c>
      <c r="O310" t="str">
        <f t="shared" si="50"/>
        <v>DB</v>
      </c>
    </row>
    <row r="311" spans="1:15" x14ac:dyDescent="0.2">
      <c r="A311" t="s">
        <v>604</v>
      </c>
      <c r="B311" t="s">
        <v>605</v>
      </c>
      <c r="G311" s="1" t="str">
        <f t="shared" si="51"/>
        <v>104.4682</v>
      </c>
      <c r="H311" s="1" t="str">
        <f t="shared" si="52"/>
        <v xml:space="preserve"> 17.2935</v>
      </c>
      <c r="K311" s="1" t="str">
        <f t="shared" ref="K311:K342" si="54">MID(B311,1,5)</f>
        <v>MD163</v>
      </c>
      <c r="L311" s="1">
        <v>22</v>
      </c>
      <c r="M311" s="1">
        <v>501</v>
      </c>
      <c r="N311" s="1" t="str">
        <f t="shared" si="49"/>
        <v>205+305</v>
      </c>
      <c r="O311" t="str">
        <f t="shared" si="50"/>
        <v>DB</v>
      </c>
    </row>
    <row r="312" spans="1:15" x14ac:dyDescent="0.2">
      <c r="A312" t="s">
        <v>606</v>
      </c>
      <c r="B312" t="s">
        <v>607</v>
      </c>
      <c r="G312" s="1" t="str">
        <f t="shared" si="51"/>
        <v>104.4685</v>
      </c>
      <c r="H312" s="1" t="str">
        <f t="shared" si="52"/>
        <v xml:space="preserve"> 17.2933</v>
      </c>
      <c r="K312" s="1" t="str">
        <f t="shared" si="54"/>
        <v>MD164</v>
      </c>
      <c r="L312" s="1">
        <v>22</v>
      </c>
      <c r="M312" s="1">
        <v>501</v>
      </c>
      <c r="N312" s="1" t="str">
        <f t="shared" ref="N312:N320" si="55">MID(B312,18,7)</f>
        <v>205+340</v>
      </c>
      <c r="O312" t="str">
        <f t="shared" ref="O312" si="56">MID(B312,7,2)</f>
        <v>DB</v>
      </c>
    </row>
    <row r="313" spans="1:15" x14ac:dyDescent="0.2">
      <c r="A313" t="s">
        <v>608</v>
      </c>
      <c r="B313" t="s">
        <v>609</v>
      </c>
      <c r="G313" s="1" t="str">
        <f t="shared" si="51"/>
        <v>104.4688</v>
      </c>
      <c r="H313" s="1" t="str">
        <f t="shared" si="52"/>
        <v xml:space="preserve"> 17.2932</v>
      </c>
      <c r="K313" s="1" t="str">
        <f t="shared" si="54"/>
        <v>MD165</v>
      </c>
      <c r="L313" s="1">
        <v>22</v>
      </c>
      <c r="M313" s="1">
        <v>501</v>
      </c>
      <c r="N313" s="1" t="str">
        <f t="shared" si="55"/>
        <v>205+375</v>
      </c>
      <c r="O313" t="str">
        <f t="shared" si="50"/>
        <v>DB</v>
      </c>
    </row>
    <row r="314" spans="1:15" x14ac:dyDescent="0.2">
      <c r="A314" t="s">
        <v>610</v>
      </c>
      <c r="B314" t="s">
        <v>611</v>
      </c>
      <c r="G314" s="1" t="str">
        <f t="shared" si="51"/>
        <v>104.4691</v>
      </c>
      <c r="H314" s="1" t="str">
        <f t="shared" si="52"/>
        <v xml:space="preserve"> 17.2931</v>
      </c>
      <c r="K314" s="1" t="str">
        <f t="shared" si="54"/>
        <v>MD166</v>
      </c>
      <c r="L314" s="1">
        <v>22</v>
      </c>
      <c r="M314" s="1">
        <v>501</v>
      </c>
      <c r="N314" s="1" t="str">
        <f t="shared" si="55"/>
        <v>205+410</v>
      </c>
      <c r="O314" t="str">
        <f t="shared" ref="O314:O374" si="57">MID(B314,7,2)</f>
        <v>DB</v>
      </c>
    </row>
    <row r="315" spans="1:15" x14ac:dyDescent="0.2">
      <c r="A315" t="s">
        <v>612</v>
      </c>
      <c r="B315" t="s">
        <v>613</v>
      </c>
      <c r="G315" s="1" t="str">
        <f t="shared" si="51"/>
        <v>104.4694</v>
      </c>
      <c r="H315" s="1" t="str">
        <f t="shared" si="52"/>
        <v xml:space="preserve"> 17.2930</v>
      </c>
      <c r="K315" s="1" t="str">
        <f t="shared" si="54"/>
        <v>MD167</v>
      </c>
      <c r="L315" s="1">
        <v>22</v>
      </c>
      <c r="M315" s="1">
        <v>501</v>
      </c>
      <c r="N315" s="1" t="str">
        <f>MID(B315,18,7)</f>
        <v>205+445</v>
      </c>
      <c r="O315" t="str">
        <f t="shared" si="57"/>
        <v>DB</v>
      </c>
    </row>
    <row r="316" spans="1:15" x14ac:dyDescent="0.2">
      <c r="A316" t="s">
        <v>614</v>
      </c>
      <c r="B316" t="s">
        <v>615</v>
      </c>
      <c r="G316" s="1" t="str">
        <f t="shared" si="51"/>
        <v>104.4697</v>
      </c>
      <c r="H316" s="1" t="str">
        <f t="shared" si="52"/>
        <v xml:space="preserve"> 17.2929</v>
      </c>
      <c r="K316" s="1" t="str">
        <f t="shared" si="54"/>
        <v>MD168</v>
      </c>
      <c r="L316" s="1">
        <v>22</v>
      </c>
      <c r="M316" s="1">
        <v>501</v>
      </c>
      <c r="N316" s="1" t="str">
        <f t="shared" si="55"/>
        <v>205+480</v>
      </c>
      <c r="O316" t="str">
        <f t="shared" si="57"/>
        <v>DB</v>
      </c>
    </row>
    <row r="317" spans="1:15" x14ac:dyDescent="0.2">
      <c r="A317" t="s">
        <v>616</v>
      </c>
      <c r="B317" t="s">
        <v>617</v>
      </c>
      <c r="G317" s="1" t="str">
        <f t="shared" si="51"/>
        <v>104.4700</v>
      </c>
      <c r="H317" s="1" t="str">
        <f t="shared" si="52"/>
        <v xml:space="preserve"> 17.2928</v>
      </c>
      <c r="K317" s="1" t="str">
        <f t="shared" si="54"/>
        <v>MD169</v>
      </c>
      <c r="L317" s="1">
        <v>22</v>
      </c>
      <c r="M317" s="1">
        <v>501</v>
      </c>
      <c r="N317" s="1" t="str">
        <f t="shared" si="55"/>
        <v>205+515</v>
      </c>
      <c r="O317" t="str">
        <f t="shared" si="57"/>
        <v>DB</v>
      </c>
    </row>
    <row r="318" spans="1:15" x14ac:dyDescent="0.2">
      <c r="A318" t="s">
        <v>618</v>
      </c>
      <c r="B318" t="s">
        <v>619</v>
      </c>
      <c r="G318" s="1" t="str">
        <f t="shared" si="51"/>
        <v>104.4703</v>
      </c>
      <c r="H318" s="1" t="str">
        <f t="shared" si="52"/>
        <v xml:space="preserve"> 17.2926</v>
      </c>
      <c r="K318" s="1" t="str">
        <f t="shared" si="54"/>
        <v>MD170</v>
      </c>
      <c r="L318" s="1">
        <v>22</v>
      </c>
      <c r="M318" s="1">
        <v>501</v>
      </c>
      <c r="N318" s="1" t="str">
        <f t="shared" si="55"/>
        <v>205+550</v>
      </c>
      <c r="O318" t="str">
        <f t="shared" si="57"/>
        <v>DB</v>
      </c>
    </row>
    <row r="319" spans="1:15" x14ac:dyDescent="0.2">
      <c r="A319" t="s">
        <v>620</v>
      </c>
      <c r="B319" t="s">
        <v>621</v>
      </c>
      <c r="G319" s="1" t="str">
        <f t="shared" si="51"/>
        <v>104.5064</v>
      </c>
      <c r="H319" s="1" t="str">
        <f t="shared" si="52"/>
        <v xml:space="preserve"> 17.2827</v>
      </c>
      <c r="K319" s="1" t="str">
        <f t="shared" si="54"/>
        <v>MD171</v>
      </c>
      <c r="L319" s="1">
        <v>22</v>
      </c>
      <c r="M319" s="1">
        <v>501</v>
      </c>
      <c r="N319" s="1" t="str">
        <f t="shared" si="55"/>
        <v>205+585</v>
      </c>
      <c r="O319" t="str">
        <f t="shared" si="57"/>
        <v>DB</v>
      </c>
    </row>
    <row r="320" spans="1:15" x14ac:dyDescent="0.2">
      <c r="A320" t="s">
        <v>622</v>
      </c>
      <c r="B320" t="s">
        <v>623</v>
      </c>
      <c r="G320" s="1" t="str">
        <f t="shared" si="51"/>
        <v>104.4709</v>
      </c>
      <c r="H320" s="1" t="str">
        <f t="shared" si="52"/>
        <v xml:space="preserve"> 17.2924</v>
      </c>
      <c r="K320" s="1" t="str">
        <f t="shared" si="54"/>
        <v>MD172</v>
      </c>
      <c r="L320" s="1">
        <v>22</v>
      </c>
      <c r="M320" s="1">
        <v>501</v>
      </c>
      <c r="N320" s="1" t="str">
        <f t="shared" si="55"/>
        <v>205+620</v>
      </c>
      <c r="O320" t="str">
        <f t="shared" si="57"/>
        <v>DB</v>
      </c>
    </row>
    <row r="321" spans="1:15" x14ac:dyDescent="0.2">
      <c r="A321" t="s">
        <v>624</v>
      </c>
      <c r="B321" t="s">
        <v>625</v>
      </c>
      <c r="G321" s="1" t="str">
        <f t="shared" si="51"/>
        <v>104.4794</v>
      </c>
      <c r="H321" s="1" t="str">
        <f t="shared" si="52"/>
        <v xml:space="preserve"> 17.2891</v>
      </c>
      <c r="K321" s="1" t="str">
        <f t="shared" si="54"/>
        <v>MD173</v>
      </c>
      <c r="L321" s="1">
        <v>22</v>
      </c>
      <c r="M321" s="1">
        <v>501</v>
      </c>
      <c r="N321" s="1" t="str">
        <f>MID(B321,18,7)</f>
        <v>206+595</v>
      </c>
      <c r="O321" t="str">
        <f t="shared" si="57"/>
        <v>DB</v>
      </c>
    </row>
    <row r="322" spans="1:15" x14ac:dyDescent="0.2">
      <c r="A322" t="s">
        <v>626</v>
      </c>
      <c r="B322" t="s">
        <v>627</v>
      </c>
      <c r="G322" s="1" t="str">
        <f t="shared" si="51"/>
        <v>104.4796</v>
      </c>
      <c r="H322" s="1" t="str">
        <f>MID(A322,18,7)</f>
        <v>17.2890</v>
      </c>
      <c r="K322" s="1" t="str">
        <f t="shared" si="54"/>
        <v>MD174</v>
      </c>
      <c r="L322" s="1">
        <v>22</v>
      </c>
      <c r="M322" s="1">
        <v>501</v>
      </c>
      <c r="N322" s="1" t="str">
        <f t="shared" ref="N322:N346" si="58">MID(B322,18,7)</f>
        <v>206+620</v>
      </c>
      <c r="O322" t="str">
        <f t="shared" si="57"/>
        <v>DB</v>
      </c>
    </row>
    <row r="323" spans="1:15" x14ac:dyDescent="0.2">
      <c r="A323" t="s">
        <v>628</v>
      </c>
      <c r="B323" t="s">
        <v>629</v>
      </c>
      <c r="G323" s="1" t="str">
        <f t="shared" ref="G323:G386" si="59">MID(A323,8,8)</f>
        <v>104.4799</v>
      </c>
      <c r="H323" s="1" t="str">
        <f t="shared" ref="H323:H386" si="60">MID(A323,18,8)</f>
        <v xml:space="preserve"> 17.2889</v>
      </c>
      <c r="K323" s="1" t="str">
        <f t="shared" si="54"/>
        <v>MD175</v>
      </c>
      <c r="L323" s="1">
        <v>22</v>
      </c>
      <c r="M323" s="1">
        <v>501</v>
      </c>
      <c r="N323" s="1" t="str">
        <f t="shared" si="58"/>
        <v>206+650</v>
      </c>
      <c r="O323" t="str">
        <f t="shared" si="57"/>
        <v>DB</v>
      </c>
    </row>
    <row r="324" spans="1:15" x14ac:dyDescent="0.2">
      <c r="A324" t="s">
        <v>630</v>
      </c>
      <c r="B324" t="s">
        <v>631</v>
      </c>
      <c r="G324" s="1" t="str">
        <f t="shared" si="59"/>
        <v>104.4802</v>
      </c>
      <c r="H324" s="1" t="str">
        <f t="shared" si="60"/>
        <v xml:space="preserve"> 17.2888</v>
      </c>
      <c r="K324" s="1" t="str">
        <f t="shared" si="54"/>
        <v>MD176</v>
      </c>
      <c r="L324" s="1">
        <v>22</v>
      </c>
      <c r="M324" s="1">
        <v>501</v>
      </c>
      <c r="N324" s="1" t="str">
        <f t="shared" si="58"/>
        <v>206+685</v>
      </c>
      <c r="O324" t="str">
        <f t="shared" si="57"/>
        <v>DB</v>
      </c>
    </row>
    <row r="325" spans="1:15" x14ac:dyDescent="0.2">
      <c r="A325" t="s">
        <v>632</v>
      </c>
      <c r="B325" t="s">
        <v>633</v>
      </c>
      <c r="G325" s="1" t="str">
        <f t="shared" si="59"/>
        <v>104.4805</v>
      </c>
      <c r="H325" s="1" t="str">
        <f t="shared" si="60"/>
        <v xml:space="preserve"> 17.2887</v>
      </c>
      <c r="K325" s="1" t="str">
        <f t="shared" si="54"/>
        <v>MD177</v>
      </c>
      <c r="L325" s="1">
        <v>22</v>
      </c>
      <c r="M325" s="1">
        <v>501</v>
      </c>
      <c r="N325" s="1" t="str">
        <f t="shared" si="58"/>
        <v>206+720</v>
      </c>
      <c r="O325" t="str">
        <f t="shared" si="57"/>
        <v>DB</v>
      </c>
    </row>
    <row r="326" spans="1:15" x14ac:dyDescent="0.2">
      <c r="A326" t="s">
        <v>634</v>
      </c>
      <c r="B326" t="s">
        <v>635</v>
      </c>
      <c r="G326" s="1" t="str">
        <f t="shared" si="59"/>
        <v>104.4808</v>
      </c>
      <c r="H326" s="1" t="str">
        <f t="shared" si="60"/>
        <v xml:space="preserve"> 17.2885</v>
      </c>
      <c r="K326" s="1" t="str">
        <f t="shared" si="54"/>
        <v>MD178</v>
      </c>
      <c r="L326" s="1">
        <v>22</v>
      </c>
      <c r="M326" s="1">
        <v>501</v>
      </c>
      <c r="N326" s="1" t="str">
        <f t="shared" si="58"/>
        <v>206+755</v>
      </c>
      <c r="O326" t="str">
        <f t="shared" si="57"/>
        <v>DB</v>
      </c>
    </row>
    <row r="327" spans="1:15" x14ac:dyDescent="0.2">
      <c r="A327" t="s">
        <v>636</v>
      </c>
      <c r="B327" t="s">
        <v>1161</v>
      </c>
      <c r="G327" s="1" t="str">
        <f t="shared" si="59"/>
        <v>104.4812</v>
      </c>
      <c r="H327" s="1" t="str">
        <f t="shared" si="60"/>
        <v xml:space="preserve"> 17.2884</v>
      </c>
      <c r="K327" s="1" t="str">
        <f t="shared" si="54"/>
        <v>MD179</v>
      </c>
      <c r="L327" s="1">
        <v>22</v>
      </c>
      <c r="M327" s="1">
        <v>501</v>
      </c>
      <c r="N327" s="1" t="str">
        <f t="shared" si="58"/>
        <v>206+790</v>
      </c>
      <c r="O327" t="str">
        <f t="shared" si="57"/>
        <v>DB</v>
      </c>
    </row>
    <row r="328" spans="1:15" x14ac:dyDescent="0.2">
      <c r="A328" t="s">
        <v>637</v>
      </c>
      <c r="B328" t="s">
        <v>638</v>
      </c>
      <c r="G328" s="1" t="str">
        <f t="shared" si="59"/>
        <v>104.4814</v>
      </c>
      <c r="H328" s="1" t="str">
        <f t="shared" si="60"/>
        <v xml:space="preserve"> 17.2883</v>
      </c>
      <c r="K328" s="1" t="str">
        <f t="shared" si="54"/>
        <v>MD180</v>
      </c>
      <c r="L328" s="1">
        <v>22</v>
      </c>
      <c r="M328" s="1">
        <v>501</v>
      </c>
      <c r="N328" s="1" t="str">
        <f t="shared" si="58"/>
        <v>206+822</v>
      </c>
      <c r="O328" t="str">
        <f t="shared" si="57"/>
        <v>DB</v>
      </c>
    </row>
    <row r="329" spans="1:15" x14ac:dyDescent="0.2">
      <c r="A329" t="s">
        <v>639</v>
      </c>
      <c r="B329" t="s">
        <v>640</v>
      </c>
      <c r="G329" s="1" t="str">
        <f t="shared" si="59"/>
        <v>104.4818</v>
      </c>
      <c r="H329" s="1" t="str">
        <f t="shared" si="60"/>
        <v xml:space="preserve"> 17.2882</v>
      </c>
      <c r="K329" s="1" t="str">
        <f t="shared" si="54"/>
        <v>MD181</v>
      </c>
      <c r="L329" s="1">
        <v>22</v>
      </c>
      <c r="M329" s="1">
        <v>501</v>
      </c>
      <c r="N329" s="1" t="str">
        <f t="shared" si="58"/>
        <v>206+857</v>
      </c>
      <c r="O329" t="str">
        <f t="shared" si="57"/>
        <v>DB</v>
      </c>
    </row>
    <row r="330" spans="1:15" x14ac:dyDescent="0.2">
      <c r="A330" t="s">
        <v>641</v>
      </c>
      <c r="B330" t="s">
        <v>642</v>
      </c>
      <c r="G330" s="1" t="str">
        <f t="shared" si="59"/>
        <v>104.4821</v>
      </c>
      <c r="H330" s="1" t="str">
        <f t="shared" si="60"/>
        <v xml:space="preserve"> 17.2881</v>
      </c>
      <c r="K330" s="1" t="str">
        <f t="shared" si="54"/>
        <v>MD182</v>
      </c>
      <c r="L330" s="1">
        <v>22</v>
      </c>
      <c r="M330" s="1">
        <v>501</v>
      </c>
      <c r="N330" s="1" t="str">
        <f t="shared" si="58"/>
        <v>206+892</v>
      </c>
      <c r="O330" t="str">
        <f t="shared" si="57"/>
        <v>DB</v>
      </c>
    </row>
    <row r="331" spans="1:15" x14ac:dyDescent="0.2">
      <c r="A331" t="s">
        <v>643</v>
      </c>
      <c r="B331" t="s">
        <v>644</v>
      </c>
      <c r="G331" s="1" t="str">
        <f t="shared" si="59"/>
        <v>104.4824</v>
      </c>
      <c r="H331" s="1" t="str">
        <f t="shared" si="60"/>
        <v xml:space="preserve"> 17.2880</v>
      </c>
      <c r="K331" s="1" t="str">
        <f t="shared" si="54"/>
        <v>MD183</v>
      </c>
      <c r="L331" s="1">
        <v>22</v>
      </c>
      <c r="M331" s="1">
        <v>501</v>
      </c>
      <c r="N331" s="1" t="str">
        <f t="shared" si="58"/>
        <v>206+927</v>
      </c>
      <c r="O331" t="str">
        <f t="shared" si="57"/>
        <v>DB</v>
      </c>
    </row>
    <row r="332" spans="1:15" x14ac:dyDescent="0.2">
      <c r="A332" t="s">
        <v>645</v>
      </c>
      <c r="B332" t="s">
        <v>646</v>
      </c>
      <c r="G332" s="1" t="str">
        <f t="shared" si="59"/>
        <v>104.4827</v>
      </c>
      <c r="H332" s="1" t="str">
        <f t="shared" si="60"/>
        <v xml:space="preserve"> 17.2879</v>
      </c>
      <c r="K332" s="1" t="str">
        <f t="shared" si="54"/>
        <v>MD184</v>
      </c>
      <c r="L332" s="1">
        <v>22</v>
      </c>
      <c r="M332" s="1">
        <v>501</v>
      </c>
      <c r="N332" s="1" t="str">
        <f t="shared" si="58"/>
        <v>206+962</v>
      </c>
      <c r="O332" t="str">
        <f t="shared" si="57"/>
        <v>DB</v>
      </c>
    </row>
    <row r="333" spans="1:15" x14ac:dyDescent="0.2">
      <c r="A333" t="s">
        <v>647</v>
      </c>
      <c r="B333" t="s">
        <v>648</v>
      </c>
      <c r="G333" s="1" t="str">
        <f t="shared" si="59"/>
        <v>104.4830</v>
      </c>
      <c r="H333" s="1" t="str">
        <f t="shared" si="60"/>
        <v xml:space="preserve"> 17.2877</v>
      </c>
      <c r="K333" s="1" t="str">
        <f t="shared" si="54"/>
        <v>MD185</v>
      </c>
      <c r="L333" s="1">
        <v>22</v>
      </c>
      <c r="M333" s="1">
        <v>501</v>
      </c>
      <c r="N333" s="1" t="str">
        <f t="shared" si="58"/>
        <v>206+997</v>
      </c>
      <c r="O333" t="str">
        <f t="shared" si="57"/>
        <v>DB</v>
      </c>
    </row>
    <row r="334" spans="1:15" x14ac:dyDescent="0.2">
      <c r="A334" t="s">
        <v>649</v>
      </c>
      <c r="B334" t="s">
        <v>650</v>
      </c>
      <c r="G334" s="1" t="str">
        <f t="shared" si="59"/>
        <v>104.4833</v>
      </c>
      <c r="H334" s="1" t="str">
        <f t="shared" si="60"/>
        <v xml:space="preserve"> 17.2876</v>
      </c>
      <c r="K334" s="1" t="str">
        <f t="shared" si="54"/>
        <v>MD186</v>
      </c>
      <c r="L334" s="1">
        <v>22</v>
      </c>
      <c r="M334" s="1">
        <v>501</v>
      </c>
      <c r="N334" s="1" t="str">
        <f t="shared" si="58"/>
        <v>207+032</v>
      </c>
      <c r="O334" t="str">
        <f t="shared" si="57"/>
        <v>DB</v>
      </c>
    </row>
    <row r="335" spans="1:15" x14ac:dyDescent="0.2">
      <c r="A335" t="s">
        <v>651</v>
      </c>
      <c r="B335" t="s">
        <v>652</v>
      </c>
      <c r="G335" s="1" t="str">
        <f t="shared" si="59"/>
        <v>104.4836</v>
      </c>
      <c r="H335" s="1" t="str">
        <f t="shared" si="60"/>
        <v xml:space="preserve"> 17.2875</v>
      </c>
      <c r="K335" s="1" t="str">
        <f t="shared" si="54"/>
        <v>MD187</v>
      </c>
      <c r="L335" s="1">
        <v>22</v>
      </c>
      <c r="M335" s="1">
        <v>501</v>
      </c>
      <c r="N335" s="1" t="str">
        <f t="shared" si="58"/>
        <v>207+067</v>
      </c>
      <c r="O335" t="str">
        <f t="shared" si="57"/>
        <v>DB</v>
      </c>
    </row>
    <row r="336" spans="1:15" x14ac:dyDescent="0.2">
      <c r="A336" t="s">
        <v>653</v>
      </c>
      <c r="B336" t="s">
        <v>654</v>
      </c>
      <c r="G336" s="1" t="str">
        <f t="shared" si="59"/>
        <v>104.4840</v>
      </c>
      <c r="H336" s="1" t="str">
        <f t="shared" si="60"/>
        <v xml:space="preserve"> 17.2874</v>
      </c>
      <c r="K336" s="1" t="str">
        <f t="shared" si="54"/>
        <v>MD188</v>
      </c>
      <c r="L336" s="1">
        <v>22</v>
      </c>
      <c r="M336" s="1">
        <v>501</v>
      </c>
      <c r="N336" s="1" t="str">
        <f t="shared" si="58"/>
        <v>207+102</v>
      </c>
      <c r="O336" t="str">
        <f t="shared" si="57"/>
        <v>DB</v>
      </c>
    </row>
    <row r="337" spans="1:15" x14ac:dyDescent="0.2">
      <c r="A337" t="s">
        <v>655</v>
      </c>
      <c r="B337" t="s">
        <v>656</v>
      </c>
      <c r="G337" s="1" t="str">
        <f t="shared" si="59"/>
        <v>104.4843</v>
      </c>
      <c r="H337" s="1" t="str">
        <f t="shared" si="60"/>
        <v xml:space="preserve"> 17.2873</v>
      </c>
      <c r="K337" s="1" t="str">
        <f t="shared" si="54"/>
        <v>MD189</v>
      </c>
      <c r="L337" s="1">
        <v>22</v>
      </c>
      <c r="M337" s="1">
        <v>501</v>
      </c>
      <c r="N337" s="1" t="str">
        <f t="shared" si="58"/>
        <v>207+137</v>
      </c>
      <c r="O337" t="str">
        <f t="shared" si="57"/>
        <v>DB</v>
      </c>
    </row>
    <row r="338" spans="1:15" x14ac:dyDescent="0.2">
      <c r="A338" t="s">
        <v>657</v>
      </c>
      <c r="B338" t="s">
        <v>658</v>
      </c>
      <c r="G338" s="1" t="str">
        <f t="shared" si="59"/>
        <v>104.4846</v>
      </c>
      <c r="H338" s="1" t="str">
        <f t="shared" si="60"/>
        <v xml:space="preserve"> 17.2872</v>
      </c>
      <c r="K338" s="1" t="str">
        <f t="shared" si="54"/>
        <v>MD190</v>
      </c>
      <c r="L338" s="1">
        <v>22</v>
      </c>
      <c r="M338" s="1">
        <v>501</v>
      </c>
      <c r="N338" s="1" t="str">
        <f t="shared" si="58"/>
        <v>207+172</v>
      </c>
      <c r="O338" t="str">
        <f t="shared" si="57"/>
        <v>DB</v>
      </c>
    </row>
    <row r="339" spans="1:15" x14ac:dyDescent="0.2">
      <c r="A339" t="s">
        <v>659</v>
      </c>
      <c r="B339" t="s">
        <v>660</v>
      </c>
      <c r="G339" s="1" t="str">
        <f t="shared" si="59"/>
        <v>104.4849</v>
      </c>
      <c r="H339" s="1" t="str">
        <f t="shared" si="60"/>
        <v xml:space="preserve"> 17.2871</v>
      </c>
      <c r="K339" s="1" t="str">
        <f t="shared" si="54"/>
        <v>MD191</v>
      </c>
      <c r="L339" s="1">
        <v>22</v>
      </c>
      <c r="M339" s="1">
        <v>501</v>
      </c>
      <c r="N339" s="1" t="str">
        <f t="shared" si="58"/>
        <v>207+207</v>
      </c>
      <c r="O339" t="str">
        <f t="shared" si="57"/>
        <v>DB</v>
      </c>
    </row>
    <row r="340" spans="1:15" x14ac:dyDescent="0.2">
      <c r="A340" t="s">
        <v>661</v>
      </c>
      <c r="B340" t="s">
        <v>662</v>
      </c>
      <c r="G340" s="1" t="str">
        <f t="shared" si="59"/>
        <v>104.4852</v>
      </c>
      <c r="H340" s="1" t="str">
        <f t="shared" si="60"/>
        <v xml:space="preserve"> 17.2870</v>
      </c>
      <c r="K340" s="1" t="str">
        <f t="shared" si="54"/>
        <v>MD192</v>
      </c>
      <c r="L340" s="1">
        <v>22</v>
      </c>
      <c r="M340" s="1">
        <v>501</v>
      </c>
      <c r="N340" s="1" t="str">
        <f>MID(B340,18,7)</f>
        <v>207+242</v>
      </c>
      <c r="O340" t="str">
        <f t="shared" si="57"/>
        <v>DB</v>
      </c>
    </row>
    <row r="341" spans="1:15" x14ac:dyDescent="0.2">
      <c r="A341" t="s">
        <v>663</v>
      </c>
      <c r="B341" t="s">
        <v>664</v>
      </c>
      <c r="G341" s="1" t="str">
        <f t="shared" si="59"/>
        <v>104.4856</v>
      </c>
      <c r="H341" s="1" t="str">
        <f t="shared" si="60"/>
        <v xml:space="preserve"> 17.2870</v>
      </c>
      <c r="K341" s="1" t="str">
        <f t="shared" si="54"/>
        <v>MD193</v>
      </c>
      <c r="L341" s="1">
        <v>22</v>
      </c>
      <c r="M341" s="1">
        <v>501</v>
      </c>
      <c r="N341" s="1" t="str">
        <f t="shared" si="58"/>
        <v>207+277</v>
      </c>
      <c r="O341" t="str">
        <f t="shared" si="57"/>
        <v>DB</v>
      </c>
    </row>
    <row r="342" spans="1:15" x14ac:dyDescent="0.2">
      <c r="A342" t="s">
        <v>665</v>
      </c>
      <c r="B342" t="s">
        <v>666</v>
      </c>
      <c r="G342" s="1" t="str">
        <f t="shared" si="59"/>
        <v>104.4859</v>
      </c>
      <c r="H342" s="1" t="str">
        <f t="shared" si="60"/>
        <v xml:space="preserve"> 17.2869</v>
      </c>
      <c r="K342" s="1" t="str">
        <f t="shared" si="54"/>
        <v>MD194</v>
      </c>
      <c r="L342" s="1">
        <v>22</v>
      </c>
      <c r="M342" s="1">
        <v>501</v>
      </c>
      <c r="N342" s="1" t="str">
        <f t="shared" si="58"/>
        <v>207+312</v>
      </c>
      <c r="O342" t="str">
        <f t="shared" si="57"/>
        <v>DB</v>
      </c>
    </row>
    <row r="343" spans="1:15" x14ac:dyDescent="0.2">
      <c r="A343" t="s">
        <v>667</v>
      </c>
      <c r="B343" t="s">
        <v>668</v>
      </c>
      <c r="G343" s="1" t="str">
        <f t="shared" si="59"/>
        <v>104.4862</v>
      </c>
      <c r="H343" s="1" t="str">
        <f>MID(A343,18,7)</f>
        <v>17.2869</v>
      </c>
      <c r="K343" s="1" t="str">
        <f t="shared" ref="K343:K348" si="61">MID(B343,1,5)</f>
        <v>MD195</v>
      </c>
      <c r="L343" s="1">
        <v>22</v>
      </c>
      <c r="M343" s="1">
        <v>501</v>
      </c>
      <c r="N343" s="1" t="str">
        <f t="shared" si="58"/>
        <v>207+347</v>
      </c>
      <c r="O343" t="str">
        <f t="shared" si="57"/>
        <v>DB</v>
      </c>
    </row>
    <row r="344" spans="1:15" x14ac:dyDescent="0.2">
      <c r="A344" t="s">
        <v>669</v>
      </c>
      <c r="B344" t="s">
        <v>1162</v>
      </c>
      <c r="G344" s="1" t="str">
        <f t="shared" si="59"/>
        <v>104.4865</v>
      </c>
      <c r="H344" s="1" t="str">
        <f>MID(A344,18,7)</f>
        <v>17.2868</v>
      </c>
      <c r="K344" s="1" t="str">
        <f t="shared" si="61"/>
        <v>MD196</v>
      </c>
      <c r="L344" s="1">
        <v>22</v>
      </c>
      <c r="M344" s="1">
        <v>501</v>
      </c>
      <c r="N344" s="1" t="str">
        <f t="shared" si="58"/>
        <v>207+382</v>
      </c>
      <c r="O344" t="str">
        <f t="shared" si="57"/>
        <v>DB</v>
      </c>
    </row>
    <row r="345" spans="1:15" x14ac:dyDescent="0.2">
      <c r="A345" t="s">
        <v>670</v>
      </c>
      <c r="B345" t="s">
        <v>671</v>
      </c>
      <c r="G345" s="1" t="str">
        <f t="shared" si="59"/>
        <v>104.4868</v>
      </c>
      <c r="H345" s="1" t="str">
        <f t="shared" si="60"/>
        <v xml:space="preserve"> 17.2868</v>
      </c>
      <c r="K345" s="1" t="str">
        <f t="shared" si="61"/>
        <v>MD197</v>
      </c>
      <c r="L345" s="1">
        <v>22</v>
      </c>
      <c r="M345" s="1">
        <v>501</v>
      </c>
      <c r="N345" s="1" t="str">
        <f t="shared" si="58"/>
        <v>207+417</v>
      </c>
      <c r="O345" t="str">
        <f t="shared" si="57"/>
        <v>DB</v>
      </c>
    </row>
    <row r="346" spans="1:15" x14ac:dyDescent="0.2">
      <c r="A346" t="s">
        <v>672</v>
      </c>
      <c r="B346" t="s">
        <v>1163</v>
      </c>
      <c r="G346" s="1" t="str">
        <f t="shared" si="59"/>
        <v>104.4872</v>
      </c>
      <c r="H346" s="1" t="str">
        <f>MID(A346,18,7)</f>
        <v>17.2868</v>
      </c>
      <c r="K346" s="1" t="str">
        <f t="shared" si="61"/>
        <v>MD198</v>
      </c>
      <c r="L346" s="1">
        <v>22</v>
      </c>
      <c r="M346" s="1">
        <v>501</v>
      </c>
      <c r="N346" s="1" t="str">
        <f t="shared" si="58"/>
        <v>207+452</v>
      </c>
      <c r="O346" t="str">
        <f t="shared" si="57"/>
        <v>DB</v>
      </c>
    </row>
    <row r="347" spans="1:15" x14ac:dyDescent="0.2">
      <c r="A347" t="s">
        <v>673</v>
      </c>
      <c r="B347" t="s">
        <v>674</v>
      </c>
      <c r="G347" s="1" t="str">
        <f t="shared" si="59"/>
        <v>104.4875</v>
      </c>
      <c r="H347" s="1" t="str">
        <f t="shared" si="60"/>
        <v xml:space="preserve"> 17.2867</v>
      </c>
      <c r="K347" s="1" t="str">
        <f t="shared" si="61"/>
        <v>MD199</v>
      </c>
      <c r="L347" s="1">
        <v>22</v>
      </c>
      <c r="M347" s="1">
        <v>501</v>
      </c>
      <c r="N347" s="1" t="str">
        <f>MID(B347,18,7)</f>
        <v>207+487</v>
      </c>
      <c r="O347" t="str">
        <f t="shared" si="57"/>
        <v>DB</v>
      </c>
    </row>
    <row r="348" spans="1:15" x14ac:dyDescent="0.2">
      <c r="A348" t="s">
        <v>675</v>
      </c>
      <c r="B348" t="s">
        <v>676</v>
      </c>
      <c r="G348" s="1" t="str">
        <f t="shared" si="59"/>
        <v>104.4878</v>
      </c>
      <c r="H348" s="1" t="str">
        <f t="shared" si="60"/>
        <v xml:space="preserve"> 17.2867</v>
      </c>
      <c r="K348" s="1" t="str">
        <f t="shared" si="61"/>
        <v>MD200</v>
      </c>
      <c r="L348" s="1">
        <v>22</v>
      </c>
      <c r="M348" s="1">
        <v>501</v>
      </c>
      <c r="N348" s="1" t="str">
        <f t="shared" ref="N348:N411" si="62">MID(B348,18,7)</f>
        <v>207+522</v>
      </c>
      <c r="O348" t="str">
        <f t="shared" si="57"/>
        <v>DB</v>
      </c>
    </row>
    <row r="349" spans="1:15" x14ac:dyDescent="0.2">
      <c r="A349" t="s">
        <v>677</v>
      </c>
      <c r="B349" t="s">
        <v>678</v>
      </c>
      <c r="G349" s="1" t="str">
        <f t="shared" si="59"/>
        <v>104.4878</v>
      </c>
      <c r="H349" s="1" t="str">
        <f t="shared" si="60"/>
        <v xml:space="preserve"> 17.2865</v>
      </c>
      <c r="I349" s="1" t="str">
        <f>MID(B349,1,3)</f>
        <v>RT2</v>
      </c>
      <c r="L349" s="1">
        <v>22</v>
      </c>
      <c r="M349" s="1">
        <v>501</v>
      </c>
      <c r="N349" s="1" t="str">
        <f>MID(B349,17,7)</f>
        <v>207+522</v>
      </c>
      <c r="O349" t="str">
        <f>MID(B349,6,2)</f>
        <v>SG</v>
      </c>
    </row>
    <row r="350" spans="1:15" x14ac:dyDescent="0.2">
      <c r="A350" t="s">
        <v>679</v>
      </c>
      <c r="B350" t="s">
        <v>680</v>
      </c>
      <c r="G350" s="1" t="str">
        <f t="shared" si="59"/>
        <v>104.4882</v>
      </c>
      <c r="H350" s="1" t="str">
        <f t="shared" si="60"/>
        <v xml:space="preserve"> 17.2867</v>
      </c>
      <c r="K350" s="1" t="str">
        <f t="shared" ref="K350:K371" si="63">MID(B350,1,5)</f>
        <v>MD201</v>
      </c>
      <c r="L350" s="1">
        <v>22</v>
      </c>
      <c r="M350" s="1">
        <v>501</v>
      </c>
      <c r="N350" s="1" t="str">
        <f t="shared" si="62"/>
        <v>207+557</v>
      </c>
      <c r="O350" t="str">
        <f t="shared" si="57"/>
        <v>DB</v>
      </c>
    </row>
    <row r="351" spans="1:15" x14ac:dyDescent="0.2">
      <c r="A351" t="s">
        <v>681</v>
      </c>
      <c r="B351" t="s">
        <v>682</v>
      </c>
      <c r="G351" s="1" t="str">
        <f t="shared" si="59"/>
        <v>104.4885</v>
      </c>
      <c r="H351" s="1" t="str">
        <f t="shared" si="60"/>
        <v xml:space="preserve"> 17.2867</v>
      </c>
      <c r="K351" s="1" t="str">
        <f t="shared" si="63"/>
        <v>MD202</v>
      </c>
      <c r="L351" s="1">
        <v>22</v>
      </c>
      <c r="M351" s="1">
        <v>501</v>
      </c>
      <c r="N351" s="1" t="str">
        <f t="shared" si="62"/>
        <v>207+592</v>
      </c>
      <c r="O351" t="str">
        <f t="shared" si="57"/>
        <v>DB</v>
      </c>
    </row>
    <row r="352" spans="1:15" x14ac:dyDescent="0.2">
      <c r="A352" t="s">
        <v>683</v>
      </c>
      <c r="B352" t="s">
        <v>684</v>
      </c>
      <c r="G352" s="1" t="str">
        <f t="shared" si="59"/>
        <v>104.4888</v>
      </c>
      <c r="H352" s="1" t="str">
        <f>MID(A352,18,7)</f>
        <v>17.2866</v>
      </c>
      <c r="K352" s="1" t="str">
        <f t="shared" si="63"/>
        <v>MD203</v>
      </c>
      <c r="L352" s="1">
        <v>22</v>
      </c>
      <c r="M352" s="1">
        <v>501</v>
      </c>
      <c r="N352" s="1" t="str">
        <f t="shared" si="62"/>
        <v>207+627</v>
      </c>
      <c r="O352" t="str">
        <f t="shared" si="57"/>
        <v>DB</v>
      </c>
    </row>
    <row r="353" spans="1:15" x14ac:dyDescent="0.2">
      <c r="A353" t="s">
        <v>685</v>
      </c>
      <c r="B353" t="s">
        <v>686</v>
      </c>
      <c r="G353" s="1" t="str">
        <f t="shared" si="59"/>
        <v>104.4891</v>
      </c>
      <c r="H353" s="1" t="str">
        <f t="shared" si="60"/>
        <v xml:space="preserve"> 17.2866</v>
      </c>
      <c r="K353" s="1" t="str">
        <f t="shared" si="63"/>
        <v>MD204</v>
      </c>
      <c r="L353" s="1">
        <v>22</v>
      </c>
      <c r="M353" s="1">
        <v>501</v>
      </c>
      <c r="N353" s="1" t="str">
        <f t="shared" si="62"/>
        <v>207+662</v>
      </c>
      <c r="O353" t="str">
        <f t="shared" si="57"/>
        <v>DB</v>
      </c>
    </row>
    <row r="354" spans="1:15" x14ac:dyDescent="0.2">
      <c r="A354" t="s">
        <v>687</v>
      </c>
      <c r="B354" t="s">
        <v>688</v>
      </c>
      <c r="G354" s="1" t="str">
        <f t="shared" si="59"/>
        <v>104.4895</v>
      </c>
      <c r="H354" s="1" t="str">
        <f t="shared" si="60"/>
        <v xml:space="preserve"> 17.2866</v>
      </c>
      <c r="K354" s="1" t="str">
        <f t="shared" si="63"/>
        <v>MD205</v>
      </c>
      <c r="L354" s="1">
        <v>22</v>
      </c>
      <c r="M354" s="1">
        <v>501</v>
      </c>
      <c r="N354" s="1" t="str">
        <f t="shared" si="62"/>
        <v>207+697</v>
      </c>
      <c r="O354" t="str">
        <f t="shared" si="57"/>
        <v>DB</v>
      </c>
    </row>
    <row r="355" spans="1:15" x14ac:dyDescent="0.2">
      <c r="A355" t="s">
        <v>689</v>
      </c>
      <c r="B355" t="s">
        <v>690</v>
      </c>
      <c r="G355" s="1" t="str">
        <f t="shared" si="59"/>
        <v>104.4898</v>
      </c>
      <c r="H355" s="1" t="str">
        <f t="shared" si="60"/>
        <v xml:space="preserve"> 17.2866</v>
      </c>
      <c r="K355" s="1" t="str">
        <f t="shared" si="63"/>
        <v>MD206</v>
      </c>
      <c r="L355" s="1">
        <v>22</v>
      </c>
      <c r="M355" s="1">
        <v>501</v>
      </c>
      <c r="N355" s="1" t="str">
        <f t="shared" si="62"/>
        <v>207+732</v>
      </c>
      <c r="O355" t="str">
        <f t="shared" si="57"/>
        <v>DB</v>
      </c>
    </row>
    <row r="356" spans="1:15" x14ac:dyDescent="0.2">
      <c r="A356" t="s">
        <v>691</v>
      </c>
      <c r="B356" t="s">
        <v>692</v>
      </c>
      <c r="G356" s="1" t="str">
        <f t="shared" si="59"/>
        <v>104.4901</v>
      </c>
      <c r="H356" s="1" t="str">
        <f t="shared" si="60"/>
        <v xml:space="preserve"> 17.2866</v>
      </c>
      <c r="K356" s="1" t="str">
        <f t="shared" si="63"/>
        <v>MD207</v>
      </c>
      <c r="L356" s="1">
        <v>22</v>
      </c>
      <c r="M356" s="1">
        <v>501</v>
      </c>
      <c r="N356" s="1" t="str">
        <f t="shared" si="62"/>
        <v>207+767</v>
      </c>
      <c r="O356" t="str">
        <f t="shared" si="57"/>
        <v>DB</v>
      </c>
    </row>
    <row r="357" spans="1:15" x14ac:dyDescent="0.2">
      <c r="A357" t="s">
        <v>693</v>
      </c>
      <c r="B357" t="s">
        <v>1164</v>
      </c>
      <c r="G357" s="1" t="str">
        <f t="shared" si="59"/>
        <v>104.4905</v>
      </c>
      <c r="H357" s="1" t="str">
        <f t="shared" si="60"/>
        <v xml:space="preserve"> 17.2866</v>
      </c>
      <c r="K357" s="1" t="str">
        <f t="shared" si="63"/>
        <v>MD208</v>
      </c>
      <c r="L357" s="1">
        <v>22</v>
      </c>
      <c r="M357" s="1">
        <v>501</v>
      </c>
      <c r="N357" s="1" t="str">
        <f t="shared" si="62"/>
        <v>207+802</v>
      </c>
      <c r="O357" t="str">
        <f t="shared" si="57"/>
        <v>DB</v>
      </c>
    </row>
    <row r="358" spans="1:15" x14ac:dyDescent="0.2">
      <c r="A358" t="s">
        <v>694</v>
      </c>
      <c r="B358" t="s">
        <v>695</v>
      </c>
      <c r="G358" s="1" t="str">
        <f t="shared" si="59"/>
        <v>104.4908</v>
      </c>
      <c r="H358" s="1" t="str">
        <f t="shared" si="60"/>
        <v xml:space="preserve"> 17.2866</v>
      </c>
      <c r="K358" s="1" t="str">
        <f t="shared" si="63"/>
        <v>MD209</v>
      </c>
      <c r="L358" s="1">
        <v>22</v>
      </c>
      <c r="M358" s="1">
        <v>501</v>
      </c>
      <c r="N358" s="1" t="str">
        <f t="shared" si="62"/>
        <v>207+837</v>
      </c>
      <c r="O358" t="str">
        <f t="shared" si="57"/>
        <v>DB</v>
      </c>
    </row>
    <row r="359" spans="1:15" x14ac:dyDescent="0.2">
      <c r="A359" t="s">
        <v>696</v>
      </c>
      <c r="B359" t="s">
        <v>697</v>
      </c>
      <c r="G359" s="1" t="str">
        <f t="shared" si="59"/>
        <v>104.4911</v>
      </c>
      <c r="H359" s="1" t="str">
        <f t="shared" si="60"/>
        <v xml:space="preserve"> 17.2865</v>
      </c>
      <c r="K359" s="1" t="str">
        <f t="shared" si="63"/>
        <v>MD210</v>
      </c>
      <c r="L359" s="1">
        <v>22</v>
      </c>
      <c r="M359" s="1">
        <v>501</v>
      </c>
      <c r="N359" s="1" t="str">
        <f t="shared" si="62"/>
        <v>207+872</v>
      </c>
      <c r="O359" t="str">
        <f t="shared" si="57"/>
        <v>DB</v>
      </c>
    </row>
    <row r="360" spans="1:15" x14ac:dyDescent="0.2">
      <c r="A360" t="s">
        <v>698</v>
      </c>
      <c r="B360" t="s">
        <v>699</v>
      </c>
      <c r="G360" s="1" t="str">
        <f t="shared" si="59"/>
        <v>104.4914</v>
      </c>
      <c r="H360" s="1" t="str">
        <f t="shared" si="60"/>
        <v xml:space="preserve"> 17.2865</v>
      </c>
      <c r="K360" s="1" t="str">
        <f t="shared" si="63"/>
        <v>MD211</v>
      </c>
      <c r="L360" s="1">
        <v>22</v>
      </c>
      <c r="M360" s="1">
        <v>501</v>
      </c>
      <c r="N360" s="1" t="str">
        <f t="shared" si="62"/>
        <v>207+907</v>
      </c>
      <c r="O360" t="str">
        <f t="shared" si="57"/>
        <v>DB</v>
      </c>
    </row>
    <row r="361" spans="1:15" x14ac:dyDescent="0.2">
      <c r="A361" t="s">
        <v>700</v>
      </c>
      <c r="B361" t="s">
        <v>701</v>
      </c>
      <c r="G361" s="1" t="str">
        <f t="shared" si="59"/>
        <v>104.4918</v>
      </c>
      <c r="H361" s="1" t="str">
        <f t="shared" si="60"/>
        <v xml:space="preserve"> 17.2865</v>
      </c>
      <c r="K361" s="1" t="str">
        <f t="shared" si="63"/>
        <v>MD212</v>
      </c>
      <c r="L361" s="1">
        <v>22</v>
      </c>
      <c r="M361" s="1">
        <v>501</v>
      </c>
      <c r="N361" s="1" t="str">
        <f t="shared" si="62"/>
        <v>207+942</v>
      </c>
      <c r="O361" t="str">
        <f t="shared" si="57"/>
        <v>DB</v>
      </c>
    </row>
    <row r="362" spans="1:15" x14ac:dyDescent="0.2">
      <c r="A362" t="s">
        <v>702</v>
      </c>
      <c r="B362" t="s">
        <v>703</v>
      </c>
      <c r="G362" s="1" t="str">
        <f t="shared" si="59"/>
        <v>104.4921</v>
      </c>
      <c r="H362" s="1" t="str">
        <f t="shared" si="60"/>
        <v xml:space="preserve"> 17.2865</v>
      </c>
      <c r="K362" s="1" t="str">
        <f t="shared" si="63"/>
        <v>MD213</v>
      </c>
      <c r="L362" s="1">
        <v>22</v>
      </c>
      <c r="M362" s="1">
        <v>501</v>
      </c>
      <c r="N362" s="1" t="str">
        <f t="shared" si="62"/>
        <v>207+977</v>
      </c>
      <c r="O362" t="str">
        <f t="shared" si="57"/>
        <v>DB</v>
      </c>
    </row>
    <row r="363" spans="1:15" x14ac:dyDescent="0.2">
      <c r="A363" t="s">
        <v>704</v>
      </c>
      <c r="B363" t="s">
        <v>705</v>
      </c>
      <c r="G363" s="1" t="str">
        <f t="shared" si="59"/>
        <v>104.4924</v>
      </c>
      <c r="H363" s="1" t="str">
        <f t="shared" si="60"/>
        <v xml:space="preserve"> 17.2865</v>
      </c>
      <c r="K363" s="1" t="str">
        <f t="shared" si="63"/>
        <v>MD214</v>
      </c>
      <c r="L363" s="1">
        <v>22</v>
      </c>
      <c r="M363" s="1">
        <v>501</v>
      </c>
      <c r="N363" s="1" t="str">
        <f t="shared" si="62"/>
        <v>208+012</v>
      </c>
      <c r="O363" t="str">
        <f t="shared" si="57"/>
        <v>DB</v>
      </c>
    </row>
    <row r="364" spans="1:15" x14ac:dyDescent="0.2">
      <c r="A364" t="s">
        <v>706</v>
      </c>
      <c r="B364" t="s">
        <v>707</v>
      </c>
      <c r="G364" s="1" t="str">
        <f t="shared" si="59"/>
        <v>104.4928</v>
      </c>
      <c r="H364" s="1" t="str">
        <f t="shared" si="60"/>
        <v xml:space="preserve"> 17.2865</v>
      </c>
      <c r="K364" s="1" t="str">
        <f t="shared" si="63"/>
        <v>MD215</v>
      </c>
      <c r="L364" s="1">
        <v>22</v>
      </c>
      <c r="M364" s="1">
        <v>501</v>
      </c>
      <c r="N364" s="1" t="str">
        <f t="shared" si="62"/>
        <v>208+047</v>
      </c>
      <c r="O364" t="str">
        <f t="shared" si="57"/>
        <v>DB</v>
      </c>
    </row>
    <row r="365" spans="1:15" x14ac:dyDescent="0.2">
      <c r="A365" t="s">
        <v>708</v>
      </c>
      <c r="B365" t="s">
        <v>709</v>
      </c>
      <c r="G365" s="1" t="str">
        <f t="shared" si="59"/>
        <v>104.4931</v>
      </c>
      <c r="H365" s="1" t="str">
        <f t="shared" si="60"/>
        <v xml:space="preserve"> 17.2864</v>
      </c>
      <c r="K365" s="1" t="str">
        <f t="shared" si="63"/>
        <v>MD216</v>
      </c>
      <c r="L365" s="1">
        <v>22</v>
      </c>
      <c r="M365" s="1">
        <v>501</v>
      </c>
      <c r="N365" s="1" t="str">
        <f t="shared" si="62"/>
        <v>208+082</v>
      </c>
      <c r="O365" t="str">
        <f t="shared" si="57"/>
        <v>DB</v>
      </c>
    </row>
    <row r="366" spans="1:15" x14ac:dyDescent="0.2">
      <c r="A366" t="s">
        <v>710</v>
      </c>
      <c r="B366" t="s">
        <v>711</v>
      </c>
      <c r="G366" s="1" t="str">
        <f t="shared" si="59"/>
        <v>104.4934</v>
      </c>
      <c r="H366" s="1" t="str">
        <f t="shared" si="60"/>
        <v xml:space="preserve"> 17.2864</v>
      </c>
      <c r="K366" s="1" t="str">
        <f t="shared" si="63"/>
        <v>MD217</v>
      </c>
      <c r="L366" s="1">
        <v>22</v>
      </c>
      <c r="M366" s="1">
        <v>501</v>
      </c>
      <c r="N366" s="1" t="str">
        <f t="shared" si="62"/>
        <v>208+117</v>
      </c>
      <c r="O366" t="str">
        <f t="shared" si="57"/>
        <v>DB</v>
      </c>
    </row>
    <row r="367" spans="1:15" x14ac:dyDescent="0.2">
      <c r="A367" t="s">
        <v>712</v>
      </c>
      <c r="B367" t="s">
        <v>713</v>
      </c>
      <c r="G367" s="1" t="str">
        <f t="shared" si="59"/>
        <v>104.4937</v>
      </c>
      <c r="H367" s="1" t="str">
        <f t="shared" si="60"/>
        <v xml:space="preserve"> 17.2864</v>
      </c>
      <c r="K367" s="1" t="str">
        <f t="shared" si="63"/>
        <v>MD218</v>
      </c>
      <c r="L367" s="1">
        <v>22</v>
      </c>
      <c r="M367" s="1">
        <v>501</v>
      </c>
      <c r="N367" s="1" t="str">
        <f t="shared" si="62"/>
        <v>208+152</v>
      </c>
      <c r="O367" t="str">
        <f t="shared" si="57"/>
        <v>DB</v>
      </c>
    </row>
    <row r="368" spans="1:15" x14ac:dyDescent="0.2">
      <c r="A368" t="s">
        <v>714</v>
      </c>
      <c r="B368" t="s">
        <v>715</v>
      </c>
      <c r="G368" s="1" t="str">
        <f t="shared" si="59"/>
        <v>104.4941</v>
      </c>
      <c r="H368" s="1" t="str">
        <f t="shared" si="60"/>
        <v xml:space="preserve"> 17.2864</v>
      </c>
      <c r="K368" s="1" t="str">
        <f t="shared" si="63"/>
        <v>MD219</v>
      </c>
      <c r="L368" s="1">
        <v>22</v>
      </c>
      <c r="M368" s="1">
        <v>501</v>
      </c>
      <c r="N368" s="1" t="str">
        <f t="shared" si="62"/>
        <v>208+187</v>
      </c>
      <c r="O368" t="str">
        <f t="shared" si="57"/>
        <v>DB</v>
      </c>
    </row>
    <row r="369" spans="1:15" x14ac:dyDescent="0.2">
      <c r="A369" t="s">
        <v>716</v>
      </c>
      <c r="B369" t="s">
        <v>717</v>
      </c>
      <c r="G369" s="1" t="str">
        <f t="shared" si="59"/>
        <v>104.4944</v>
      </c>
      <c r="H369" s="1" t="str">
        <f t="shared" si="60"/>
        <v xml:space="preserve"> 17.2864</v>
      </c>
      <c r="K369" s="1" t="str">
        <f t="shared" si="63"/>
        <v>MD220</v>
      </c>
      <c r="L369" s="1">
        <v>22</v>
      </c>
      <c r="M369" s="1">
        <v>501</v>
      </c>
      <c r="N369" s="1" t="str">
        <f t="shared" si="62"/>
        <v>208+222</v>
      </c>
      <c r="O369" t="str">
        <f t="shared" si="57"/>
        <v>DB</v>
      </c>
    </row>
    <row r="370" spans="1:15" x14ac:dyDescent="0.2">
      <c r="A370" t="s">
        <v>718</v>
      </c>
      <c r="B370" t="s">
        <v>719</v>
      </c>
      <c r="G370" s="1" t="str">
        <f t="shared" si="59"/>
        <v>104.4947</v>
      </c>
      <c r="H370" s="1" t="str">
        <f t="shared" si="60"/>
        <v xml:space="preserve"> 17.2864</v>
      </c>
      <c r="K370" s="1" t="str">
        <f t="shared" si="63"/>
        <v>MD221</v>
      </c>
      <c r="L370" s="1">
        <v>22</v>
      </c>
      <c r="M370" s="1">
        <v>501</v>
      </c>
      <c r="N370" s="1" t="str">
        <f t="shared" si="62"/>
        <v>208+257</v>
      </c>
      <c r="O370" t="str">
        <f t="shared" si="57"/>
        <v>DB</v>
      </c>
    </row>
    <row r="371" spans="1:15" x14ac:dyDescent="0.2">
      <c r="A371" t="s">
        <v>720</v>
      </c>
      <c r="B371" t="s">
        <v>721</v>
      </c>
      <c r="G371" s="1" t="str">
        <f t="shared" si="59"/>
        <v>104.4951</v>
      </c>
      <c r="H371" s="1" t="str">
        <f t="shared" si="60"/>
        <v xml:space="preserve"> 17.2863</v>
      </c>
      <c r="K371" s="1" t="str">
        <f t="shared" si="63"/>
        <v>MD222</v>
      </c>
      <c r="L371" s="1">
        <v>22</v>
      </c>
      <c r="M371" s="1">
        <v>501</v>
      </c>
      <c r="N371" s="1" t="str">
        <f t="shared" si="62"/>
        <v>208+292</v>
      </c>
      <c r="O371" t="str">
        <f t="shared" si="57"/>
        <v>DB</v>
      </c>
    </row>
    <row r="372" spans="1:15" x14ac:dyDescent="0.2">
      <c r="A372" t="s">
        <v>722</v>
      </c>
      <c r="B372" t="s">
        <v>723</v>
      </c>
      <c r="G372" s="1" t="str">
        <f t="shared" si="59"/>
        <v>104.4951</v>
      </c>
      <c r="H372" s="1" t="str">
        <f>MID(A372,18,7)</f>
        <v>17.2865</v>
      </c>
      <c r="J372" s="1" t="str">
        <f>MID(B372,1,4)</f>
        <v>LT65</v>
      </c>
      <c r="L372" s="1">
        <v>22</v>
      </c>
      <c r="M372" s="1">
        <v>501</v>
      </c>
      <c r="N372" s="1" t="str">
        <f>MID(B372,17,7)</f>
        <v>208+292</v>
      </c>
      <c r="O372" t="str">
        <f>MID(B372,6,2)</f>
        <v>SG</v>
      </c>
    </row>
    <row r="373" spans="1:15" x14ac:dyDescent="0.2">
      <c r="A373" t="s">
        <v>724</v>
      </c>
      <c r="B373" t="s">
        <v>725</v>
      </c>
      <c r="G373" s="1" t="str">
        <f t="shared" si="59"/>
        <v>104.4954</v>
      </c>
      <c r="H373" s="1" t="str">
        <f t="shared" si="60"/>
        <v xml:space="preserve"> 17.2863</v>
      </c>
      <c r="K373" s="1" t="str">
        <f>MID(B373,1,5)</f>
        <v>MD223</v>
      </c>
      <c r="L373" s="1">
        <v>22</v>
      </c>
      <c r="M373" s="1">
        <v>501</v>
      </c>
      <c r="N373" s="1" t="str">
        <f t="shared" si="62"/>
        <v>208+327</v>
      </c>
      <c r="O373" t="str">
        <f t="shared" si="57"/>
        <v>DB</v>
      </c>
    </row>
    <row r="374" spans="1:15" x14ac:dyDescent="0.2">
      <c r="A374" t="s">
        <v>726</v>
      </c>
      <c r="B374" t="s">
        <v>727</v>
      </c>
      <c r="G374" s="1" t="str">
        <f t="shared" si="59"/>
        <v>104.4954</v>
      </c>
      <c r="H374" s="1" t="str">
        <f t="shared" si="60"/>
        <v xml:space="preserve"> 17.2865</v>
      </c>
      <c r="J374" s="1" t="str">
        <f>MID(B374,1,4)</f>
        <v>LT66</v>
      </c>
      <c r="L374" s="1">
        <v>22</v>
      </c>
      <c r="M374" s="1">
        <v>501</v>
      </c>
      <c r="N374" s="1" t="str">
        <f>MID(B374,17,7)</f>
        <v>208+327</v>
      </c>
      <c r="O374" t="str">
        <f>MID(B374,6,2)</f>
        <v>SG</v>
      </c>
    </row>
    <row r="375" spans="1:15" x14ac:dyDescent="0.2">
      <c r="A375" t="s">
        <v>728</v>
      </c>
      <c r="B375" t="s">
        <v>729</v>
      </c>
      <c r="G375" s="1" t="str">
        <f t="shared" si="59"/>
        <v>104.4957</v>
      </c>
      <c r="H375" s="1" t="str">
        <f t="shared" si="60"/>
        <v xml:space="preserve"> 17.2863</v>
      </c>
      <c r="K375" s="1" t="str">
        <f t="shared" ref="K375:K406" si="64">MID(B375,1,5)</f>
        <v>MD224</v>
      </c>
      <c r="L375" s="1">
        <v>22</v>
      </c>
      <c r="M375" s="1">
        <v>501</v>
      </c>
      <c r="N375" s="1" t="str">
        <f t="shared" si="62"/>
        <v>208+362</v>
      </c>
      <c r="O375" t="str">
        <f>MID(B375,7,2)</f>
        <v>DB</v>
      </c>
    </row>
    <row r="376" spans="1:15" x14ac:dyDescent="0.2">
      <c r="A376" t="s">
        <v>730</v>
      </c>
      <c r="B376" t="s">
        <v>731</v>
      </c>
      <c r="G376" s="1" t="str">
        <f t="shared" si="59"/>
        <v>104.4960</v>
      </c>
      <c r="H376" s="1" t="str">
        <f t="shared" si="60"/>
        <v xml:space="preserve"> 17.2863</v>
      </c>
      <c r="K376" s="1" t="str">
        <f t="shared" si="64"/>
        <v>MD225</v>
      </c>
      <c r="L376" s="1">
        <v>22</v>
      </c>
      <c r="M376" s="1">
        <v>501</v>
      </c>
      <c r="N376" s="1" t="str">
        <f t="shared" si="62"/>
        <v>208+397</v>
      </c>
      <c r="O376" t="str">
        <f>MID(B376,7,2)</f>
        <v>DB</v>
      </c>
    </row>
    <row r="377" spans="1:15" x14ac:dyDescent="0.2">
      <c r="A377" t="s">
        <v>732</v>
      </c>
      <c r="B377" t="s">
        <v>733</v>
      </c>
      <c r="G377" s="1" t="str">
        <f t="shared" si="59"/>
        <v>104.4964</v>
      </c>
      <c r="H377" s="1" t="str">
        <f t="shared" si="60"/>
        <v xml:space="preserve"> 17.2863</v>
      </c>
      <c r="K377" s="1" t="str">
        <f t="shared" si="64"/>
        <v>MD226</v>
      </c>
      <c r="L377" s="1">
        <v>22</v>
      </c>
      <c r="M377" s="1">
        <v>501</v>
      </c>
      <c r="N377" s="1" t="str">
        <f t="shared" si="62"/>
        <v>208+432</v>
      </c>
      <c r="O377" t="str">
        <f t="shared" ref="O377:O440" si="65">MID(B377,7,2)</f>
        <v>DB</v>
      </c>
    </row>
    <row r="378" spans="1:15" x14ac:dyDescent="0.2">
      <c r="A378" t="s">
        <v>734</v>
      </c>
      <c r="B378" t="s">
        <v>735</v>
      </c>
      <c r="G378" s="1" t="str">
        <f t="shared" si="59"/>
        <v>104.4967</v>
      </c>
      <c r="H378" s="1" t="str">
        <f t="shared" si="60"/>
        <v xml:space="preserve"> 17.2863</v>
      </c>
      <c r="K378" s="1" t="str">
        <f t="shared" si="64"/>
        <v>MD227</v>
      </c>
      <c r="L378" s="1">
        <v>22</v>
      </c>
      <c r="M378" s="1">
        <v>501</v>
      </c>
      <c r="N378" s="1" t="str">
        <f t="shared" si="62"/>
        <v>208+467</v>
      </c>
      <c r="O378" t="str">
        <f t="shared" si="65"/>
        <v>DB</v>
      </c>
    </row>
    <row r="379" spans="1:15" x14ac:dyDescent="0.2">
      <c r="A379" t="s">
        <v>736</v>
      </c>
      <c r="B379" t="s">
        <v>737</v>
      </c>
      <c r="G379" s="1" t="str">
        <f t="shared" si="59"/>
        <v>104.4970</v>
      </c>
      <c r="H379" s="1" t="str">
        <f t="shared" si="60"/>
        <v xml:space="preserve"> 17.2862</v>
      </c>
      <c r="K379" s="1" t="str">
        <f t="shared" si="64"/>
        <v>MD228</v>
      </c>
      <c r="L379" s="1">
        <v>22</v>
      </c>
      <c r="M379" s="1">
        <v>501</v>
      </c>
      <c r="N379" s="1" t="str">
        <f t="shared" si="62"/>
        <v>208+502</v>
      </c>
      <c r="O379" t="str">
        <f t="shared" si="65"/>
        <v>DB</v>
      </c>
    </row>
    <row r="380" spans="1:15" x14ac:dyDescent="0.2">
      <c r="A380" t="s">
        <v>738</v>
      </c>
      <c r="B380" t="s">
        <v>739</v>
      </c>
      <c r="G380" s="1" t="str">
        <f t="shared" si="59"/>
        <v>104.4974</v>
      </c>
      <c r="H380" s="1" t="str">
        <f t="shared" si="60"/>
        <v xml:space="preserve"> 17.2862</v>
      </c>
      <c r="K380" s="1" t="str">
        <f t="shared" si="64"/>
        <v>MD229</v>
      </c>
      <c r="L380" s="1">
        <v>22</v>
      </c>
      <c r="M380" s="1">
        <v>501</v>
      </c>
      <c r="N380" s="1" t="str">
        <f t="shared" si="62"/>
        <v>208+537</v>
      </c>
      <c r="O380" t="str">
        <f t="shared" si="65"/>
        <v>DB</v>
      </c>
    </row>
    <row r="381" spans="1:15" x14ac:dyDescent="0.2">
      <c r="A381" t="s">
        <v>740</v>
      </c>
      <c r="B381" t="s">
        <v>741</v>
      </c>
      <c r="G381" s="1" t="str">
        <f t="shared" si="59"/>
        <v>104.4977</v>
      </c>
      <c r="H381" s="1" t="str">
        <f t="shared" si="60"/>
        <v xml:space="preserve"> 17.2862</v>
      </c>
      <c r="K381" s="1" t="str">
        <f t="shared" si="64"/>
        <v>MD230</v>
      </c>
      <c r="L381" s="1">
        <v>22</v>
      </c>
      <c r="M381" s="1">
        <v>501</v>
      </c>
      <c r="N381" s="1" t="str">
        <f t="shared" si="62"/>
        <v>208+572</v>
      </c>
      <c r="O381" t="str">
        <f t="shared" si="65"/>
        <v>DB</v>
      </c>
    </row>
    <row r="382" spans="1:15" x14ac:dyDescent="0.2">
      <c r="A382" t="s">
        <v>742</v>
      </c>
      <c r="B382" t="s">
        <v>743</v>
      </c>
      <c r="G382" s="1" t="str">
        <f t="shared" si="59"/>
        <v>104.4980</v>
      </c>
      <c r="H382" s="1" t="str">
        <f t="shared" si="60"/>
        <v xml:space="preserve"> 17.2862</v>
      </c>
      <c r="K382" s="1" t="str">
        <f t="shared" si="64"/>
        <v>MD231</v>
      </c>
      <c r="L382" s="1">
        <v>22</v>
      </c>
      <c r="M382" s="1">
        <v>501</v>
      </c>
      <c r="N382" s="1" t="str">
        <f t="shared" si="62"/>
        <v>208+607</v>
      </c>
      <c r="O382" t="str">
        <f t="shared" si="65"/>
        <v>DB</v>
      </c>
    </row>
    <row r="383" spans="1:15" x14ac:dyDescent="0.2">
      <c r="A383" t="s">
        <v>744</v>
      </c>
      <c r="B383" t="s">
        <v>745</v>
      </c>
      <c r="G383" s="1" t="str">
        <f t="shared" si="59"/>
        <v>104.4984</v>
      </c>
      <c r="H383" s="1" t="str">
        <f t="shared" si="60"/>
        <v xml:space="preserve"> 17.2862</v>
      </c>
      <c r="K383" s="1" t="str">
        <f t="shared" si="64"/>
        <v>MD232</v>
      </c>
      <c r="L383" s="1">
        <v>22</v>
      </c>
      <c r="M383" s="1">
        <v>501</v>
      </c>
      <c r="N383" s="1" t="str">
        <f t="shared" si="62"/>
        <v>208+642</v>
      </c>
      <c r="O383" t="str">
        <f t="shared" si="65"/>
        <v>DB</v>
      </c>
    </row>
    <row r="384" spans="1:15" x14ac:dyDescent="0.2">
      <c r="A384" t="s">
        <v>746</v>
      </c>
      <c r="B384" t="s">
        <v>2422</v>
      </c>
      <c r="G384" s="1" t="str">
        <f t="shared" si="59"/>
        <v>104.4987</v>
      </c>
      <c r="H384" s="1" t="str">
        <f t="shared" si="60"/>
        <v xml:space="preserve"> 17.2861</v>
      </c>
      <c r="K384" s="1" t="str">
        <f t="shared" si="64"/>
        <v>MD233</v>
      </c>
      <c r="L384" s="1">
        <v>22</v>
      </c>
      <c r="M384" s="1">
        <v>501</v>
      </c>
      <c r="N384" s="1" t="str">
        <f t="shared" si="62"/>
        <v>208+677</v>
      </c>
      <c r="O384" t="str">
        <f t="shared" si="65"/>
        <v>DB</v>
      </c>
    </row>
    <row r="385" spans="1:15" x14ac:dyDescent="0.2">
      <c r="A385" t="s">
        <v>747</v>
      </c>
      <c r="B385" t="s">
        <v>748</v>
      </c>
      <c r="G385" s="1" t="str">
        <f t="shared" si="59"/>
        <v>104.4990</v>
      </c>
      <c r="H385" s="1" t="str">
        <f t="shared" si="60"/>
        <v xml:space="preserve"> 17.2861</v>
      </c>
      <c r="K385" s="1" t="str">
        <f t="shared" si="64"/>
        <v>MD234</v>
      </c>
      <c r="L385" s="1">
        <v>22</v>
      </c>
      <c r="M385" s="1">
        <v>501</v>
      </c>
      <c r="N385" s="1" t="str">
        <f t="shared" si="62"/>
        <v>208+712</v>
      </c>
      <c r="O385" t="str">
        <f t="shared" si="65"/>
        <v>DB</v>
      </c>
    </row>
    <row r="386" spans="1:15" x14ac:dyDescent="0.2">
      <c r="A386" t="s">
        <v>749</v>
      </c>
      <c r="B386" t="s">
        <v>750</v>
      </c>
      <c r="G386" s="1" t="str">
        <f t="shared" si="59"/>
        <v>104.4993</v>
      </c>
      <c r="H386" s="1" t="str">
        <f t="shared" si="60"/>
        <v xml:space="preserve"> 17.2861</v>
      </c>
      <c r="K386" s="1" t="str">
        <f t="shared" si="64"/>
        <v>MD235</v>
      </c>
      <c r="L386" s="1">
        <v>22</v>
      </c>
      <c r="M386" s="1">
        <v>501</v>
      </c>
      <c r="N386" s="1" t="str">
        <f t="shared" si="62"/>
        <v>208+747</v>
      </c>
      <c r="O386" t="str">
        <f t="shared" si="65"/>
        <v>DB</v>
      </c>
    </row>
    <row r="387" spans="1:15" x14ac:dyDescent="0.2">
      <c r="A387" t="s">
        <v>751</v>
      </c>
      <c r="B387" t="s">
        <v>752</v>
      </c>
      <c r="G387" s="1" t="str">
        <f t="shared" ref="G387:G450" si="66">MID(A387,8,8)</f>
        <v>104.4997</v>
      </c>
      <c r="H387" s="1" t="str">
        <f t="shared" ref="H387:H450" si="67">MID(A387,18,8)</f>
        <v xml:space="preserve"> 17.2861</v>
      </c>
      <c r="K387" s="1" t="str">
        <f t="shared" si="64"/>
        <v>MD236</v>
      </c>
      <c r="L387" s="1">
        <v>22</v>
      </c>
      <c r="M387" s="1">
        <v>501</v>
      </c>
      <c r="N387" s="1" t="str">
        <f t="shared" si="62"/>
        <v>208+782</v>
      </c>
      <c r="O387" t="str">
        <f t="shared" si="65"/>
        <v>DB</v>
      </c>
    </row>
    <row r="388" spans="1:15" x14ac:dyDescent="0.2">
      <c r="A388" t="s">
        <v>753</v>
      </c>
      <c r="B388" t="s">
        <v>754</v>
      </c>
      <c r="G388" s="1" t="str">
        <f t="shared" si="66"/>
        <v>104.5000</v>
      </c>
      <c r="H388" s="1" t="str">
        <f t="shared" si="67"/>
        <v xml:space="preserve"> 17.2861</v>
      </c>
      <c r="K388" s="1" t="str">
        <f t="shared" si="64"/>
        <v>MD237</v>
      </c>
      <c r="L388" s="1">
        <v>22</v>
      </c>
      <c r="M388" s="1">
        <v>501</v>
      </c>
      <c r="N388" s="1" t="str">
        <f t="shared" si="62"/>
        <v>208+815</v>
      </c>
      <c r="O388" t="str">
        <f t="shared" si="65"/>
        <v>DB</v>
      </c>
    </row>
    <row r="389" spans="1:15" x14ac:dyDescent="0.2">
      <c r="A389" t="s">
        <v>755</v>
      </c>
      <c r="B389" t="s">
        <v>756</v>
      </c>
      <c r="G389" s="1" t="str">
        <f t="shared" si="66"/>
        <v>104.5003</v>
      </c>
      <c r="H389" s="1" t="str">
        <f t="shared" si="67"/>
        <v xml:space="preserve"> 17.2861</v>
      </c>
      <c r="K389" s="1" t="str">
        <f t="shared" si="64"/>
        <v>MD238</v>
      </c>
      <c r="L389" s="1">
        <v>22</v>
      </c>
      <c r="M389" s="1">
        <v>501</v>
      </c>
      <c r="N389" s="1" t="str">
        <f t="shared" si="62"/>
        <v>208+850</v>
      </c>
      <c r="O389" t="str">
        <f t="shared" si="65"/>
        <v>DB</v>
      </c>
    </row>
    <row r="390" spans="1:15" x14ac:dyDescent="0.2">
      <c r="A390" t="s">
        <v>757</v>
      </c>
      <c r="B390" t="s">
        <v>758</v>
      </c>
      <c r="G390" s="1" t="str">
        <f t="shared" si="66"/>
        <v>104.5006</v>
      </c>
      <c r="H390" s="1" t="str">
        <f t="shared" si="67"/>
        <v xml:space="preserve"> 17.2861</v>
      </c>
      <c r="K390" s="1" t="str">
        <f t="shared" si="64"/>
        <v>MD239</v>
      </c>
      <c r="L390" s="1">
        <v>22</v>
      </c>
      <c r="M390" s="1">
        <v>501</v>
      </c>
      <c r="N390" s="1" t="str">
        <f t="shared" si="62"/>
        <v>208+885</v>
      </c>
      <c r="O390" t="str">
        <f t="shared" si="65"/>
        <v>DB</v>
      </c>
    </row>
    <row r="391" spans="1:15" x14ac:dyDescent="0.2">
      <c r="A391" t="s">
        <v>759</v>
      </c>
      <c r="B391" t="s">
        <v>760</v>
      </c>
      <c r="G391" s="1" t="str">
        <f t="shared" si="66"/>
        <v>104.5010</v>
      </c>
      <c r="H391" s="1" t="str">
        <f t="shared" si="67"/>
        <v xml:space="preserve"> 17.2860</v>
      </c>
      <c r="K391" s="1" t="str">
        <f t="shared" si="64"/>
        <v>MD240</v>
      </c>
      <c r="L391" s="1">
        <v>22</v>
      </c>
      <c r="M391" s="1">
        <v>501</v>
      </c>
      <c r="N391" s="1" t="str">
        <f t="shared" si="62"/>
        <v>208+920</v>
      </c>
      <c r="O391" t="str">
        <f t="shared" si="65"/>
        <v>DB</v>
      </c>
    </row>
    <row r="392" spans="1:15" x14ac:dyDescent="0.2">
      <c r="A392" t="s">
        <v>761</v>
      </c>
      <c r="B392" t="s">
        <v>762</v>
      </c>
      <c r="G392" s="1" t="str">
        <f t="shared" si="66"/>
        <v>104.5013</v>
      </c>
      <c r="H392" s="1" t="str">
        <f t="shared" si="67"/>
        <v xml:space="preserve"> 17.2860</v>
      </c>
      <c r="K392" s="1" t="str">
        <f t="shared" si="64"/>
        <v>MD241</v>
      </c>
      <c r="L392" s="1">
        <v>22</v>
      </c>
      <c r="M392" s="1">
        <v>501</v>
      </c>
      <c r="N392" s="1" t="str">
        <f t="shared" si="62"/>
        <v>208+955</v>
      </c>
      <c r="O392" t="str">
        <f t="shared" si="65"/>
        <v>DB</v>
      </c>
    </row>
    <row r="393" spans="1:15" x14ac:dyDescent="0.2">
      <c r="A393" t="s">
        <v>763</v>
      </c>
      <c r="B393" t="s">
        <v>764</v>
      </c>
      <c r="G393" s="1" t="str">
        <f t="shared" si="66"/>
        <v>104.5016</v>
      </c>
      <c r="H393" s="1" t="str">
        <f t="shared" si="67"/>
        <v xml:space="preserve"> 17.2860</v>
      </c>
      <c r="K393" s="1" t="str">
        <f t="shared" si="64"/>
        <v>MD242</v>
      </c>
      <c r="L393" s="1">
        <v>22</v>
      </c>
      <c r="M393" s="1">
        <v>501</v>
      </c>
      <c r="N393" s="1" t="str">
        <f t="shared" si="62"/>
        <v>208+990</v>
      </c>
      <c r="O393" t="str">
        <f t="shared" si="65"/>
        <v>DB</v>
      </c>
    </row>
    <row r="394" spans="1:15" x14ac:dyDescent="0.2">
      <c r="A394" t="s">
        <v>765</v>
      </c>
      <c r="B394" t="s">
        <v>766</v>
      </c>
      <c r="G394" s="1" t="str">
        <f t="shared" si="66"/>
        <v>104.5020</v>
      </c>
      <c r="H394" s="1" t="str">
        <f t="shared" si="67"/>
        <v xml:space="preserve"> 17.2860</v>
      </c>
      <c r="K394" s="1" t="str">
        <f t="shared" si="64"/>
        <v>MD243</v>
      </c>
      <c r="L394" s="1">
        <v>22</v>
      </c>
      <c r="M394" s="1">
        <v>501</v>
      </c>
      <c r="N394" s="1" t="str">
        <f t="shared" si="62"/>
        <v>209+025</v>
      </c>
      <c r="O394" t="str">
        <f t="shared" si="65"/>
        <v>DB</v>
      </c>
    </row>
    <row r="395" spans="1:15" x14ac:dyDescent="0.2">
      <c r="A395" t="s">
        <v>767</v>
      </c>
      <c r="B395" t="s">
        <v>768</v>
      </c>
      <c r="G395" s="1" t="str">
        <f t="shared" si="66"/>
        <v>104.5023</v>
      </c>
      <c r="H395" s="1" t="str">
        <f t="shared" si="67"/>
        <v xml:space="preserve"> 17.2860</v>
      </c>
      <c r="K395" s="1" t="str">
        <f t="shared" si="64"/>
        <v>MD244</v>
      </c>
      <c r="L395" s="1">
        <v>22</v>
      </c>
      <c r="M395" s="1">
        <v>501</v>
      </c>
      <c r="N395" s="1" t="str">
        <f t="shared" si="62"/>
        <v>209+060</v>
      </c>
      <c r="O395" t="str">
        <f t="shared" si="65"/>
        <v>DB</v>
      </c>
    </row>
    <row r="396" spans="1:15" x14ac:dyDescent="0.2">
      <c r="A396" t="s">
        <v>769</v>
      </c>
      <c r="B396" t="s">
        <v>770</v>
      </c>
      <c r="G396" s="1" t="str">
        <f t="shared" si="66"/>
        <v>104.5026</v>
      </c>
      <c r="H396" s="1" t="str">
        <f t="shared" si="67"/>
        <v xml:space="preserve"> 17.2859</v>
      </c>
      <c r="K396" s="1" t="str">
        <f t="shared" si="64"/>
        <v>MD245</v>
      </c>
      <c r="L396" s="1">
        <v>22</v>
      </c>
      <c r="M396" s="1">
        <v>501</v>
      </c>
      <c r="N396" s="1" t="str">
        <f t="shared" si="62"/>
        <v>209+095</v>
      </c>
      <c r="O396" t="str">
        <f t="shared" si="65"/>
        <v>DB</v>
      </c>
    </row>
    <row r="397" spans="1:15" x14ac:dyDescent="0.2">
      <c r="A397" t="s">
        <v>771</v>
      </c>
      <c r="B397" t="s">
        <v>772</v>
      </c>
      <c r="G397" s="1" t="str">
        <f t="shared" si="66"/>
        <v>104.5029</v>
      </c>
      <c r="H397" s="1" t="str">
        <f t="shared" si="67"/>
        <v xml:space="preserve"> 17.2859</v>
      </c>
      <c r="K397" s="1" t="str">
        <f t="shared" si="64"/>
        <v>MD246</v>
      </c>
      <c r="L397" s="1">
        <v>22</v>
      </c>
      <c r="M397" s="1">
        <v>501</v>
      </c>
      <c r="N397" s="1" t="str">
        <f t="shared" si="62"/>
        <v>209+130</v>
      </c>
      <c r="O397" t="str">
        <f t="shared" si="65"/>
        <v>DB</v>
      </c>
    </row>
    <row r="398" spans="1:15" x14ac:dyDescent="0.2">
      <c r="A398" t="s">
        <v>773</v>
      </c>
      <c r="B398" t="s">
        <v>774</v>
      </c>
      <c r="G398" s="1" t="str">
        <f t="shared" si="66"/>
        <v>104.5033</v>
      </c>
      <c r="H398" s="1" t="str">
        <f t="shared" si="67"/>
        <v xml:space="preserve"> 17.2859</v>
      </c>
      <c r="K398" s="1" t="str">
        <f t="shared" si="64"/>
        <v>MD247</v>
      </c>
      <c r="L398" s="1">
        <v>22</v>
      </c>
      <c r="M398" s="1">
        <v>501</v>
      </c>
      <c r="N398" s="1" t="str">
        <f t="shared" si="62"/>
        <v>209+165</v>
      </c>
      <c r="O398" t="str">
        <f t="shared" si="65"/>
        <v>DB</v>
      </c>
    </row>
    <row r="399" spans="1:15" x14ac:dyDescent="0.2">
      <c r="A399" t="s">
        <v>775</v>
      </c>
      <c r="B399" t="s">
        <v>776</v>
      </c>
      <c r="G399" s="1" t="str">
        <f t="shared" si="66"/>
        <v>104.5036</v>
      </c>
      <c r="H399" s="1" t="str">
        <f>MID(A399,18,7)</f>
        <v>17.2859</v>
      </c>
      <c r="K399" s="1" t="str">
        <f t="shared" si="64"/>
        <v>MD248</v>
      </c>
      <c r="L399" s="1">
        <v>22</v>
      </c>
      <c r="M399" s="1">
        <v>501</v>
      </c>
      <c r="N399" s="1" t="str">
        <f t="shared" si="62"/>
        <v>209+200</v>
      </c>
      <c r="O399" t="str">
        <f t="shared" si="65"/>
        <v>DB</v>
      </c>
    </row>
    <row r="400" spans="1:15" x14ac:dyDescent="0.2">
      <c r="A400" t="s">
        <v>777</v>
      </c>
      <c r="B400" t="s">
        <v>778</v>
      </c>
      <c r="G400" s="1" t="str">
        <f t="shared" si="66"/>
        <v>104.5039</v>
      </c>
      <c r="H400" s="1" t="str">
        <f t="shared" si="67"/>
        <v xml:space="preserve"> 17.2859</v>
      </c>
      <c r="K400" s="1" t="str">
        <f t="shared" si="64"/>
        <v>MD249</v>
      </c>
      <c r="L400" s="1">
        <v>22</v>
      </c>
      <c r="M400" s="1">
        <v>501</v>
      </c>
      <c r="N400" s="1" t="str">
        <f t="shared" si="62"/>
        <v>209+235</v>
      </c>
      <c r="O400" t="str">
        <f t="shared" si="65"/>
        <v>DB</v>
      </c>
    </row>
    <row r="401" spans="1:15" x14ac:dyDescent="0.2">
      <c r="A401" t="s">
        <v>779</v>
      </c>
      <c r="B401" t="s">
        <v>780</v>
      </c>
      <c r="G401" s="1" t="str">
        <f t="shared" si="66"/>
        <v>104.5043</v>
      </c>
      <c r="H401" s="1" t="str">
        <f t="shared" si="67"/>
        <v xml:space="preserve"> 17.2859</v>
      </c>
      <c r="K401" s="1" t="str">
        <f t="shared" si="64"/>
        <v>MD250</v>
      </c>
      <c r="L401" s="1">
        <v>22</v>
      </c>
      <c r="M401" s="1">
        <v>501</v>
      </c>
      <c r="N401" s="1" t="str">
        <f t="shared" si="62"/>
        <v>209+270</v>
      </c>
      <c r="O401" t="str">
        <f t="shared" si="65"/>
        <v>DB</v>
      </c>
    </row>
    <row r="402" spans="1:15" x14ac:dyDescent="0.2">
      <c r="A402" t="s">
        <v>781</v>
      </c>
      <c r="B402" t="s">
        <v>782</v>
      </c>
      <c r="G402" s="1" t="str">
        <f t="shared" si="66"/>
        <v>104.5046</v>
      </c>
      <c r="H402" s="1" t="str">
        <f t="shared" si="67"/>
        <v xml:space="preserve"> 17.2859</v>
      </c>
      <c r="K402" s="1" t="str">
        <f t="shared" si="64"/>
        <v>MD251</v>
      </c>
      <c r="L402" s="1">
        <v>22</v>
      </c>
      <c r="M402" s="1">
        <v>501</v>
      </c>
      <c r="N402" s="1" t="str">
        <f t="shared" si="62"/>
        <v>209+305</v>
      </c>
      <c r="O402" t="str">
        <f t="shared" si="65"/>
        <v>DB</v>
      </c>
    </row>
    <row r="403" spans="1:15" x14ac:dyDescent="0.2">
      <c r="A403" t="s">
        <v>783</v>
      </c>
      <c r="B403" t="s">
        <v>784</v>
      </c>
      <c r="G403" s="1" t="str">
        <f t="shared" si="66"/>
        <v>104.5049</v>
      </c>
      <c r="H403" s="1" t="str">
        <f t="shared" si="67"/>
        <v xml:space="preserve"> 17.2858</v>
      </c>
      <c r="K403" s="1" t="str">
        <f t="shared" si="64"/>
        <v>MD252</v>
      </c>
      <c r="L403" s="1">
        <v>22</v>
      </c>
      <c r="M403" s="1">
        <v>501</v>
      </c>
      <c r="N403" s="1" t="str">
        <f t="shared" si="62"/>
        <v>209+340</v>
      </c>
      <c r="O403" t="str">
        <f t="shared" si="65"/>
        <v>DB</v>
      </c>
    </row>
    <row r="404" spans="1:15" x14ac:dyDescent="0.2">
      <c r="A404" t="s">
        <v>785</v>
      </c>
      <c r="B404" t="s">
        <v>786</v>
      </c>
      <c r="G404" s="1" t="str">
        <f t="shared" si="66"/>
        <v>104.5052</v>
      </c>
      <c r="H404" s="1" t="str">
        <f t="shared" si="67"/>
        <v xml:space="preserve"> 17.2858</v>
      </c>
      <c r="K404" s="1" t="str">
        <f t="shared" si="64"/>
        <v>MD253</v>
      </c>
      <c r="L404" s="1">
        <v>22</v>
      </c>
      <c r="M404" s="1">
        <v>501</v>
      </c>
      <c r="N404" s="1" t="str">
        <f t="shared" si="62"/>
        <v>209+375</v>
      </c>
      <c r="O404" t="str">
        <f t="shared" si="65"/>
        <v>DB</v>
      </c>
    </row>
    <row r="405" spans="1:15" x14ac:dyDescent="0.2">
      <c r="A405" t="s">
        <v>787</v>
      </c>
      <c r="B405" t="s">
        <v>788</v>
      </c>
      <c r="G405" s="1" t="str">
        <f t="shared" si="66"/>
        <v>104.5056</v>
      </c>
      <c r="H405" s="1" t="str">
        <f t="shared" si="67"/>
        <v xml:space="preserve"> 17.2858</v>
      </c>
      <c r="K405" s="1" t="str">
        <f t="shared" si="64"/>
        <v>MD254</v>
      </c>
      <c r="L405" s="1">
        <v>22</v>
      </c>
      <c r="M405" s="1">
        <v>501</v>
      </c>
      <c r="N405" s="1" t="str">
        <f t="shared" si="62"/>
        <v>209+410</v>
      </c>
      <c r="O405" t="str">
        <f t="shared" si="65"/>
        <v>DB</v>
      </c>
    </row>
    <row r="406" spans="1:15" x14ac:dyDescent="0.2">
      <c r="A406" t="s">
        <v>789</v>
      </c>
      <c r="B406" t="s">
        <v>790</v>
      </c>
      <c r="G406" s="1" t="str">
        <f t="shared" si="66"/>
        <v>104.5059</v>
      </c>
      <c r="H406" s="1" t="str">
        <f t="shared" si="67"/>
        <v xml:space="preserve"> 17.2859</v>
      </c>
      <c r="K406" s="1" t="str">
        <f t="shared" si="64"/>
        <v>MD255</v>
      </c>
      <c r="L406" s="1">
        <v>22</v>
      </c>
      <c r="M406" s="1">
        <v>501</v>
      </c>
      <c r="N406" s="1" t="str">
        <f t="shared" si="62"/>
        <v>209+445</v>
      </c>
      <c r="O406" t="str">
        <f t="shared" si="65"/>
        <v>DB</v>
      </c>
    </row>
    <row r="407" spans="1:15" x14ac:dyDescent="0.2">
      <c r="A407" t="s">
        <v>791</v>
      </c>
      <c r="B407" t="s">
        <v>792</v>
      </c>
      <c r="G407" s="1" t="str">
        <f t="shared" si="66"/>
        <v>104.5062</v>
      </c>
      <c r="H407" s="1" t="str">
        <f t="shared" si="67"/>
        <v xml:space="preserve"> 17.2859</v>
      </c>
      <c r="K407" s="1" t="str">
        <f t="shared" ref="K407:K438" si="68">MID(B407,1,5)</f>
        <v>MD256</v>
      </c>
      <c r="L407" s="1">
        <v>22</v>
      </c>
      <c r="M407" s="1">
        <v>501</v>
      </c>
      <c r="N407" s="1" t="str">
        <f t="shared" si="62"/>
        <v>209+480</v>
      </c>
      <c r="O407" t="str">
        <f t="shared" si="65"/>
        <v>DB</v>
      </c>
    </row>
    <row r="408" spans="1:15" x14ac:dyDescent="0.2">
      <c r="A408" t="s">
        <v>793</v>
      </c>
      <c r="B408" t="s">
        <v>794</v>
      </c>
      <c r="G408" s="1" t="str">
        <f t="shared" si="66"/>
        <v>104.5066</v>
      </c>
      <c r="H408" s="1" t="str">
        <f t="shared" si="67"/>
        <v xml:space="preserve"> 17.2859</v>
      </c>
      <c r="K408" s="1" t="str">
        <f t="shared" si="68"/>
        <v>MD257</v>
      </c>
      <c r="L408" s="1">
        <v>22</v>
      </c>
      <c r="M408" s="1">
        <v>501</v>
      </c>
      <c r="N408" s="1" t="str">
        <f t="shared" si="62"/>
        <v>209+515</v>
      </c>
      <c r="O408" t="str">
        <f t="shared" si="65"/>
        <v>DB</v>
      </c>
    </row>
    <row r="409" spans="1:15" x14ac:dyDescent="0.2">
      <c r="A409" t="s">
        <v>795</v>
      </c>
      <c r="B409" t="s">
        <v>796</v>
      </c>
      <c r="G409" s="1" t="str">
        <f t="shared" si="66"/>
        <v>104.5069</v>
      </c>
      <c r="H409" s="1" t="str">
        <f t="shared" si="67"/>
        <v xml:space="preserve"> 17.2860</v>
      </c>
      <c r="K409" s="1" t="str">
        <f t="shared" si="68"/>
        <v>MD258</v>
      </c>
      <c r="L409" s="1">
        <v>22</v>
      </c>
      <c r="M409" s="1">
        <v>501</v>
      </c>
      <c r="N409" s="1" t="str">
        <f t="shared" si="62"/>
        <v>209+550</v>
      </c>
      <c r="O409" t="str">
        <f t="shared" si="65"/>
        <v>DB</v>
      </c>
    </row>
    <row r="410" spans="1:15" x14ac:dyDescent="0.2">
      <c r="A410" t="s">
        <v>797</v>
      </c>
      <c r="B410" t="s">
        <v>798</v>
      </c>
      <c r="G410" s="1" t="str">
        <f t="shared" si="66"/>
        <v>104.5072</v>
      </c>
      <c r="H410" s="1" t="str">
        <f t="shared" si="67"/>
        <v xml:space="preserve"> 17.2861</v>
      </c>
      <c r="K410" s="1" t="str">
        <f t="shared" si="68"/>
        <v>MD259</v>
      </c>
      <c r="L410" s="1">
        <v>22</v>
      </c>
      <c r="M410" s="1">
        <v>501</v>
      </c>
      <c r="N410" s="1" t="str">
        <f t="shared" si="62"/>
        <v>209+585</v>
      </c>
      <c r="O410" t="str">
        <f t="shared" si="65"/>
        <v>DB</v>
      </c>
    </row>
    <row r="411" spans="1:15" x14ac:dyDescent="0.2">
      <c r="A411" t="s">
        <v>799</v>
      </c>
      <c r="B411" t="s">
        <v>800</v>
      </c>
      <c r="G411" s="1" t="str">
        <f t="shared" si="66"/>
        <v>104.5075</v>
      </c>
      <c r="H411" s="1" t="str">
        <f t="shared" si="67"/>
        <v xml:space="preserve"> 17.2861</v>
      </c>
      <c r="K411" s="1" t="str">
        <f t="shared" si="68"/>
        <v>MD260</v>
      </c>
      <c r="L411" s="1">
        <v>22</v>
      </c>
      <c r="M411" s="1">
        <v>501</v>
      </c>
      <c r="N411" s="1" t="str">
        <f t="shared" si="62"/>
        <v>209+520</v>
      </c>
      <c r="O411" t="str">
        <f t="shared" si="65"/>
        <v>DB</v>
      </c>
    </row>
    <row r="412" spans="1:15" x14ac:dyDescent="0.2">
      <c r="A412" t="s">
        <v>801</v>
      </c>
      <c r="B412" t="s">
        <v>802</v>
      </c>
      <c r="G412" s="1" t="str">
        <f t="shared" si="66"/>
        <v>104.5078</v>
      </c>
      <c r="H412" s="1" t="str">
        <f t="shared" si="67"/>
        <v xml:space="preserve"> 17.2862</v>
      </c>
      <c r="K412" s="1" t="str">
        <f t="shared" si="68"/>
        <v>MD261</v>
      </c>
      <c r="L412" s="1">
        <v>22</v>
      </c>
      <c r="M412" s="1">
        <v>501</v>
      </c>
      <c r="N412" s="1" t="str">
        <f t="shared" ref="N412:N468" si="69">MID(B412,18,7)</f>
        <v>209+655</v>
      </c>
      <c r="O412" t="str">
        <f t="shared" si="65"/>
        <v>DB</v>
      </c>
    </row>
    <row r="413" spans="1:15" x14ac:dyDescent="0.2">
      <c r="A413" t="s">
        <v>803</v>
      </c>
      <c r="B413" t="s">
        <v>804</v>
      </c>
      <c r="G413" s="1" t="str">
        <f t="shared" si="66"/>
        <v>104.5082</v>
      </c>
      <c r="H413" s="1" t="str">
        <f t="shared" si="67"/>
        <v xml:space="preserve"> 17.2863</v>
      </c>
      <c r="K413" s="1" t="str">
        <f t="shared" si="68"/>
        <v>MD262</v>
      </c>
      <c r="L413" s="1">
        <v>22</v>
      </c>
      <c r="M413" s="1">
        <v>501</v>
      </c>
      <c r="N413" s="1" t="str">
        <f t="shared" si="69"/>
        <v>209+690</v>
      </c>
      <c r="O413" t="str">
        <f t="shared" si="65"/>
        <v>DB</v>
      </c>
    </row>
    <row r="414" spans="1:15" x14ac:dyDescent="0.2">
      <c r="A414" t="s">
        <v>805</v>
      </c>
      <c r="B414" t="s">
        <v>806</v>
      </c>
      <c r="G414" s="1" t="str">
        <f t="shared" si="66"/>
        <v>104.5085</v>
      </c>
      <c r="H414" s="1" t="str">
        <f>MID(A414,18,7)</f>
        <v>17.2864</v>
      </c>
      <c r="K414" s="1" t="str">
        <f t="shared" si="68"/>
        <v>MD263</v>
      </c>
      <c r="L414" s="1">
        <v>22</v>
      </c>
      <c r="M414" s="1">
        <v>501</v>
      </c>
      <c r="N414" s="1" t="str">
        <f t="shared" si="69"/>
        <v>209+725</v>
      </c>
      <c r="O414" t="str">
        <f t="shared" si="65"/>
        <v>DB</v>
      </c>
    </row>
    <row r="415" spans="1:15" x14ac:dyDescent="0.2">
      <c r="A415" t="s">
        <v>807</v>
      </c>
      <c r="B415" t="s">
        <v>808</v>
      </c>
      <c r="G415" s="1" t="str">
        <f t="shared" si="66"/>
        <v>104.5088</v>
      </c>
      <c r="H415" s="1" t="str">
        <f t="shared" si="67"/>
        <v xml:space="preserve"> 17.2865</v>
      </c>
      <c r="K415" s="1" t="str">
        <f t="shared" si="68"/>
        <v>MD264</v>
      </c>
      <c r="L415" s="1">
        <v>22</v>
      </c>
      <c r="M415" s="1">
        <v>501</v>
      </c>
      <c r="N415" s="1" t="str">
        <f t="shared" si="69"/>
        <v>209+760</v>
      </c>
      <c r="O415" t="str">
        <f t="shared" si="65"/>
        <v>DB</v>
      </c>
    </row>
    <row r="416" spans="1:15" x14ac:dyDescent="0.2">
      <c r="A416" t="s">
        <v>809</v>
      </c>
      <c r="B416" t="s">
        <v>810</v>
      </c>
      <c r="G416" s="1" t="str">
        <f t="shared" si="66"/>
        <v>104.5091</v>
      </c>
      <c r="H416" s="1" t="str">
        <f t="shared" si="67"/>
        <v xml:space="preserve"> 17.2865</v>
      </c>
      <c r="K416" s="1" t="str">
        <f t="shared" si="68"/>
        <v>MD265</v>
      </c>
      <c r="L416" s="1">
        <v>22</v>
      </c>
      <c r="M416" s="1">
        <v>501</v>
      </c>
      <c r="N416" s="1" t="str">
        <f t="shared" si="69"/>
        <v>209+795</v>
      </c>
      <c r="O416" t="str">
        <f t="shared" si="65"/>
        <v>DB</v>
      </c>
    </row>
    <row r="417" spans="1:15" x14ac:dyDescent="0.2">
      <c r="A417" t="s">
        <v>811</v>
      </c>
      <c r="B417" t="s">
        <v>812</v>
      </c>
      <c r="G417" s="1" t="str">
        <f t="shared" si="66"/>
        <v>104.5095</v>
      </c>
      <c r="H417" s="1" t="str">
        <f t="shared" si="67"/>
        <v xml:space="preserve"> 17.2866</v>
      </c>
      <c r="K417" s="1" t="str">
        <f t="shared" si="68"/>
        <v>MD266</v>
      </c>
      <c r="L417" s="1">
        <v>22</v>
      </c>
      <c r="M417" s="1">
        <v>501</v>
      </c>
      <c r="N417" s="1" t="str">
        <f t="shared" si="69"/>
        <v>209+830</v>
      </c>
      <c r="O417" t="str">
        <f t="shared" si="65"/>
        <v>DB</v>
      </c>
    </row>
    <row r="418" spans="1:15" x14ac:dyDescent="0.2">
      <c r="A418" t="s">
        <v>813</v>
      </c>
      <c r="B418" t="s">
        <v>814</v>
      </c>
      <c r="G418" s="1" t="str">
        <f t="shared" si="66"/>
        <v>104.5098</v>
      </c>
      <c r="H418" s="1" t="str">
        <f t="shared" si="67"/>
        <v xml:space="preserve"> 17.2867</v>
      </c>
      <c r="K418" s="1" t="str">
        <f t="shared" si="68"/>
        <v>MD267</v>
      </c>
      <c r="L418" s="1">
        <v>22</v>
      </c>
      <c r="M418" s="1">
        <v>501</v>
      </c>
      <c r="N418" s="1" t="str">
        <f t="shared" si="69"/>
        <v>209+865</v>
      </c>
      <c r="O418" t="str">
        <f t="shared" si="65"/>
        <v>DB</v>
      </c>
    </row>
    <row r="419" spans="1:15" x14ac:dyDescent="0.2">
      <c r="A419" t="s">
        <v>815</v>
      </c>
      <c r="B419" t="s">
        <v>816</v>
      </c>
      <c r="G419" s="1" t="str">
        <f t="shared" si="66"/>
        <v>104.5101</v>
      </c>
      <c r="H419" s="1" t="str">
        <f t="shared" si="67"/>
        <v xml:space="preserve"> 17.2868</v>
      </c>
      <c r="K419" s="1" t="str">
        <f t="shared" si="68"/>
        <v>MD268</v>
      </c>
      <c r="L419" s="1">
        <v>22</v>
      </c>
      <c r="M419" s="1">
        <v>501</v>
      </c>
      <c r="N419" s="1" t="str">
        <f t="shared" si="69"/>
        <v>209+900</v>
      </c>
      <c r="O419" t="str">
        <f t="shared" si="65"/>
        <v>DB</v>
      </c>
    </row>
    <row r="420" spans="1:15" x14ac:dyDescent="0.2">
      <c r="A420" t="s">
        <v>817</v>
      </c>
      <c r="B420" t="s">
        <v>818</v>
      </c>
      <c r="G420" s="1" t="str">
        <f t="shared" si="66"/>
        <v>104.5104</v>
      </c>
      <c r="H420" s="1" t="str">
        <f t="shared" si="67"/>
        <v xml:space="preserve"> 17.2869</v>
      </c>
      <c r="K420" s="1" t="str">
        <f t="shared" si="68"/>
        <v>MD269</v>
      </c>
      <c r="L420" s="1">
        <v>22</v>
      </c>
      <c r="M420" s="1">
        <v>501</v>
      </c>
      <c r="N420" s="1" t="str">
        <f t="shared" si="69"/>
        <v>209+935</v>
      </c>
      <c r="O420" t="str">
        <f t="shared" si="65"/>
        <v>DB</v>
      </c>
    </row>
    <row r="421" spans="1:15" x14ac:dyDescent="0.2">
      <c r="A421" t="s">
        <v>819</v>
      </c>
      <c r="B421" t="s">
        <v>820</v>
      </c>
      <c r="G421" s="1" t="str">
        <f t="shared" si="66"/>
        <v>104.5107</v>
      </c>
      <c r="H421" s="1" t="str">
        <f t="shared" si="67"/>
        <v xml:space="preserve"> 17.2870</v>
      </c>
      <c r="K421" s="1" t="str">
        <f t="shared" si="68"/>
        <v>MD270</v>
      </c>
      <c r="L421" s="1">
        <v>22</v>
      </c>
      <c r="M421" s="1">
        <v>501</v>
      </c>
      <c r="N421" s="1" t="str">
        <f t="shared" si="69"/>
        <v>209+970</v>
      </c>
      <c r="O421" t="str">
        <f t="shared" si="65"/>
        <v>DB</v>
      </c>
    </row>
    <row r="422" spans="1:15" x14ac:dyDescent="0.2">
      <c r="A422" t="s">
        <v>821</v>
      </c>
      <c r="B422" t="s">
        <v>822</v>
      </c>
      <c r="G422" s="1" t="str">
        <f t="shared" si="66"/>
        <v>104.5110</v>
      </c>
      <c r="H422" s="1" t="str">
        <f t="shared" si="67"/>
        <v xml:space="preserve"> 17.2871</v>
      </c>
      <c r="K422" s="1" t="str">
        <f t="shared" si="68"/>
        <v>MD271</v>
      </c>
      <c r="L422" s="1">
        <v>22</v>
      </c>
      <c r="M422" s="1">
        <v>501</v>
      </c>
      <c r="N422" s="1" t="str">
        <f t="shared" si="69"/>
        <v>210-005</v>
      </c>
      <c r="O422" t="str">
        <f t="shared" si="65"/>
        <v>DB</v>
      </c>
    </row>
    <row r="423" spans="1:15" x14ac:dyDescent="0.2">
      <c r="A423" t="s">
        <v>823</v>
      </c>
      <c r="B423" t="s">
        <v>824</v>
      </c>
      <c r="G423" s="1" t="str">
        <f t="shared" si="66"/>
        <v>104.5113</v>
      </c>
      <c r="H423" s="1" t="str">
        <f t="shared" si="67"/>
        <v xml:space="preserve"> 17.2872</v>
      </c>
      <c r="K423" s="1" t="str">
        <f t="shared" si="68"/>
        <v>MD272</v>
      </c>
      <c r="L423" s="1">
        <v>22</v>
      </c>
      <c r="M423" s="1">
        <v>501</v>
      </c>
      <c r="N423" s="1" t="str">
        <f t="shared" si="69"/>
        <v>210+040</v>
      </c>
      <c r="O423" t="str">
        <f t="shared" si="65"/>
        <v>DB</v>
      </c>
    </row>
    <row r="424" spans="1:15" x14ac:dyDescent="0.2">
      <c r="A424" t="s">
        <v>825</v>
      </c>
      <c r="B424" t="s">
        <v>826</v>
      </c>
      <c r="G424" s="1" t="str">
        <f t="shared" si="66"/>
        <v>104.5116</v>
      </c>
      <c r="H424" s="1" t="str">
        <f t="shared" si="67"/>
        <v xml:space="preserve"> 17.2873</v>
      </c>
      <c r="K424" s="1" t="str">
        <f t="shared" si="68"/>
        <v>MD273</v>
      </c>
      <c r="L424" s="1">
        <v>22</v>
      </c>
      <c r="M424" s="1">
        <v>501</v>
      </c>
      <c r="N424" s="1" t="str">
        <f t="shared" si="69"/>
        <v>210+075</v>
      </c>
      <c r="O424" t="str">
        <f t="shared" si="65"/>
        <v>DB</v>
      </c>
    </row>
    <row r="425" spans="1:15" x14ac:dyDescent="0.2">
      <c r="A425" t="s">
        <v>827</v>
      </c>
      <c r="B425" t="s">
        <v>828</v>
      </c>
      <c r="G425" s="1" t="str">
        <f t="shared" si="66"/>
        <v>104.5120</v>
      </c>
      <c r="H425" s="1" t="str">
        <f t="shared" si="67"/>
        <v xml:space="preserve"> 17.2873</v>
      </c>
      <c r="K425" s="1" t="str">
        <f t="shared" si="68"/>
        <v>MD274</v>
      </c>
      <c r="L425" s="1">
        <v>22</v>
      </c>
      <c r="M425" s="1">
        <v>501</v>
      </c>
      <c r="N425" s="1" t="str">
        <f t="shared" si="69"/>
        <v>210+110</v>
      </c>
      <c r="O425" t="str">
        <f t="shared" si="65"/>
        <v>DB</v>
      </c>
    </row>
    <row r="426" spans="1:15" x14ac:dyDescent="0.2">
      <c r="A426" t="s">
        <v>829</v>
      </c>
      <c r="B426" t="s">
        <v>830</v>
      </c>
      <c r="G426" s="1" t="str">
        <f t="shared" si="66"/>
        <v>104.5123</v>
      </c>
      <c r="H426" s="1" t="str">
        <f t="shared" si="67"/>
        <v xml:space="preserve"> 17.2874</v>
      </c>
      <c r="K426" s="1" t="str">
        <f t="shared" si="68"/>
        <v>MD275</v>
      </c>
      <c r="L426" s="1">
        <v>22</v>
      </c>
      <c r="M426" s="1">
        <v>501</v>
      </c>
      <c r="N426" s="1" t="str">
        <f t="shared" si="69"/>
        <v>210+145</v>
      </c>
      <c r="O426" t="str">
        <f t="shared" si="65"/>
        <v>DB</v>
      </c>
    </row>
    <row r="427" spans="1:15" x14ac:dyDescent="0.2">
      <c r="A427" t="s">
        <v>831</v>
      </c>
      <c r="B427" t="s">
        <v>832</v>
      </c>
      <c r="G427" s="1" t="str">
        <f t="shared" si="66"/>
        <v>104.5126</v>
      </c>
      <c r="H427" s="1" t="str">
        <f t="shared" si="67"/>
        <v xml:space="preserve"> 17.2875</v>
      </c>
      <c r="K427" s="1" t="str">
        <f t="shared" si="68"/>
        <v>MD276</v>
      </c>
      <c r="L427" s="1">
        <v>22</v>
      </c>
      <c r="M427" s="1">
        <v>501</v>
      </c>
      <c r="N427" s="1" t="str">
        <f t="shared" si="69"/>
        <v>210+180</v>
      </c>
      <c r="O427" t="str">
        <f t="shared" si="65"/>
        <v>DB</v>
      </c>
    </row>
    <row r="428" spans="1:15" x14ac:dyDescent="0.2">
      <c r="A428" t="s">
        <v>833</v>
      </c>
      <c r="B428" t="s">
        <v>834</v>
      </c>
      <c r="G428" s="1" t="str">
        <f t="shared" si="66"/>
        <v>104.5129</v>
      </c>
      <c r="H428" s="1" t="str">
        <f>MID(A428,18,7)</f>
        <v>17.2876</v>
      </c>
      <c r="K428" s="1" t="str">
        <f t="shared" si="68"/>
        <v>MD277</v>
      </c>
      <c r="L428" s="1">
        <v>22</v>
      </c>
      <c r="M428" s="1">
        <v>501</v>
      </c>
      <c r="N428" s="1" t="str">
        <f t="shared" si="69"/>
        <v>210+215</v>
      </c>
      <c r="O428" t="str">
        <f t="shared" si="65"/>
        <v>DB</v>
      </c>
    </row>
    <row r="429" spans="1:15" x14ac:dyDescent="0.2">
      <c r="A429" t="s">
        <v>835</v>
      </c>
      <c r="B429" t="s">
        <v>836</v>
      </c>
      <c r="G429" s="1" t="str">
        <f t="shared" si="66"/>
        <v>104.5132</v>
      </c>
      <c r="H429" s="1" t="str">
        <f t="shared" si="67"/>
        <v xml:space="preserve"> 17.2877</v>
      </c>
      <c r="K429" s="1" t="str">
        <f t="shared" si="68"/>
        <v>MD278</v>
      </c>
      <c r="L429" s="1">
        <v>22</v>
      </c>
      <c r="M429" s="1">
        <v>501</v>
      </c>
      <c r="N429" s="1" t="str">
        <f t="shared" si="69"/>
        <v>210+250</v>
      </c>
      <c r="O429" t="str">
        <f t="shared" si="65"/>
        <v>DB</v>
      </c>
    </row>
    <row r="430" spans="1:15" x14ac:dyDescent="0.2">
      <c r="A430" t="s">
        <v>837</v>
      </c>
      <c r="B430" t="s">
        <v>838</v>
      </c>
      <c r="G430" s="1" t="str">
        <f t="shared" si="66"/>
        <v>104.5135</v>
      </c>
      <c r="H430" s="1" t="str">
        <f t="shared" si="67"/>
        <v xml:space="preserve"> 17.2878</v>
      </c>
      <c r="K430" s="1" t="str">
        <f t="shared" si="68"/>
        <v>MD279</v>
      </c>
      <c r="L430" s="1">
        <v>22</v>
      </c>
      <c r="M430" s="1">
        <v>501</v>
      </c>
      <c r="N430" s="1" t="str">
        <f t="shared" si="69"/>
        <v>210+285</v>
      </c>
      <c r="O430" t="str">
        <f t="shared" si="65"/>
        <v>DB</v>
      </c>
    </row>
    <row r="431" spans="1:15" x14ac:dyDescent="0.2">
      <c r="A431" t="s">
        <v>839</v>
      </c>
      <c r="B431" t="s">
        <v>840</v>
      </c>
      <c r="G431" s="1" t="str">
        <f t="shared" si="66"/>
        <v>104.5139</v>
      </c>
      <c r="H431" s="1" t="str">
        <f t="shared" si="67"/>
        <v xml:space="preserve"> 17.2879</v>
      </c>
      <c r="K431" s="1" t="str">
        <f t="shared" si="68"/>
        <v>MD280</v>
      </c>
      <c r="L431" s="1">
        <v>22</v>
      </c>
      <c r="M431" s="1">
        <v>501</v>
      </c>
      <c r="N431" s="1" t="str">
        <f t="shared" si="69"/>
        <v>210+320</v>
      </c>
      <c r="O431" t="str">
        <f t="shared" si="65"/>
        <v>DB</v>
      </c>
    </row>
    <row r="432" spans="1:15" x14ac:dyDescent="0.2">
      <c r="A432" t="s">
        <v>841</v>
      </c>
      <c r="B432" t="s">
        <v>842</v>
      </c>
      <c r="G432" s="1" t="str">
        <f t="shared" si="66"/>
        <v>104.5142</v>
      </c>
      <c r="H432" s="1" t="str">
        <f t="shared" si="67"/>
        <v xml:space="preserve"> 17.2880</v>
      </c>
      <c r="K432" s="1" t="str">
        <f t="shared" si="68"/>
        <v>MD281</v>
      </c>
      <c r="L432" s="1">
        <v>22</v>
      </c>
      <c r="M432" s="1">
        <v>501</v>
      </c>
      <c r="N432" s="1" t="str">
        <f t="shared" si="69"/>
        <v>210+355</v>
      </c>
      <c r="O432" t="str">
        <f t="shared" si="65"/>
        <v>DB</v>
      </c>
    </row>
    <row r="433" spans="1:15" x14ac:dyDescent="0.2">
      <c r="A433" t="s">
        <v>843</v>
      </c>
      <c r="B433" t="s">
        <v>844</v>
      </c>
      <c r="G433" s="1" t="str">
        <f t="shared" si="66"/>
        <v>104.5145</v>
      </c>
      <c r="H433" s="1" t="str">
        <f t="shared" si="67"/>
        <v xml:space="preserve"> 17.2881</v>
      </c>
      <c r="K433" s="1" t="str">
        <f t="shared" si="68"/>
        <v>MD282</v>
      </c>
      <c r="L433" s="1">
        <v>22</v>
      </c>
      <c r="M433" s="1">
        <v>501</v>
      </c>
      <c r="N433" s="1" t="str">
        <f t="shared" si="69"/>
        <v>210+390</v>
      </c>
      <c r="O433" t="str">
        <f t="shared" si="65"/>
        <v>DB</v>
      </c>
    </row>
    <row r="434" spans="1:15" x14ac:dyDescent="0.2">
      <c r="A434" t="s">
        <v>845</v>
      </c>
      <c r="B434" t="s">
        <v>846</v>
      </c>
      <c r="G434" s="1" t="str">
        <f t="shared" si="66"/>
        <v>104.5149</v>
      </c>
      <c r="H434" s="1" t="str">
        <f t="shared" si="67"/>
        <v xml:space="preserve"> 17.2882</v>
      </c>
      <c r="K434" s="1" t="str">
        <f t="shared" si="68"/>
        <v>MD283</v>
      </c>
      <c r="L434" s="1">
        <v>22</v>
      </c>
      <c r="M434" s="1">
        <v>501</v>
      </c>
      <c r="N434" s="1" t="str">
        <f t="shared" si="69"/>
        <v>210+425</v>
      </c>
      <c r="O434" t="str">
        <f t="shared" si="65"/>
        <v>DB</v>
      </c>
    </row>
    <row r="435" spans="1:15" x14ac:dyDescent="0.2">
      <c r="A435" t="s">
        <v>847</v>
      </c>
      <c r="B435" t="s">
        <v>848</v>
      </c>
      <c r="G435" s="1" t="str">
        <f t="shared" si="66"/>
        <v>104.5210</v>
      </c>
      <c r="H435" s="1" t="str">
        <f t="shared" si="67"/>
        <v xml:space="preserve"> 17.2927</v>
      </c>
      <c r="K435" s="1" t="str">
        <f t="shared" si="68"/>
        <v>MD284</v>
      </c>
      <c r="L435" s="1">
        <v>22</v>
      </c>
      <c r="M435" s="1">
        <v>501</v>
      </c>
      <c r="N435" s="1" t="str">
        <f t="shared" si="69"/>
        <v>211+265</v>
      </c>
      <c r="O435" t="str">
        <f t="shared" si="65"/>
        <v>DB</v>
      </c>
    </row>
    <row r="436" spans="1:15" x14ac:dyDescent="0.2">
      <c r="A436" t="s">
        <v>849</v>
      </c>
      <c r="B436" t="s">
        <v>850</v>
      </c>
      <c r="G436" s="1" t="str">
        <f t="shared" si="66"/>
        <v>104.5212</v>
      </c>
      <c r="H436" s="1" t="str">
        <f t="shared" si="67"/>
        <v xml:space="preserve"> 17.2930</v>
      </c>
      <c r="K436" s="1" t="str">
        <f t="shared" si="68"/>
        <v>MD285</v>
      </c>
      <c r="L436" s="1">
        <v>22</v>
      </c>
      <c r="M436" s="1">
        <v>501</v>
      </c>
      <c r="N436" s="1" t="str">
        <f t="shared" si="69"/>
        <v>211+300</v>
      </c>
      <c r="O436" t="str">
        <f t="shared" si="65"/>
        <v>DB</v>
      </c>
    </row>
    <row r="437" spans="1:15" x14ac:dyDescent="0.2">
      <c r="A437" t="s">
        <v>851</v>
      </c>
      <c r="B437" t="s">
        <v>852</v>
      </c>
      <c r="G437" s="1" t="str">
        <f t="shared" si="66"/>
        <v>104.5215</v>
      </c>
      <c r="H437" s="1" t="str">
        <f t="shared" si="67"/>
        <v xml:space="preserve"> 17.2933</v>
      </c>
      <c r="K437" s="1" t="str">
        <f t="shared" si="68"/>
        <v>MD286</v>
      </c>
      <c r="L437" s="1">
        <v>22</v>
      </c>
      <c r="M437" s="1">
        <v>501</v>
      </c>
      <c r="N437" s="1" t="str">
        <f t="shared" si="69"/>
        <v>211+335</v>
      </c>
      <c r="O437" t="str">
        <f t="shared" si="65"/>
        <v>DB</v>
      </c>
    </row>
    <row r="438" spans="1:15" x14ac:dyDescent="0.2">
      <c r="A438" t="s">
        <v>853</v>
      </c>
      <c r="B438" t="s">
        <v>854</v>
      </c>
      <c r="G438" s="1" t="str">
        <f t="shared" si="66"/>
        <v>104.5217</v>
      </c>
      <c r="H438" s="1" t="str">
        <f t="shared" si="67"/>
        <v xml:space="preserve"> 17.2935</v>
      </c>
      <c r="K438" s="1" t="str">
        <f t="shared" si="68"/>
        <v>MD287</v>
      </c>
      <c r="L438" s="1">
        <v>22</v>
      </c>
      <c r="M438" s="1">
        <v>501</v>
      </c>
      <c r="N438" s="1" t="str">
        <f t="shared" si="69"/>
        <v>211+370</v>
      </c>
      <c r="O438" t="str">
        <f t="shared" si="65"/>
        <v>DB</v>
      </c>
    </row>
    <row r="439" spans="1:15" x14ac:dyDescent="0.2">
      <c r="A439" t="s">
        <v>855</v>
      </c>
      <c r="B439" t="s">
        <v>856</v>
      </c>
      <c r="G439" s="1" t="str">
        <f t="shared" si="66"/>
        <v>104.5219</v>
      </c>
      <c r="H439" s="1" t="str">
        <f t="shared" si="67"/>
        <v xml:space="preserve"> 17.2938</v>
      </c>
      <c r="K439" s="1" t="str">
        <f t="shared" ref="K439:K468" si="70">MID(B439,1,5)</f>
        <v>MD288</v>
      </c>
      <c r="L439" s="1">
        <v>22</v>
      </c>
      <c r="M439" s="1">
        <v>501</v>
      </c>
      <c r="N439" s="1" t="str">
        <f t="shared" si="69"/>
        <v>211+405</v>
      </c>
      <c r="O439" t="str">
        <f t="shared" si="65"/>
        <v>DB</v>
      </c>
    </row>
    <row r="440" spans="1:15" x14ac:dyDescent="0.2">
      <c r="A440" t="s">
        <v>857</v>
      </c>
      <c r="B440" t="s">
        <v>858</v>
      </c>
      <c r="G440" s="1" t="str">
        <f t="shared" si="66"/>
        <v>104.5222</v>
      </c>
      <c r="H440" s="1" t="str">
        <f t="shared" si="67"/>
        <v xml:space="preserve"> 17.2940</v>
      </c>
      <c r="K440" s="1" t="str">
        <f t="shared" si="70"/>
        <v>MD289</v>
      </c>
      <c r="L440" s="1">
        <v>22</v>
      </c>
      <c r="M440" s="1">
        <v>501</v>
      </c>
      <c r="N440" s="1" t="str">
        <f t="shared" si="69"/>
        <v>211+440</v>
      </c>
      <c r="O440" t="str">
        <f t="shared" si="65"/>
        <v>DB</v>
      </c>
    </row>
    <row r="441" spans="1:15" x14ac:dyDescent="0.2">
      <c r="A441" t="s">
        <v>859</v>
      </c>
      <c r="B441" t="s">
        <v>860</v>
      </c>
      <c r="G441" s="1" t="str">
        <f t="shared" si="66"/>
        <v>104.5224</v>
      </c>
      <c r="H441" s="1" t="str">
        <f t="shared" si="67"/>
        <v xml:space="preserve"> 17.2943</v>
      </c>
      <c r="K441" s="1" t="str">
        <f t="shared" si="70"/>
        <v>MD290</v>
      </c>
      <c r="L441" s="1">
        <v>22</v>
      </c>
      <c r="M441" s="1">
        <v>501</v>
      </c>
      <c r="N441" s="1" t="str">
        <f t="shared" si="69"/>
        <v>211+475</v>
      </c>
      <c r="O441" t="str">
        <f t="shared" ref="O441:O480" si="71">MID(B441,7,2)</f>
        <v>DB</v>
      </c>
    </row>
    <row r="442" spans="1:15" x14ac:dyDescent="0.2">
      <c r="A442" t="s">
        <v>861</v>
      </c>
      <c r="B442" t="s">
        <v>862</v>
      </c>
      <c r="G442" s="1" t="str">
        <f t="shared" si="66"/>
        <v>104.5226</v>
      </c>
      <c r="H442" s="1" t="str">
        <f t="shared" si="67"/>
        <v xml:space="preserve"> 17.2945</v>
      </c>
      <c r="K442" s="1" t="str">
        <f t="shared" si="70"/>
        <v>MS291</v>
      </c>
      <c r="L442" s="1">
        <v>22</v>
      </c>
      <c r="M442" s="1">
        <v>501</v>
      </c>
      <c r="N442" s="1" t="str">
        <f t="shared" si="69"/>
        <v>211+510</v>
      </c>
      <c r="O442" t="str">
        <f t="shared" si="71"/>
        <v>SB</v>
      </c>
    </row>
    <row r="443" spans="1:15" x14ac:dyDescent="0.2">
      <c r="A443" t="s">
        <v>863</v>
      </c>
      <c r="B443" t="s">
        <v>864</v>
      </c>
      <c r="G443" s="1" t="str">
        <f t="shared" si="66"/>
        <v>104.5228</v>
      </c>
      <c r="H443" s="1" t="str">
        <f t="shared" si="67"/>
        <v xml:space="preserve"> 17.2948</v>
      </c>
      <c r="K443" s="1" t="str">
        <f t="shared" si="70"/>
        <v>MD292</v>
      </c>
      <c r="L443" s="1">
        <v>22</v>
      </c>
      <c r="M443" s="1">
        <v>501</v>
      </c>
      <c r="N443" s="1" t="str">
        <f t="shared" si="69"/>
        <v>211+545</v>
      </c>
      <c r="O443" t="str">
        <f t="shared" si="71"/>
        <v>DB</v>
      </c>
    </row>
    <row r="444" spans="1:15" x14ac:dyDescent="0.2">
      <c r="A444" t="s">
        <v>865</v>
      </c>
      <c r="B444" t="s">
        <v>866</v>
      </c>
      <c r="G444" s="1" t="str">
        <f t="shared" si="66"/>
        <v>104.5231</v>
      </c>
      <c r="H444" s="1" t="str">
        <f t="shared" si="67"/>
        <v xml:space="preserve"> 17.2951</v>
      </c>
      <c r="K444" s="1" t="str">
        <f t="shared" si="70"/>
        <v>MD293</v>
      </c>
      <c r="L444" s="1">
        <v>22</v>
      </c>
      <c r="M444" s="1">
        <v>501</v>
      </c>
      <c r="N444" s="1" t="str">
        <f t="shared" si="69"/>
        <v>211+580</v>
      </c>
      <c r="O444" t="str">
        <f t="shared" si="71"/>
        <v>DB</v>
      </c>
    </row>
    <row r="445" spans="1:15" x14ac:dyDescent="0.2">
      <c r="A445" t="s">
        <v>867</v>
      </c>
      <c r="B445" t="s">
        <v>868</v>
      </c>
      <c r="G445" s="1" t="str">
        <f t="shared" si="66"/>
        <v>104.5233</v>
      </c>
      <c r="H445" s="1" t="str">
        <f t="shared" si="67"/>
        <v xml:space="preserve"> 17.2953</v>
      </c>
      <c r="K445" s="1" t="str">
        <f t="shared" si="70"/>
        <v>MD294</v>
      </c>
      <c r="L445" s="1">
        <v>22</v>
      </c>
      <c r="M445" s="1">
        <v>501</v>
      </c>
      <c r="N445" s="1" t="str">
        <f t="shared" si="69"/>
        <v>211+615</v>
      </c>
      <c r="O445" t="str">
        <f t="shared" si="71"/>
        <v>DB</v>
      </c>
    </row>
    <row r="446" spans="1:15" x14ac:dyDescent="0.2">
      <c r="A446" t="s">
        <v>869</v>
      </c>
      <c r="B446" t="s">
        <v>870</v>
      </c>
      <c r="G446" s="1" t="str">
        <f t="shared" si="66"/>
        <v>104.5236</v>
      </c>
      <c r="H446" s="1" t="str">
        <f>MID(A446,17,7)</f>
        <v>17.2956</v>
      </c>
      <c r="K446" s="1" t="str">
        <f t="shared" si="70"/>
        <v>MD295</v>
      </c>
      <c r="L446" s="1">
        <v>22</v>
      </c>
      <c r="M446" s="1">
        <v>501</v>
      </c>
      <c r="N446" s="1" t="str">
        <f t="shared" si="69"/>
        <v>211+650</v>
      </c>
      <c r="O446" t="str">
        <f t="shared" si="71"/>
        <v>DB</v>
      </c>
    </row>
    <row r="447" spans="1:15" x14ac:dyDescent="0.2">
      <c r="A447" t="s">
        <v>871</v>
      </c>
      <c r="B447" t="s">
        <v>872</v>
      </c>
      <c r="G447" s="1" t="str">
        <f t="shared" si="66"/>
        <v>104.5238</v>
      </c>
      <c r="H447" s="1" t="str">
        <f t="shared" si="67"/>
        <v xml:space="preserve"> 17.2959</v>
      </c>
      <c r="K447" s="1" t="str">
        <f t="shared" si="70"/>
        <v>MD296</v>
      </c>
      <c r="L447" s="1">
        <v>22</v>
      </c>
      <c r="M447" s="1">
        <v>501</v>
      </c>
      <c r="N447" s="1" t="str">
        <f t="shared" si="69"/>
        <v>211+685</v>
      </c>
      <c r="O447" t="str">
        <f t="shared" si="71"/>
        <v>DB</v>
      </c>
    </row>
    <row r="448" spans="1:15" x14ac:dyDescent="0.2">
      <c r="A448" t="s">
        <v>873</v>
      </c>
      <c r="B448" t="s">
        <v>874</v>
      </c>
      <c r="G448" s="1" t="str">
        <f t="shared" si="66"/>
        <v>104.5241</v>
      </c>
      <c r="H448" s="1" t="str">
        <f t="shared" si="67"/>
        <v xml:space="preserve"> 17.2962</v>
      </c>
      <c r="K448" s="1" t="str">
        <f t="shared" si="70"/>
        <v>MD297</v>
      </c>
      <c r="L448" s="1">
        <v>22</v>
      </c>
      <c r="M448" s="1">
        <v>501</v>
      </c>
      <c r="N448" s="1" t="str">
        <f t="shared" si="69"/>
        <v>211+720</v>
      </c>
      <c r="O448" t="str">
        <f t="shared" si="71"/>
        <v>DB</v>
      </c>
    </row>
    <row r="449" spans="1:15" x14ac:dyDescent="0.2">
      <c r="A449" t="s">
        <v>875</v>
      </c>
      <c r="B449" t="s">
        <v>876</v>
      </c>
      <c r="G449" s="1" t="str">
        <f t="shared" si="66"/>
        <v>104.5313</v>
      </c>
      <c r="H449" s="1" t="str">
        <f t="shared" si="67"/>
        <v xml:space="preserve"> 17.3017</v>
      </c>
      <c r="K449" s="1" t="str">
        <f t="shared" si="70"/>
        <v>MD298</v>
      </c>
      <c r="L449" s="1">
        <v>22</v>
      </c>
      <c r="M449" s="1">
        <v>501</v>
      </c>
      <c r="N449" s="1" t="str">
        <f t="shared" si="69"/>
        <v>212+705</v>
      </c>
      <c r="O449" t="str">
        <f t="shared" si="71"/>
        <v>DB</v>
      </c>
    </row>
    <row r="450" spans="1:15" x14ac:dyDescent="0.2">
      <c r="A450" t="s">
        <v>877</v>
      </c>
      <c r="B450" t="s">
        <v>878</v>
      </c>
      <c r="G450" s="1" t="str">
        <f t="shared" si="66"/>
        <v>104.5315</v>
      </c>
      <c r="H450" s="1" t="str">
        <f t="shared" si="67"/>
        <v xml:space="preserve"> 17.3019</v>
      </c>
      <c r="K450" s="1" t="str">
        <f t="shared" si="70"/>
        <v>MD299</v>
      </c>
      <c r="L450" s="1">
        <v>22</v>
      </c>
      <c r="M450" s="1">
        <v>501</v>
      </c>
      <c r="N450" s="1" t="str">
        <f t="shared" si="69"/>
        <v>212+740</v>
      </c>
      <c r="O450" t="str">
        <f t="shared" si="71"/>
        <v>DB</v>
      </c>
    </row>
    <row r="451" spans="1:15" x14ac:dyDescent="0.2">
      <c r="A451" t="s">
        <v>879</v>
      </c>
      <c r="B451" t="s">
        <v>880</v>
      </c>
      <c r="G451" s="1" t="str">
        <f t="shared" ref="G451:G514" si="72">MID(A451,8,8)</f>
        <v>104.5318</v>
      </c>
      <c r="H451" s="1" t="str">
        <f t="shared" ref="H451:H514" si="73">MID(A451,18,8)</f>
        <v xml:space="preserve"> 17.3021</v>
      </c>
      <c r="K451" s="1" t="str">
        <f t="shared" si="70"/>
        <v>MD300</v>
      </c>
      <c r="L451" s="1">
        <v>22</v>
      </c>
      <c r="M451" s="1">
        <v>501</v>
      </c>
      <c r="N451" s="1" t="str">
        <f t="shared" si="69"/>
        <v>212+775</v>
      </c>
      <c r="O451" t="str">
        <f t="shared" si="71"/>
        <v>DB</v>
      </c>
    </row>
    <row r="452" spans="1:15" x14ac:dyDescent="0.2">
      <c r="A452" t="s">
        <v>881</v>
      </c>
      <c r="B452" t="s">
        <v>882</v>
      </c>
      <c r="G452" s="1" t="str">
        <f t="shared" si="72"/>
        <v>104.5320</v>
      </c>
      <c r="H452" s="1" t="str">
        <f t="shared" si="73"/>
        <v xml:space="preserve"> 17.3023</v>
      </c>
      <c r="K452" s="1" t="str">
        <f t="shared" si="70"/>
        <v>MD301</v>
      </c>
      <c r="L452" s="1">
        <v>22</v>
      </c>
      <c r="M452" s="1">
        <v>501</v>
      </c>
      <c r="N452" s="1" t="str">
        <f t="shared" si="69"/>
        <v>212+810</v>
      </c>
      <c r="O452" t="str">
        <f t="shared" si="71"/>
        <v>DB</v>
      </c>
    </row>
    <row r="453" spans="1:15" x14ac:dyDescent="0.2">
      <c r="A453" t="s">
        <v>883</v>
      </c>
      <c r="B453" t="s">
        <v>884</v>
      </c>
      <c r="G453" s="1" t="str">
        <f t="shared" si="72"/>
        <v>104.5323</v>
      </c>
      <c r="H453" s="1" t="str">
        <f t="shared" si="73"/>
        <v xml:space="preserve"> 17.3025</v>
      </c>
      <c r="K453" s="1" t="str">
        <f t="shared" si="70"/>
        <v>MD302</v>
      </c>
      <c r="L453" s="1">
        <v>22</v>
      </c>
      <c r="M453" s="1">
        <v>501</v>
      </c>
      <c r="N453" s="1" t="str">
        <f t="shared" si="69"/>
        <v>212+845</v>
      </c>
      <c r="O453" t="str">
        <f t="shared" si="71"/>
        <v>DB</v>
      </c>
    </row>
    <row r="454" spans="1:15" x14ac:dyDescent="0.2">
      <c r="A454" t="s">
        <v>885</v>
      </c>
      <c r="B454" t="s">
        <v>886</v>
      </c>
      <c r="G454" s="1" t="str">
        <f t="shared" si="72"/>
        <v>104.5326</v>
      </c>
      <c r="H454" s="1" t="str">
        <f t="shared" si="73"/>
        <v xml:space="preserve"> 17.3027</v>
      </c>
      <c r="K454" s="1" t="str">
        <f t="shared" si="70"/>
        <v>MD303</v>
      </c>
      <c r="L454" s="1">
        <v>22</v>
      </c>
      <c r="M454" s="1">
        <v>501</v>
      </c>
      <c r="N454" s="1" t="str">
        <f t="shared" si="69"/>
        <v>212+880</v>
      </c>
      <c r="O454" t="str">
        <f t="shared" si="71"/>
        <v>DB</v>
      </c>
    </row>
    <row r="455" spans="1:15" x14ac:dyDescent="0.2">
      <c r="A455" t="s">
        <v>887</v>
      </c>
      <c r="B455" t="s">
        <v>888</v>
      </c>
      <c r="G455" s="1" t="str">
        <f t="shared" si="72"/>
        <v>104.5328</v>
      </c>
      <c r="H455" s="1" t="str">
        <f t="shared" si="73"/>
        <v xml:space="preserve"> 17.3029</v>
      </c>
      <c r="K455" s="1" t="str">
        <f t="shared" si="70"/>
        <v>MD304</v>
      </c>
      <c r="L455" s="1">
        <v>22</v>
      </c>
      <c r="M455" s="1">
        <v>501</v>
      </c>
      <c r="N455" s="1" t="str">
        <f t="shared" si="69"/>
        <v>212+915</v>
      </c>
      <c r="O455" t="str">
        <f t="shared" si="71"/>
        <v>DB</v>
      </c>
    </row>
    <row r="456" spans="1:15" x14ac:dyDescent="0.2">
      <c r="A456" t="s">
        <v>889</v>
      </c>
      <c r="B456" t="s">
        <v>890</v>
      </c>
      <c r="G456" s="1" t="str">
        <f t="shared" si="72"/>
        <v>104.5332</v>
      </c>
      <c r="H456" s="1" t="str">
        <f>MID(A456,17,7)</f>
        <v>17.3032</v>
      </c>
      <c r="K456" s="1" t="str">
        <f t="shared" si="70"/>
        <v>MD305</v>
      </c>
      <c r="L456" s="1">
        <v>22</v>
      </c>
      <c r="M456" s="1">
        <v>501</v>
      </c>
      <c r="N456" s="1" t="str">
        <f t="shared" si="69"/>
        <v>212+950</v>
      </c>
      <c r="O456" t="str">
        <f t="shared" si="71"/>
        <v>DB</v>
      </c>
    </row>
    <row r="457" spans="1:15" x14ac:dyDescent="0.2">
      <c r="A457" t="s">
        <v>891</v>
      </c>
      <c r="B457" t="s">
        <v>892</v>
      </c>
      <c r="G457" s="1" t="str">
        <f t="shared" si="72"/>
        <v>104.5334</v>
      </c>
      <c r="H457" s="1" t="str">
        <f t="shared" si="73"/>
        <v xml:space="preserve"> 17.3034</v>
      </c>
      <c r="K457" s="1" t="str">
        <f t="shared" si="70"/>
        <v>MD306</v>
      </c>
      <c r="L457" s="1">
        <v>22</v>
      </c>
      <c r="M457" s="1">
        <v>501</v>
      </c>
      <c r="N457" s="1" t="str">
        <f t="shared" si="69"/>
        <v>212+985</v>
      </c>
      <c r="O457" t="str">
        <f t="shared" si="71"/>
        <v>DB</v>
      </c>
    </row>
    <row r="458" spans="1:15" x14ac:dyDescent="0.2">
      <c r="A458" t="s">
        <v>893</v>
      </c>
      <c r="B458" t="s">
        <v>894</v>
      </c>
      <c r="G458" s="1" t="str">
        <f t="shared" si="72"/>
        <v>104.5337</v>
      </c>
      <c r="H458" s="1" t="str">
        <f t="shared" si="73"/>
        <v xml:space="preserve"> 17.3036</v>
      </c>
      <c r="K458" s="1" t="str">
        <f t="shared" si="70"/>
        <v>MD307</v>
      </c>
      <c r="L458" s="1">
        <v>22</v>
      </c>
      <c r="M458" s="1">
        <v>501</v>
      </c>
      <c r="N458" s="1" t="str">
        <f t="shared" si="69"/>
        <v>213+020</v>
      </c>
      <c r="O458" t="str">
        <f t="shared" si="71"/>
        <v>DB</v>
      </c>
    </row>
    <row r="459" spans="1:15" x14ac:dyDescent="0.2">
      <c r="A459" t="s">
        <v>895</v>
      </c>
      <c r="B459" t="s">
        <v>896</v>
      </c>
      <c r="G459" s="1" t="str">
        <f t="shared" si="72"/>
        <v>104.5340</v>
      </c>
      <c r="H459" s="1" t="str">
        <f t="shared" si="73"/>
        <v xml:space="preserve"> 17.3038</v>
      </c>
      <c r="K459" s="1" t="str">
        <f t="shared" si="70"/>
        <v>MD308</v>
      </c>
      <c r="L459" s="1">
        <v>22</v>
      </c>
      <c r="M459" s="1">
        <v>501</v>
      </c>
      <c r="N459" s="1" t="str">
        <f t="shared" si="69"/>
        <v>213+055</v>
      </c>
      <c r="O459" t="str">
        <f t="shared" si="71"/>
        <v>DB</v>
      </c>
    </row>
    <row r="460" spans="1:15" x14ac:dyDescent="0.2">
      <c r="A460" t="s">
        <v>897</v>
      </c>
      <c r="B460" t="s">
        <v>898</v>
      </c>
      <c r="G460" s="1" t="str">
        <f t="shared" si="72"/>
        <v>104.5343</v>
      </c>
      <c r="H460" s="1" t="str">
        <f t="shared" si="73"/>
        <v xml:space="preserve"> 17.3040</v>
      </c>
      <c r="K460" s="1" t="str">
        <f t="shared" si="70"/>
        <v>MD309</v>
      </c>
      <c r="L460" s="1">
        <v>22</v>
      </c>
      <c r="M460" s="1">
        <v>501</v>
      </c>
      <c r="N460" s="1" t="str">
        <f t="shared" si="69"/>
        <v>213+090</v>
      </c>
      <c r="O460" t="str">
        <f t="shared" si="71"/>
        <v>DB</v>
      </c>
    </row>
    <row r="461" spans="1:15" x14ac:dyDescent="0.2">
      <c r="A461" t="s">
        <v>899</v>
      </c>
      <c r="B461" t="s">
        <v>900</v>
      </c>
      <c r="G461" s="1" t="str">
        <f t="shared" si="72"/>
        <v>104.5346</v>
      </c>
      <c r="H461" s="1" t="str">
        <f t="shared" si="73"/>
        <v xml:space="preserve"> 17.3042</v>
      </c>
      <c r="K461" s="1" t="str">
        <f t="shared" si="70"/>
        <v>MD310</v>
      </c>
      <c r="L461" s="1">
        <v>22</v>
      </c>
      <c r="M461" s="1">
        <v>501</v>
      </c>
      <c r="N461" s="1" t="str">
        <f t="shared" si="69"/>
        <v>213+125</v>
      </c>
      <c r="O461" t="str">
        <f t="shared" si="71"/>
        <v>DB</v>
      </c>
    </row>
    <row r="462" spans="1:15" x14ac:dyDescent="0.2">
      <c r="A462" t="s">
        <v>901</v>
      </c>
      <c r="B462" t="s">
        <v>902</v>
      </c>
      <c r="G462" s="1" t="str">
        <f t="shared" si="72"/>
        <v>104.5348</v>
      </c>
      <c r="H462" s="1" t="str">
        <f t="shared" si="73"/>
        <v xml:space="preserve"> 17.3044</v>
      </c>
      <c r="K462" s="1" t="str">
        <f t="shared" si="70"/>
        <v>MD311</v>
      </c>
      <c r="L462" s="1">
        <v>22</v>
      </c>
      <c r="M462" s="1">
        <v>501</v>
      </c>
      <c r="N462" s="1" t="str">
        <f t="shared" si="69"/>
        <v>213+155</v>
      </c>
      <c r="O462" t="str">
        <f t="shared" si="71"/>
        <v>DB</v>
      </c>
    </row>
    <row r="463" spans="1:15" x14ac:dyDescent="0.2">
      <c r="A463" t="s">
        <v>903</v>
      </c>
      <c r="B463" t="s">
        <v>904</v>
      </c>
      <c r="G463" s="1" t="str">
        <f t="shared" si="72"/>
        <v>104.5351</v>
      </c>
      <c r="H463" s="1" t="str">
        <f t="shared" si="73"/>
        <v xml:space="preserve"> 17.3046</v>
      </c>
      <c r="K463" s="1" t="str">
        <f t="shared" si="70"/>
        <v>MD312</v>
      </c>
      <c r="L463" s="1">
        <v>22</v>
      </c>
      <c r="M463" s="1">
        <v>501</v>
      </c>
      <c r="N463" s="1" t="str">
        <f t="shared" si="69"/>
        <v>213+190</v>
      </c>
      <c r="O463" t="str">
        <f t="shared" si="71"/>
        <v>DB</v>
      </c>
    </row>
    <row r="464" spans="1:15" x14ac:dyDescent="0.2">
      <c r="A464" t="s">
        <v>905</v>
      </c>
      <c r="B464" t="s">
        <v>906</v>
      </c>
      <c r="G464" s="1" t="str">
        <f t="shared" si="72"/>
        <v>104.5354</v>
      </c>
      <c r="H464" s="1" t="str">
        <f>MID(A464,18,7)</f>
        <v>17.3048</v>
      </c>
      <c r="K464" s="1" t="str">
        <f t="shared" si="70"/>
        <v>MD313</v>
      </c>
      <c r="L464" s="1">
        <v>22</v>
      </c>
      <c r="M464" s="1">
        <v>501</v>
      </c>
      <c r="N464" s="1" t="str">
        <f t="shared" si="69"/>
        <v>213+225</v>
      </c>
      <c r="O464" t="str">
        <f t="shared" si="71"/>
        <v>DB</v>
      </c>
    </row>
    <row r="465" spans="1:15" x14ac:dyDescent="0.2">
      <c r="A465" t="s">
        <v>907</v>
      </c>
      <c r="B465" t="s">
        <v>908</v>
      </c>
      <c r="G465" s="1" t="str">
        <f t="shared" si="72"/>
        <v>104.5357</v>
      </c>
      <c r="H465" s="1" t="str">
        <f t="shared" si="73"/>
        <v xml:space="preserve"> 17.3050</v>
      </c>
      <c r="K465" s="1" t="str">
        <f t="shared" si="70"/>
        <v>MD314</v>
      </c>
      <c r="L465" s="1">
        <v>22</v>
      </c>
      <c r="M465" s="1">
        <v>501</v>
      </c>
      <c r="N465" s="1" t="str">
        <f t="shared" si="69"/>
        <v>213+260</v>
      </c>
      <c r="O465" t="str">
        <f t="shared" si="71"/>
        <v>DB</v>
      </c>
    </row>
    <row r="466" spans="1:15" x14ac:dyDescent="0.2">
      <c r="A466" t="s">
        <v>909</v>
      </c>
      <c r="B466" t="s">
        <v>910</v>
      </c>
      <c r="G466" s="1" t="str">
        <f t="shared" si="72"/>
        <v>104.5359</v>
      </c>
      <c r="H466" s="1" t="str">
        <f t="shared" si="73"/>
        <v xml:space="preserve"> 17.3052</v>
      </c>
      <c r="K466" s="1" t="str">
        <f t="shared" si="70"/>
        <v>MD315</v>
      </c>
      <c r="L466" s="1">
        <v>22</v>
      </c>
      <c r="M466" s="1">
        <v>501</v>
      </c>
      <c r="N466" s="1" t="str">
        <f t="shared" si="69"/>
        <v>213+295</v>
      </c>
      <c r="O466" t="str">
        <f t="shared" si="71"/>
        <v>DB</v>
      </c>
    </row>
    <row r="467" spans="1:15" x14ac:dyDescent="0.2">
      <c r="A467" t="s">
        <v>911</v>
      </c>
      <c r="B467" t="s">
        <v>912</v>
      </c>
      <c r="G467" s="1" t="str">
        <f t="shared" si="72"/>
        <v>104.5362</v>
      </c>
      <c r="H467" s="1" t="str">
        <f t="shared" si="73"/>
        <v xml:space="preserve"> 17.3055</v>
      </c>
      <c r="K467" s="1" t="str">
        <f t="shared" si="70"/>
        <v>MD316</v>
      </c>
      <c r="L467" s="1">
        <v>22</v>
      </c>
      <c r="M467" s="1">
        <v>501</v>
      </c>
      <c r="N467" s="1" t="str">
        <f t="shared" si="69"/>
        <v>213+330</v>
      </c>
      <c r="O467" t="str">
        <f t="shared" si="71"/>
        <v>DB</v>
      </c>
    </row>
    <row r="468" spans="1:15" x14ac:dyDescent="0.2">
      <c r="A468" t="s">
        <v>913</v>
      </c>
      <c r="B468" t="s">
        <v>914</v>
      </c>
      <c r="G468" s="1" t="str">
        <f t="shared" si="72"/>
        <v>104.5366</v>
      </c>
      <c r="H468" s="1" t="str">
        <f t="shared" si="73"/>
        <v xml:space="preserve"> 17.3057</v>
      </c>
      <c r="K468" s="1" t="str">
        <f t="shared" si="70"/>
        <v>MD317</v>
      </c>
      <c r="L468" s="1">
        <v>22</v>
      </c>
      <c r="M468" s="1">
        <v>501</v>
      </c>
      <c r="N468" s="1" t="str">
        <f t="shared" si="69"/>
        <v>213+365</v>
      </c>
      <c r="O468" t="str">
        <f t="shared" si="71"/>
        <v>DB</v>
      </c>
    </row>
    <row r="469" spans="1:15" x14ac:dyDescent="0.2">
      <c r="A469" t="s">
        <v>915</v>
      </c>
      <c r="B469" t="s">
        <v>916</v>
      </c>
      <c r="G469" s="1" t="str">
        <f t="shared" si="72"/>
        <v>104.4881</v>
      </c>
      <c r="H469" s="1" t="str">
        <f t="shared" si="73"/>
        <v xml:space="preserve"> 17.2865</v>
      </c>
      <c r="I469" s="1" t="str">
        <f t="shared" ref="I469:I500" si="74">MID(B469,1,4)</f>
        <v>RT22</v>
      </c>
      <c r="L469" s="1">
        <v>22</v>
      </c>
      <c r="M469" s="1">
        <v>501</v>
      </c>
      <c r="N469" s="1" t="str">
        <f>MID(B469,17,7)</f>
        <v>207+557</v>
      </c>
      <c r="O469" t="str">
        <f>MID(B469,6,2)</f>
        <v>SG</v>
      </c>
    </row>
    <row r="470" spans="1:15" x14ac:dyDescent="0.2">
      <c r="A470" t="s">
        <v>917</v>
      </c>
      <c r="B470" t="s">
        <v>918</v>
      </c>
      <c r="G470" s="1" t="str">
        <f t="shared" si="72"/>
        <v>104.4885</v>
      </c>
      <c r="H470" s="1" t="str">
        <f t="shared" si="73"/>
        <v xml:space="preserve"> 17.2864</v>
      </c>
      <c r="I470" s="1" t="str">
        <f t="shared" si="74"/>
        <v>RT23</v>
      </c>
      <c r="L470" s="1">
        <v>22</v>
      </c>
      <c r="M470" s="1">
        <v>501</v>
      </c>
      <c r="N470" s="1" t="str">
        <f t="shared" ref="N470:N473" si="75">MID(B470,17,7)</f>
        <v>207+592</v>
      </c>
      <c r="O470" t="str">
        <f t="shared" ref="O470:O533" si="76">MID(B470,6,2)</f>
        <v>SG</v>
      </c>
    </row>
    <row r="471" spans="1:15" x14ac:dyDescent="0.2">
      <c r="A471" t="s">
        <v>919</v>
      </c>
      <c r="B471" t="s">
        <v>920</v>
      </c>
      <c r="G471" s="1" t="str">
        <f t="shared" si="72"/>
        <v>104.4889</v>
      </c>
      <c r="H471" s="1" t="str">
        <f t="shared" si="73"/>
        <v xml:space="preserve"> 17.2864</v>
      </c>
      <c r="I471" s="1" t="str">
        <f t="shared" si="74"/>
        <v>RT24</v>
      </c>
      <c r="L471" s="1">
        <v>22</v>
      </c>
      <c r="M471" s="1">
        <v>501</v>
      </c>
      <c r="N471" s="1" t="str">
        <f t="shared" si="75"/>
        <v>207+594</v>
      </c>
      <c r="O471" t="str">
        <f t="shared" si="76"/>
        <v>SG</v>
      </c>
    </row>
    <row r="472" spans="1:15" x14ac:dyDescent="0.2">
      <c r="A472" t="s">
        <v>921</v>
      </c>
      <c r="B472" t="s">
        <v>922</v>
      </c>
      <c r="G472" s="1" t="str">
        <f t="shared" si="72"/>
        <v>104.4891</v>
      </c>
      <c r="H472" s="1" t="str">
        <f t="shared" si="73"/>
        <v xml:space="preserve"> 17.2864</v>
      </c>
      <c r="I472" s="1" t="str">
        <f t="shared" si="74"/>
        <v>RT25</v>
      </c>
      <c r="L472" s="1">
        <v>22</v>
      </c>
      <c r="M472" s="1">
        <v>501</v>
      </c>
      <c r="N472" s="1" t="str">
        <f t="shared" si="75"/>
        <v>207+662</v>
      </c>
      <c r="O472" t="str">
        <f t="shared" si="76"/>
        <v>SG</v>
      </c>
    </row>
    <row r="473" spans="1:15" x14ac:dyDescent="0.2">
      <c r="A473" t="s">
        <v>923</v>
      </c>
      <c r="B473" t="s">
        <v>924</v>
      </c>
      <c r="G473" s="1" t="str">
        <f t="shared" si="72"/>
        <v>104.4894</v>
      </c>
      <c r="H473" s="1" t="str">
        <f t="shared" si="73"/>
        <v xml:space="preserve"> 17.2864</v>
      </c>
      <c r="I473" s="1" t="str">
        <f t="shared" si="74"/>
        <v>RT25</v>
      </c>
      <c r="L473" s="1">
        <v>22</v>
      </c>
      <c r="M473" s="1">
        <v>501</v>
      </c>
      <c r="N473" s="1" t="str">
        <f t="shared" si="75"/>
        <v>207+697</v>
      </c>
      <c r="O473" t="str">
        <f t="shared" si="76"/>
        <v>SG</v>
      </c>
    </row>
    <row r="474" spans="1:15" x14ac:dyDescent="0.2">
      <c r="A474" t="s">
        <v>925</v>
      </c>
      <c r="B474" t="s">
        <v>1172</v>
      </c>
      <c r="G474" s="1" t="str">
        <f t="shared" si="72"/>
        <v>104.4898</v>
      </c>
      <c r="H474" s="1" t="str">
        <f t="shared" si="73"/>
        <v xml:space="preserve"> 17.2863</v>
      </c>
      <c r="I474" s="1" t="str">
        <f t="shared" si="74"/>
        <v>RT26</v>
      </c>
      <c r="L474" s="1">
        <v>22</v>
      </c>
      <c r="M474" s="1">
        <v>501</v>
      </c>
      <c r="N474" s="1" t="str">
        <f>MID(B474,17,7)</f>
        <v>207+735</v>
      </c>
      <c r="O474" t="str">
        <f t="shared" si="76"/>
        <v>SG</v>
      </c>
    </row>
    <row r="475" spans="1:15" x14ac:dyDescent="0.2">
      <c r="A475" t="s">
        <v>926</v>
      </c>
      <c r="B475" t="s">
        <v>1173</v>
      </c>
      <c r="G475" s="1" t="str">
        <f t="shared" si="72"/>
        <v>104.4901</v>
      </c>
      <c r="H475" s="1" t="str">
        <f>MID(A475,18,7)</f>
        <v>17.2863</v>
      </c>
      <c r="I475" s="1" t="str">
        <f t="shared" si="74"/>
        <v>RT27</v>
      </c>
      <c r="L475" s="1">
        <v>22</v>
      </c>
      <c r="M475" s="1">
        <v>501</v>
      </c>
      <c r="N475" s="1" t="str">
        <f t="shared" ref="N475:N538" si="77">MID(B475,17,7)</f>
        <v>207+767</v>
      </c>
      <c r="O475" t="str">
        <f t="shared" si="76"/>
        <v>SG</v>
      </c>
    </row>
    <row r="476" spans="1:15" x14ac:dyDescent="0.2">
      <c r="A476" t="s">
        <v>927</v>
      </c>
      <c r="B476" t="s">
        <v>928</v>
      </c>
      <c r="G476" s="1" t="str">
        <f t="shared" si="72"/>
        <v>104.4904</v>
      </c>
      <c r="H476" s="1" t="str">
        <f t="shared" si="73"/>
        <v xml:space="preserve"> 17.2864</v>
      </c>
      <c r="I476" s="1" t="str">
        <f t="shared" si="74"/>
        <v>RT28</v>
      </c>
      <c r="L476" s="1">
        <v>22</v>
      </c>
      <c r="M476" s="1">
        <v>501</v>
      </c>
      <c r="N476" s="1" t="str">
        <f t="shared" si="77"/>
        <v>207+802</v>
      </c>
      <c r="O476" t="str">
        <f t="shared" si="76"/>
        <v>SG</v>
      </c>
    </row>
    <row r="477" spans="1:15" x14ac:dyDescent="0.2">
      <c r="A477" t="s">
        <v>929</v>
      </c>
      <c r="B477" t="s">
        <v>930</v>
      </c>
      <c r="G477" s="1" t="str">
        <f t="shared" si="72"/>
        <v>104.4908</v>
      </c>
      <c r="H477" s="1" t="str">
        <f t="shared" si="73"/>
        <v xml:space="preserve"> 17.2863</v>
      </c>
      <c r="I477" s="1" t="str">
        <f t="shared" si="74"/>
        <v>RT29</v>
      </c>
      <c r="L477" s="1">
        <v>22</v>
      </c>
      <c r="M477" s="1">
        <v>501</v>
      </c>
      <c r="N477" s="1" t="str">
        <f t="shared" si="77"/>
        <v>207+837</v>
      </c>
      <c r="O477" t="str">
        <f t="shared" si="76"/>
        <v>SG</v>
      </c>
    </row>
    <row r="478" spans="1:15" x14ac:dyDescent="0.2">
      <c r="A478" t="s">
        <v>931</v>
      </c>
      <c r="B478" t="s">
        <v>932</v>
      </c>
      <c r="G478" s="1" t="str">
        <f t="shared" si="72"/>
        <v>104.4911</v>
      </c>
      <c r="H478" s="1" t="str">
        <f t="shared" si="73"/>
        <v xml:space="preserve"> 17.2863</v>
      </c>
      <c r="I478" s="1" t="str">
        <f t="shared" si="74"/>
        <v>RT30</v>
      </c>
      <c r="L478" s="1">
        <v>22</v>
      </c>
      <c r="M478" s="1">
        <v>501</v>
      </c>
      <c r="N478" s="1" t="str">
        <f t="shared" si="77"/>
        <v>207+872</v>
      </c>
      <c r="O478" t="str">
        <f t="shared" si="76"/>
        <v>SG</v>
      </c>
    </row>
    <row r="479" spans="1:15" x14ac:dyDescent="0.2">
      <c r="A479" t="s">
        <v>933</v>
      </c>
      <c r="B479" t="s">
        <v>934</v>
      </c>
      <c r="G479" s="1" t="str">
        <f t="shared" si="72"/>
        <v>104.4914</v>
      </c>
      <c r="H479" s="1" t="str">
        <f>MID(A479,18,7)</f>
        <v>17.2864</v>
      </c>
      <c r="I479" s="1" t="str">
        <f t="shared" si="74"/>
        <v>RT31</v>
      </c>
      <c r="L479" s="1">
        <v>22</v>
      </c>
      <c r="M479" s="1">
        <v>501</v>
      </c>
      <c r="N479" s="1" t="str">
        <f t="shared" si="77"/>
        <v>207+907</v>
      </c>
      <c r="O479" t="str">
        <f t="shared" si="76"/>
        <v>SG</v>
      </c>
    </row>
    <row r="480" spans="1:15" x14ac:dyDescent="0.2">
      <c r="A480" t="s">
        <v>935</v>
      </c>
      <c r="B480" t="s">
        <v>936</v>
      </c>
      <c r="G480" s="1" t="str">
        <f t="shared" si="72"/>
        <v>104.4918</v>
      </c>
      <c r="H480" s="1" t="str">
        <f t="shared" si="73"/>
        <v xml:space="preserve"> 17.2863</v>
      </c>
      <c r="I480" s="1" t="str">
        <f t="shared" si="74"/>
        <v>RT31</v>
      </c>
      <c r="L480" s="1">
        <v>22</v>
      </c>
      <c r="M480" s="1">
        <v>501</v>
      </c>
      <c r="N480" s="1" t="str">
        <f t="shared" si="77"/>
        <v>207+942</v>
      </c>
      <c r="O480" t="str">
        <f t="shared" si="76"/>
        <v>SG</v>
      </c>
    </row>
    <row r="481" spans="1:15" x14ac:dyDescent="0.2">
      <c r="A481" t="s">
        <v>937</v>
      </c>
      <c r="B481" t="s">
        <v>938</v>
      </c>
      <c r="G481" s="1" t="str">
        <f t="shared" si="72"/>
        <v>104.4921</v>
      </c>
      <c r="H481" s="1" t="str">
        <f t="shared" si="73"/>
        <v xml:space="preserve"> 17.2862</v>
      </c>
      <c r="I481" s="1" t="str">
        <f t="shared" si="74"/>
        <v>RT32</v>
      </c>
      <c r="L481" s="1">
        <v>22</v>
      </c>
      <c r="M481" s="1">
        <v>501</v>
      </c>
      <c r="N481" s="1" t="str">
        <f t="shared" si="77"/>
        <v>207+977</v>
      </c>
      <c r="O481" t="str">
        <f t="shared" si="76"/>
        <v>SG</v>
      </c>
    </row>
    <row r="482" spans="1:15" x14ac:dyDescent="0.2">
      <c r="A482" t="s">
        <v>939</v>
      </c>
      <c r="B482" t="s">
        <v>940</v>
      </c>
      <c r="G482" s="1" t="str">
        <f t="shared" si="72"/>
        <v>104.4924</v>
      </c>
      <c r="H482" s="1" t="str">
        <f t="shared" si="73"/>
        <v xml:space="preserve"> 17.2863</v>
      </c>
      <c r="I482" s="1" t="str">
        <f t="shared" si="74"/>
        <v>RT33</v>
      </c>
      <c r="L482" s="1">
        <v>22</v>
      </c>
      <c r="M482" s="1">
        <v>501</v>
      </c>
      <c r="N482" s="1" t="str">
        <f t="shared" si="77"/>
        <v>208+012</v>
      </c>
      <c r="O482" t="str">
        <f t="shared" si="76"/>
        <v>SG</v>
      </c>
    </row>
    <row r="483" spans="1:15" x14ac:dyDescent="0.2">
      <c r="A483" t="s">
        <v>941</v>
      </c>
      <c r="B483" t="s">
        <v>942</v>
      </c>
      <c r="G483" s="1" t="str">
        <f t="shared" si="72"/>
        <v>104.4928</v>
      </c>
      <c r="H483" s="1" t="str">
        <f t="shared" si="73"/>
        <v xml:space="preserve"> 17.2863</v>
      </c>
      <c r="I483" s="1" t="str">
        <f t="shared" si="74"/>
        <v>RT34</v>
      </c>
      <c r="L483" s="1">
        <v>22</v>
      </c>
      <c r="M483" s="1">
        <v>501</v>
      </c>
      <c r="N483" s="1" t="str">
        <f t="shared" si="77"/>
        <v>208+048</v>
      </c>
      <c r="O483" t="str">
        <f t="shared" si="76"/>
        <v>SG</v>
      </c>
    </row>
    <row r="484" spans="1:15" x14ac:dyDescent="0.2">
      <c r="A484" t="s">
        <v>943</v>
      </c>
      <c r="B484" t="s">
        <v>1174</v>
      </c>
      <c r="G484" s="1" t="str">
        <f t="shared" si="72"/>
        <v>104.5039</v>
      </c>
      <c r="H484" s="1" t="str">
        <f t="shared" si="73"/>
        <v xml:space="preserve"> 17.2857</v>
      </c>
      <c r="I484" s="1" t="str">
        <f t="shared" si="74"/>
        <v>RT35</v>
      </c>
      <c r="L484" s="1">
        <v>22</v>
      </c>
      <c r="M484" s="1">
        <v>501</v>
      </c>
      <c r="N484" s="1" t="str">
        <f t="shared" si="77"/>
        <v>208+060</v>
      </c>
      <c r="O484" t="str">
        <f t="shared" si="76"/>
        <v>SG</v>
      </c>
    </row>
    <row r="485" spans="1:15" x14ac:dyDescent="0.2">
      <c r="A485" t="s">
        <v>944</v>
      </c>
      <c r="B485" t="s">
        <v>945</v>
      </c>
      <c r="G485" s="1" t="str">
        <f t="shared" si="72"/>
        <v>104.5042</v>
      </c>
      <c r="H485" s="1" t="str">
        <f t="shared" si="73"/>
        <v xml:space="preserve"> 17.2856</v>
      </c>
      <c r="I485" s="1" t="str">
        <f t="shared" si="74"/>
        <v>RT36</v>
      </c>
      <c r="L485" s="1">
        <v>22</v>
      </c>
      <c r="M485" s="1">
        <v>501</v>
      </c>
      <c r="N485" s="1" t="str">
        <f t="shared" si="77"/>
        <v>209+270</v>
      </c>
      <c r="O485" t="str">
        <f t="shared" si="76"/>
        <v>SG</v>
      </c>
    </row>
    <row r="486" spans="1:15" x14ac:dyDescent="0.2">
      <c r="A486" t="s">
        <v>946</v>
      </c>
      <c r="B486" t="s">
        <v>947</v>
      </c>
      <c r="G486" s="1" t="str">
        <f t="shared" si="72"/>
        <v>104.5046</v>
      </c>
      <c r="H486" s="1" t="str">
        <f t="shared" si="73"/>
        <v xml:space="preserve"> 17.2856</v>
      </c>
      <c r="I486" s="1" t="str">
        <f t="shared" si="74"/>
        <v>RT37</v>
      </c>
      <c r="L486" s="1">
        <v>22</v>
      </c>
      <c r="M486" s="1">
        <v>501</v>
      </c>
      <c r="N486" s="1" t="str">
        <f t="shared" si="77"/>
        <v>209+305</v>
      </c>
      <c r="O486" t="str">
        <f t="shared" si="76"/>
        <v>SG</v>
      </c>
    </row>
    <row r="487" spans="1:15" x14ac:dyDescent="0.2">
      <c r="A487" t="s">
        <v>948</v>
      </c>
      <c r="B487" t="s">
        <v>949</v>
      </c>
      <c r="G487" s="1" t="str">
        <f t="shared" si="72"/>
        <v>104.5049</v>
      </c>
      <c r="H487" s="1" t="str">
        <f t="shared" si="73"/>
        <v xml:space="preserve"> 17.2857</v>
      </c>
      <c r="I487" s="1" t="str">
        <f t="shared" si="74"/>
        <v>RT38</v>
      </c>
      <c r="L487" s="1">
        <v>22</v>
      </c>
      <c r="M487" s="1">
        <v>501</v>
      </c>
      <c r="N487" s="1" t="str">
        <f t="shared" si="77"/>
        <v>209+340</v>
      </c>
      <c r="O487" t="str">
        <f t="shared" si="76"/>
        <v>SG</v>
      </c>
    </row>
    <row r="488" spans="1:15" x14ac:dyDescent="0.2">
      <c r="A488" t="s">
        <v>950</v>
      </c>
      <c r="B488" t="s">
        <v>951</v>
      </c>
      <c r="G488" s="1" t="str">
        <f t="shared" si="72"/>
        <v>104.5052</v>
      </c>
      <c r="H488" s="1" t="str">
        <f t="shared" si="73"/>
        <v xml:space="preserve"> 17.2857</v>
      </c>
      <c r="I488" s="1" t="str">
        <f t="shared" si="74"/>
        <v>RT39</v>
      </c>
      <c r="L488" s="1">
        <v>22</v>
      </c>
      <c r="M488" s="1">
        <v>501</v>
      </c>
      <c r="N488" s="1" t="str">
        <f t="shared" si="77"/>
        <v>209+375</v>
      </c>
      <c r="O488" t="str">
        <f t="shared" si="76"/>
        <v>SG</v>
      </c>
    </row>
    <row r="489" spans="1:15" x14ac:dyDescent="0.2">
      <c r="A489" t="s">
        <v>952</v>
      </c>
      <c r="B489" t="s">
        <v>953</v>
      </c>
      <c r="G489" s="1" t="str">
        <f t="shared" si="72"/>
        <v>104.5056</v>
      </c>
      <c r="H489" s="1" t="str">
        <f t="shared" si="73"/>
        <v xml:space="preserve"> 17.2856</v>
      </c>
      <c r="I489" s="1" t="str">
        <f t="shared" si="74"/>
        <v>RT40</v>
      </c>
      <c r="L489" s="1">
        <v>22</v>
      </c>
      <c r="M489" s="1">
        <v>501</v>
      </c>
      <c r="N489" s="1" t="str">
        <f t="shared" si="77"/>
        <v>209+410</v>
      </c>
      <c r="O489" t="str">
        <f>MID(B489,6,2)</f>
        <v>SG</v>
      </c>
    </row>
    <row r="490" spans="1:15" x14ac:dyDescent="0.2">
      <c r="A490" t="s">
        <v>954</v>
      </c>
      <c r="B490" t="s">
        <v>955</v>
      </c>
      <c r="G490" s="1" t="str">
        <f t="shared" si="72"/>
        <v>104.5059</v>
      </c>
      <c r="H490" s="1" t="str">
        <f t="shared" si="73"/>
        <v xml:space="preserve"> 17.2856</v>
      </c>
      <c r="I490" s="1" t="str">
        <f t="shared" si="74"/>
        <v>RT41</v>
      </c>
      <c r="L490" s="1">
        <v>22</v>
      </c>
      <c r="M490" s="1">
        <v>501</v>
      </c>
      <c r="N490" s="1" t="str">
        <f t="shared" si="77"/>
        <v>209+445</v>
      </c>
      <c r="O490" t="str">
        <f t="shared" si="76"/>
        <v>SG</v>
      </c>
    </row>
    <row r="491" spans="1:15" x14ac:dyDescent="0.2">
      <c r="A491" t="s">
        <v>956</v>
      </c>
      <c r="B491" t="s">
        <v>957</v>
      </c>
      <c r="G491" s="1" t="str">
        <f t="shared" si="72"/>
        <v>104.5063</v>
      </c>
      <c r="H491" s="1" t="str">
        <f t="shared" si="73"/>
        <v xml:space="preserve"> 17.2856</v>
      </c>
      <c r="I491" s="1" t="str">
        <f t="shared" si="74"/>
        <v>RT42</v>
      </c>
      <c r="L491" s="1">
        <v>22</v>
      </c>
      <c r="M491" s="1">
        <v>501</v>
      </c>
      <c r="N491" s="1" t="str">
        <f t="shared" si="77"/>
        <v>209+480</v>
      </c>
      <c r="O491" t="str">
        <f t="shared" si="76"/>
        <v>SG</v>
      </c>
    </row>
    <row r="492" spans="1:15" x14ac:dyDescent="0.2">
      <c r="A492" t="s">
        <v>958</v>
      </c>
      <c r="B492" t="s">
        <v>959</v>
      </c>
      <c r="G492" s="1" t="str">
        <f t="shared" si="72"/>
        <v>104.5066</v>
      </c>
      <c r="H492" s="1" t="str">
        <f t="shared" si="73"/>
        <v xml:space="preserve"> 17.2857</v>
      </c>
      <c r="I492" s="1" t="str">
        <f t="shared" si="74"/>
        <v>RT43</v>
      </c>
      <c r="L492" s="1">
        <v>22</v>
      </c>
      <c r="M492" s="1">
        <v>501</v>
      </c>
      <c r="N492" s="1" t="str">
        <f t="shared" si="77"/>
        <v>209+515</v>
      </c>
      <c r="O492" t="str">
        <f t="shared" si="76"/>
        <v>SG</v>
      </c>
    </row>
    <row r="493" spans="1:15" x14ac:dyDescent="0.2">
      <c r="A493" t="s">
        <v>960</v>
      </c>
      <c r="B493" t="s">
        <v>961</v>
      </c>
      <c r="G493" s="1" t="str">
        <f t="shared" si="72"/>
        <v>104.5069</v>
      </c>
      <c r="H493" s="1" t="str">
        <f t="shared" si="73"/>
        <v xml:space="preserve"> 17.2857</v>
      </c>
      <c r="I493" s="1" t="str">
        <f t="shared" si="74"/>
        <v>RT44</v>
      </c>
      <c r="L493" s="1">
        <v>22</v>
      </c>
      <c r="M493" s="1">
        <v>501</v>
      </c>
      <c r="N493" s="1" t="str">
        <f t="shared" si="77"/>
        <v>209+550</v>
      </c>
      <c r="O493" t="str">
        <f t="shared" si="76"/>
        <v>SG</v>
      </c>
    </row>
    <row r="494" spans="1:15" x14ac:dyDescent="0.2">
      <c r="A494" t="s">
        <v>962</v>
      </c>
      <c r="B494" t="s">
        <v>963</v>
      </c>
      <c r="G494" s="1" t="str">
        <f t="shared" si="72"/>
        <v>104.5072</v>
      </c>
      <c r="H494" s="1" t="str">
        <f t="shared" si="73"/>
        <v xml:space="preserve"> 17.2858</v>
      </c>
      <c r="I494" s="1" t="str">
        <f t="shared" si="74"/>
        <v>RT45</v>
      </c>
      <c r="L494" s="1">
        <v>22</v>
      </c>
      <c r="M494" s="1">
        <v>501</v>
      </c>
      <c r="N494" s="1" t="str">
        <f t="shared" si="77"/>
        <v>209+585</v>
      </c>
      <c r="O494" t="str">
        <f t="shared" si="76"/>
        <v>SG</v>
      </c>
    </row>
    <row r="495" spans="1:15" x14ac:dyDescent="0.2">
      <c r="A495" t="s">
        <v>964</v>
      </c>
      <c r="B495" t="s">
        <v>965</v>
      </c>
      <c r="G495" s="1" t="str">
        <f t="shared" si="72"/>
        <v>104.5076</v>
      </c>
      <c r="H495" s="1" t="str">
        <f t="shared" si="73"/>
        <v xml:space="preserve"> 17.2859</v>
      </c>
      <c r="I495" s="1" t="str">
        <f t="shared" si="74"/>
        <v>RT46</v>
      </c>
      <c r="L495" s="1">
        <v>22</v>
      </c>
      <c r="M495" s="1">
        <v>501</v>
      </c>
      <c r="N495" s="1" t="str">
        <f t="shared" si="77"/>
        <v>209+520</v>
      </c>
      <c r="O495" t="str">
        <f t="shared" si="76"/>
        <v>SG</v>
      </c>
    </row>
    <row r="496" spans="1:15" x14ac:dyDescent="0.2">
      <c r="A496" t="s">
        <v>966</v>
      </c>
      <c r="B496" t="s">
        <v>967</v>
      </c>
      <c r="G496" s="1" t="str">
        <f t="shared" si="72"/>
        <v>104.5079</v>
      </c>
      <c r="H496" s="1" t="str">
        <f t="shared" si="73"/>
        <v xml:space="preserve"> 17.2860</v>
      </c>
      <c r="I496" s="1" t="str">
        <f t="shared" si="74"/>
        <v>RT47</v>
      </c>
      <c r="L496" s="1">
        <v>22</v>
      </c>
      <c r="M496" s="1">
        <v>501</v>
      </c>
      <c r="N496" s="1" t="str">
        <f t="shared" si="77"/>
        <v>209+655</v>
      </c>
      <c r="O496" t="str">
        <f t="shared" si="76"/>
        <v>SG</v>
      </c>
    </row>
    <row r="497" spans="1:15" x14ac:dyDescent="0.2">
      <c r="A497" t="s">
        <v>968</v>
      </c>
      <c r="B497" t="s">
        <v>969</v>
      </c>
      <c r="G497" s="1" t="str">
        <f t="shared" si="72"/>
        <v>104.5083</v>
      </c>
      <c r="H497" s="1" t="str">
        <f t="shared" si="73"/>
        <v xml:space="preserve"> 17.2860</v>
      </c>
      <c r="I497" s="1" t="str">
        <f t="shared" si="74"/>
        <v>RT48</v>
      </c>
      <c r="L497" s="1">
        <v>22</v>
      </c>
      <c r="M497" s="1">
        <v>501</v>
      </c>
      <c r="N497" s="1" t="str">
        <f t="shared" si="77"/>
        <v>209+690</v>
      </c>
      <c r="O497" t="str">
        <f t="shared" si="76"/>
        <v>SG</v>
      </c>
    </row>
    <row r="498" spans="1:15" x14ac:dyDescent="0.2">
      <c r="A498" t="s">
        <v>970</v>
      </c>
      <c r="B498" t="s">
        <v>971</v>
      </c>
      <c r="G498" s="1" t="str">
        <f t="shared" si="72"/>
        <v>104.5086</v>
      </c>
      <c r="H498" s="1" t="str">
        <f t="shared" si="73"/>
        <v xml:space="preserve"> 17.2861</v>
      </c>
      <c r="I498" s="1" t="str">
        <f t="shared" si="74"/>
        <v>RT49</v>
      </c>
      <c r="L498" s="1">
        <v>22</v>
      </c>
      <c r="M498" s="1">
        <v>501</v>
      </c>
      <c r="N498" s="1" t="str">
        <f t="shared" si="77"/>
        <v>209+725</v>
      </c>
      <c r="O498" t="str">
        <f t="shared" si="76"/>
        <v>SG</v>
      </c>
    </row>
    <row r="499" spans="1:15" x14ac:dyDescent="0.2">
      <c r="A499" t="s">
        <v>972</v>
      </c>
      <c r="B499" t="s">
        <v>973</v>
      </c>
      <c r="G499" s="1" t="str">
        <f t="shared" si="72"/>
        <v>104.5090</v>
      </c>
      <c r="H499" s="1" t="str">
        <f t="shared" si="73"/>
        <v xml:space="preserve"> 17.2863</v>
      </c>
      <c r="I499" s="1" t="str">
        <f t="shared" si="74"/>
        <v>RT50</v>
      </c>
      <c r="L499" s="1">
        <v>22</v>
      </c>
      <c r="M499" s="1">
        <v>501</v>
      </c>
      <c r="N499" s="1" t="str">
        <f t="shared" si="77"/>
        <v>209+763</v>
      </c>
      <c r="O499" t="str">
        <f t="shared" si="76"/>
        <v>SG</v>
      </c>
    </row>
    <row r="500" spans="1:15" x14ac:dyDescent="0.2">
      <c r="A500" t="s">
        <v>974</v>
      </c>
      <c r="B500" t="s">
        <v>975</v>
      </c>
      <c r="G500" s="1" t="str">
        <f t="shared" si="72"/>
        <v>104.5092</v>
      </c>
      <c r="H500" s="1" t="str">
        <f t="shared" si="73"/>
        <v xml:space="preserve"> 17.2863</v>
      </c>
      <c r="I500" s="1" t="str">
        <f t="shared" si="74"/>
        <v>RT51</v>
      </c>
      <c r="L500" s="1">
        <v>22</v>
      </c>
      <c r="M500" s="1">
        <v>501</v>
      </c>
      <c r="N500" s="1" t="str">
        <f t="shared" si="77"/>
        <v>209+795</v>
      </c>
      <c r="O500" t="str">
        <f t="shared" si="76"/>
        <v>SG</v>
      </c>
    </row>
    <row r="501" spans="1:15" x14ac:dyDescent="0.2">
      <c r="A501" t="s">
        <v>976</v>
      </c>
      <c r="B501" t="s">
        <v>977</v>
      </c>
      <c r="G501" s="1" t="str">
        <f t="shared" si="72"/>
        <v>104.5095</v>
      </c>
      <c r="H501" s="1" t="str">
        <f t="shared" si="73"/>
        <v xml:space="preserve"> 17.2864</v>
      </c>
      <c r="I501" s="1" t="str">
        <f t="shared" ref="I501:I532" si="78">MID(B501,1,4)</f>
        <v>RT52</v>
      </c>
      <c r="L501" s="1">
        <v>22</v>
      </c>
      <c r="M501" s="1">
        <v>501</v>
      </c>
      <c r="N501" s="1" t="str">
        <f t="shared" si="77"/>
        <v>209+830</v>
      </c>
      <c r="O501" t="str">
        <f t="shared" si="76"/>
        <v>SG</v>
      </c>
    </row>
    <row r="502" spans="1:15" x14ac:dyDescent="0.2">
      <c r="A502" t="s">
        <v>978</v>
      </c>
      <c r="B502" t="s">
        <v>979</v>
      </c>
      <c r="G502" s="1" t="str">
        <f t="shared" si="72"/>
        <v>104.5098</v>
      </c>
      <c r="H502" s="1" t="str">
        <f>MID(A502,18,7)</f>
        <v>17.2865</v>
      </c>
      <c r="I502" s="1" t="str">
        <f t="shared" si="78"/>
        <v>RT53</v>
      </c>
      <c r="L502" s="1">
        <v>22</v>
      </c>
      <c r="M502" s="1">
        <v>501</v>
      </c>
      <c r="N502" s="1" t="str">
        <f t="shared" si="77"/>
        <v>209+865</v>
      </c>
      <c r="O502" t="str">
        <f t="shared" si="76"/>
        <v>SG</v>
      </c>
    </row>
    <row r="503" spans="1:15" x14ac:dyDescent="0.2">
      <c r="A503" t="s">
        <v>980</v>
      </c>
      <c r="B503" t="s">
        <v>981</v>
      </c>
      <c r="G503" s="1" t="str">
        <f t="shared" si="72"/>
        <v>104.5101</v>
      </c>
      <c r="H503" s="1" t="str">
        <f t="shared" si="73"/>
        <v xml:space="preserve"> 17.2866</v>
      </c>
      <c r="I503" s="1" t="str">
        <f t="shared" si="78"/>
        <v>RT54</v>
      </c>
      <c r="L503" s="1">
        <v>22</v>
      </c>
      <c r="M503" s="1">
        <v>501</v>
      </c>
      <c r="N503" s="1" t="str">
        <f t="shared" si="77"/>
        <v>209+900</v>
      </c>
      <c r="O503" t="str">
        <f t="shared" si="76"/>
        <v>SG</v>
      </c>
    </row>
    <row r="504" spans="1:15" x14ac:dyDescent="0.2">
      <c r="A504" t="s">
        <v>982</v>
      </c>
      <c r="B504" t="s">
        <v>983</v>
      </c>
      <c r="G504" s="1" t="str">
        <f t="shared" si="72"/>
        <v>104.5104</v>
      </c>
      <c r="H504" s="1" t="str">
        <f t="shared" si="73"/>
        <v xml:space="preserve"> 17.2867</v>
      </c>
      <c r="I504" s="1" t="str">
        <f t="shared" si="78"/>
        <v>RT55</v>
      </c>
      <c r="L504" s="1">
        <v>22</v>
      </c>
      <c r="M504" s="1">
        <v>501</v>
      </c>
      <c r="N504" s="1" t="str">
        <f t="shared" si="77"/>
        <v>209+935</v>
      </c>
      <c r="O504" t="str">
        <f t="shared" si="76"/>
        <v>SG</v>
      </c>
    </row>
    <row r="505" spans="1:15" x14ac:dyDescent="0.2">
      <c r="A505" t="s">
        <v>984</v>
      </c>
      <c r="B505" t="s">
        <v>985</v>
      </c>
      <c r="G505" s="1" t="str">
        <f t="shared" si="72"/>
        <v>104.5108</v>
      </c>
      <c r="H505" s="1" t="str">
        <f t="shared" si="73"/>
        <v xml:space="preserve"> 17.2867</v>
      </c>
      <c r="I505" s="1" t="str">
        <f t="shared" si="78"/>
        <v>RT56</v>
      </c>
      <c r="L505" s="1">
        <v>22</v>
      </c>
      <c r="M505" s="1">
        <v>501</v>
      </c>
      <c r="N505" s="1" t="str">
        <f t="shared" si="77"/>
        <v>209+970</v>
      </c>
      <c r="O505" t="str">
        <f>MID(B505,6,2)</f>
        <v>SG</v>
      </c>
    </row>
    <row r="506" spans="1:15" x14ac:dyDescent="0.2">
      <c r="A506" t="s">
        <v>986</v>
      </c>
      <c r="B506" t="s">
        <v>987</v>
      </c>
      <c r="G506" s="1" t="str">
        <f t="shared" si="72"/>
        <v>104.5111</v>
      </c>
      <c r="H506" s="1" t="str">
        <f t="shared" si="73"/>
        <v xml:space="preserve"> 17.2868</v>
      </c>
      <c r="I506" s="1" t="str">
        <f t="shared" si="78"/>
        <v>RT57</v>
      </c>
      <c r="L506" s="1">
        <v>22</v>
      </c>
      <c r="M506" s="1">
        <v>501</v>
      </c>
      <c r="N506" s="1" t="str">
        <f t="shared" si="77"/>
        <v>210+005</v>
      </c>
      <c r="O506" t="str">
        <f t="shared" si="76"/>
        <v>SG</v>
      </c>
    </row>
    <row r="507" spans="1:15" x14ac:dyDescent="0.2">
      <c r="A507" t="s">
        <v>988</v>
      </c>
      <c r="B507" t="s">
        <v>989</v>
      </c>
      <c r="G507" s="1" t="str">
        <f t="shared" si="72"/>
        <v>104.5114</v>
      </c>
      <c r="H507" s="1" t="str">
        <f t="shared" si="73"/>
        <v xml:space="preserve"> 17.2869</v>
      </c>
      <c r="I507" s="1" t="str">
        <f t="shared" si="78"/>
        <v>RT58</v>
      </c>
      <c r="L507" s="1">
        <v>22</v>
      </c>
      <c r="M507" s="1">
        <v>501</v>
      </c>
      <c r="N507" s="1" t="str">
        <f t="shared" si="77"/>
        <v>210+040</v>
      </c>
      <c r="O507" t="str">
        <f t="shared" si="76"/>
        <v>SG</v>
      </c>
    </row>
    <row r="508" spans="1:15" x14ac:dyDescent="0.2">
      <c r="A508" t="s">
        <v>990</v>
      </c>
      <c r="B508" t="s">
        <v>991</v>
      </c>
      <c r="G508" s="1" t="str">
        <f t="shared" si="72"/>
        <v>104.5117</v>
      </c>
      <c r="H508" s="1" t="str">
        <f t="shared" si="73"/>
        <v xml:space="preserve"> 17.2870</v>
      </c>
      <c r="I508" s="1" t="str">
        <f t="shared" si="78"/>
        <v>RT59</v>
      </c>
      <c r="L508" s="1">
        <v>22</v>
      </c>
      <c r="M508" s="1">
        <v>501</v>
      </c>
      <c r="N508" s="1" t="str">
        <f t="shared" si="77"/>
        <v>210+075</v>
      </c>
      <c r="O508" t="str">
        <f t="shared" si="76"/>
        <v>SG</v>
      </c>
    </row>
    <row r="509" spans="1:15" x14ac:dyDescent="0.2">
      <c r="A509" t="s">
        <v>992</v>
      </c>
      <c r="B509" t="s">
        <v>993</v>
      </c>
      <c r="G509" s="1" t="str">
        <f t="shared" si="72"/>
        <v>104.5120</v>
      </c>
      <c r="H509" s="1" t="str">
        <f t="shared" si="73"/>
        <v xml:space="preserve"> 17.2871</v>
      </c>
      <c r="I509" s="1" t="str">
        <f t="shared" si="78"/>
        <v>RT60</v>
      </c>
      <c r="L509" s="1">
        <v>22</v>
      </c>
      <c r="M509" s="1">
        <v>501</v>
      </c>
      <c r="N509" s="1" t="str">
        <f t="shared" si="77"/>
        <v>210+110</v>
      </c>
      <c r="O509" t="str">
        <f t="shared" si="76"/>
        <v>SG</v>
      </c>
    </row>
    <row r="510" spans="1:15" x14ac:dyDescent="0.2">
      <c r="A510" t="s">
        <v>994</v>
      </c>
      <c r="B510" t="s">
        <v>995</v>
      </c>
      <c r="G510" s="1" t="str">
        <f t="shared" si="72"/>
        <v>104.5123</v>
      </c>
      <c r="H510" s="1" t="str">
        <f t="shared" si="73"/>
        <v xml:space="preserve"> 17.2872</v>
      </c>
      <c r="I510" s="1" t="str">
        <f t="shared" si="78"/>
        <v>RT61</v>
      </c>
      <c r="L510" s="1">
        <v>22</v>
      </c>
      <c r="M510" s="1">
        <v>501</v>
      </c>
      <c r="N510" s="1" t="str">
        <f t="shared" si="77"/>
        <v>210+145</v>
      </c>
      <c r="O510" t="str">
        <f t="shared" si="76"/>
        <v>SG</v>
      </c>
    </row>
    <row r="511" spans="1:15" x14ac:dyDescent="0.2">
      <c r="A511" t="s">
        <v>996</v>
      </c>
      <c r="B511" t="s">
        <v>997</v>
      </c>
      <c r="G511" s="1" t="str">
        <f t="shared" si="72"/>
        <v>104.5126</v>
      </c>
      <c r="H511" s="1" t="str">
        <f t="shared" si="73"/>
        <v xml:space="preserve"> 17.2873</v>
      </c>
      <c r="I511" s="1" t="str">
        <f t="shared" si="78"/>
        <v>RT62</v>
      </c>
      <c r="L511" s="1">
        <v>22</v>
      </c>
      <c r="M511" s="1">
        <v>501</v>
      </c>
      <c r="N511" s="1" t="str">
        <f t="shared" si="77"/>
        <v>210+180</v>
      </c>
      <c r="O511" t="str">
        <f t="shared" si="76"/>
        <v>SG</v>
      </c>
    </row>
    <row r="512" spans="1:15" x14ac:dyDescent="0.2">
      <c r="A512" t="s">
        <v>998</v>
      </c>
      <c r="B512" t="s">
        <v>999</v>
      </c>
      <c r="G512" s="1" t="str">
        <f t="shared" si="72"/>
        <v>104.5130</v>
      </c>
      <c r="H512" s="1" t="str">
        <f t="shared" si="73"/>
        <v xml:space="preserve"> 17.2874</v>
      </c>
      <c r="I512" s="1" t="str">
        <f t="shared" si="78"/>
        <v>RT63</v>
      </c>
      <c r="L512" s="1">
        <v>22</v>
      </c>
      <c r="M512" s="1">
        <v>501</v>
      </c>
      <c r="N512" s="1" t="str">
        <f t="shared" si="77"/>
        <v>210+215</v>
      </c>
      <c r="O512" t="str">
        <f t="shared" si="76"/>
        <v>SG</v>
      </c>
    </row>
    <row r="513" spans="1:15" x14ac:dyDescent="0.2">
      <c r="A513" t="s">
        <v>1000</v>
      </c>
      <c r="B513" t="s">
        <v>1001</v>
      </c>
      <c r="G513" s="1" t="str">
        <f t="shared" si="72"/>
        <v>104.5133</v>
      </c>
      <c r="H513" s="1" t="str">
        <f t="shared" si="73"/>
        <v xml:space="preserve"> 17.2875</v>
      </c>
      <c r="I513" s="1" t="str">
        <f t="shared" si="78"/>
        <v>RT64</v>
      </c>
      <c r="L513" s="1">
        <v>22</v>
      </c>
      <c r="M513" s="1">
        <v>501</v>
      </c>
      <c r="N513" s="1" t="str">
        <f t="shared" si="77"/>
        <v>210+250</v>
      </c>
      <c r="O513" t="str">
        <f t="shared" si="76"/>
        <v>SG</v>
      </c>
    </row>
    <row r="514" spans="1:15" x14ac:dyDescent="0.2">
      <c r="A514" t="s">
        <v>1002</v>
      </c>
      <c r="B514" t="s">
        <v>1003</v>
      </c>
      <c r="G514" s="1" t="str">
        <f t="shared" si="72"/>
        <v>104.5136</v>
      </c>
      <c r="H514" s="1" t="str">
        <f t="shared" si="73"/>
        <v xml:space="preserve"> 17.2876</v>
      </c>
      <c r="I514" s="1" t="str">
        <f t="shared" si="78"/>
        <v>RT65</v>
      </c>
      <c r="L514" s="1">
        <v>22</v>
      </c>
      <c r="M514" s="1">
        <v>501</v>
      </c>
      <c r="N514" s="1" t="str">
        <f t="shared" si="77"/>
        <v>210+285</v>
      </c>
      <c r="O514" t="str">
        <f t="shared" si="76"/>
        <v>SG</v>
      </c>
    </row>
    <row r="515" spans="1:15" x14ac:dyDescent="0.2">
      <c r="A515" t="s">
        <v>1004</v>
      </c>
      <c r="B515" t="s">
        <v>1005</v>
      </c>
      <c r="G515" s="1" t="str">
        <f t="shared" ref="G515:G578" si="79">MID(A515,8,8)</f>
        <v>104.5139</v>
      </c>
      <c r="H515" s="1" t="str">
        <f t="shared" ref="H515:H578" si="80">MID(A515,18,8)</f>
        <v xml:space="preserve"> 17.2876</v>
      </c>
      <c r="I515" s="1" t="str">
        <f t="shared" si="78"/>
        <v>RT66</v>
      </c>
      <c r="L515" s="1">
        <v>22</v>
      </c>
      <c r="M515" s="1">
        <v>501</v>
      </c>
      <c r="N515" s="1" t="str">
        <f t="shared" si="77"/>
        <v>210+320</v>
      </c>
      <c r="O515" t="str">
        <f t="shared" si="76"/>
        <v>SG</v>
      </c>
    </row>
    <row r="516" spans="1:15" x14ac:dyDescent="0.2">
      <c r="A516" t="s">
        <v>1006</v>
      </c>
      <c r="B516" t="s">
        <v>1007</v>
      </c>
      <c r="G516" s="1" t="str">
        <f t="shared" si="79"/>
        <v>104.5142</v>
      </c>
      <c r="H516" s="1" t="str">
        <f t="shared" si="80"/>
        <v xml:space="preserve"> 17.2878</v>
      </c>
      <c r="I516" s="1" t="str">
        <f t="shared" si="78"/>
        <v>RT67</v>
      </c>
      <c r="L516" s="1">
        <v>22</v>
      </c>
      <c r="M516" s="1">
        <v>501</v>
      </c>
      <c r="N516" s="1" t="str">
        <f t="shared" si="77"/>
        <v>210+355</v>
      </c>
      <c r="O516" t="str">
        <f t="shared" si="76"/>
        <v>SG</v>
      </c>
    </row>
    <row r="517" spans="1:15" x14ac:dyDescent="0.2">
      <c r="A517" t="s">
        <v>1008</v>
      </c>
      <c r="B517" t="s">
        <v>1009</v>
      </c>
      <c r="G517" s="1" t="str">
        <f t="shared" si="79"/>
        <v>104.5152</v>
      </c>
      <c r="H517" s="1" t="str">
        <f t="shared" si="80"/>
        <v xml:space="preserve"> 17.2881</v>
      </c>
      <c r="I517" s="1" t="str">
        <f t="shared" si="78"/>
        <v>RT68</v>
      </c>
      <c r="L517" s="1">
        <v>22</v>
      </c>
      <c r="M517" s="1">
        <v>501</v>
      </c>
      <c r="N517" s="1" t="str">
        <f t="shared" si="77"/>
        <v>210+460</v>
      </c>
      <c r="O517" t="str">
        <f t="shared" si="76"/>
        <v>SG</v>
      </c>
    </row>
    <row r="518" spans="1:15" x14ac:dyDescent="0.2">
      <c r="A518" t="s">
        <v>1010</v>
      </c>
      <c r="B518" t="s">
        <v>1011</v>
      </c>
      <c r="G518" s="1" t="str">
        <f t="shared" si="79"/>
        <v>104.5155</v>
      </c>
      <c r="H518" s="1" t="str">
        <f t="shared" si="80"/>
        <v xml:space="preserve"> 17.2882</v>
      </c>
      <c r="I518" s="1" t="str">
        <f t="shared" si="78"/>
        <v>RT69</v>
      </c>
      <c r="L518" s="1">
        <v>22</v>
      </c>
      <c r="M518" s="1">
        <v>501</v>
      </c>
      <c r="N518" s="1" t="str">
        <f t="shared" si="77"/>
        <v>210+495</v>
      </c>
      <c r="O518" t="str">
        <f t="shared" si="76"/>
        <v>SG</v>
      </c>
    </row>
    <row r="519" spans="1:15" x14ac:dyDescent="0.2">
      <c r="A519" t="s">
        <v>1012</v>
      </c>
      <c r="B519" t="s">
        <v>1013</v>
      </c>
      <c r="G519" s="1" t="str">
        <f t="shared" si="79"/>
        <v>104.5158</v>
      </c>
      <c r="H519" s="1" t="str">
        <f t="shared" si="80"/>
        <v xml:space="preserve"> 17.2883</v>
      </c>
      <c r="I519" s="1" t="str">
        <f t="shared" si="78"/>
        <v>RT70</v>
      </c>
      <c r="L519" s="1">
        <v>22</v>
      </c>
      <c r="M519" s="1">
        <v>501</v>
      </c>
      <c r="N519" s="1" t="str">
        <f t="shared" si="77"/>
        <v>210+530</v>
      </c>
      <c r="O519" t="str">
        <f t="shared" si="76"/>
        <v>SG</v>
      </c>
    </row>
    <row r="520" spans="1:15" x14ac:dyDescent="0.2">
      <c r="A520" t="s">
        <v>1014</v>
      </c>
      <c r="B520" t="s">
        <v>1015</v>
      </c>
      <c r="G520" s="1" t="str">
        <f t="shared" si="79"/>
        <v>104.5162</v>
      </c>
      <c r="H520" s="1" t="str">
        <f t="shared" si="80"/>
        <v xml:space="preserve"> 17.2885</v>
      </c>
      <c r="I520" s="1" t="str">
        <f t="shared" si="78"/>
        <v>RT71</v>
      </c>
      <c r="L520" s="1">
        <v>22</v>
      </c>
      <c r="M520" s="1">
        <v>501</v>
      </c>
      <c r="N520" s="1" t="str">
        <f t="shared" si="77"/>
        <v>210+565</v>
      </c>
      <c r="O520" t="str">
        <f t="shared" si="76"/>
        <v>SG</v>
      </c>
    </row>
    <row r="521" spans="1:15" x14ac:dyDescent="0.2">
      <c r="A521" t="s">
        <v>1016</v>
      </c>
      <c r="B521" t="s">
        <v>1017</v>
      </c>
      <c r="G521" s="1" t="str">
        <f t="shared" si="79"/>
        <v>104.5165</v>
      </c>
      <c r="H521" s="1" t="str">
        <f t="shared" si="80"/>
        <v xml:space="preserve"> 17.2885</v>
      </c>
      <c r="I521" s="1" t="str">
        <f t="shared" si="78"/>
        <v>RT71</v>
      </c>
      <c r="L521" s="1">
        <v>22</v>
      </c>
      <c r="M521" s="1">
        <v>501</v>
      </c>
      <c r="N521" s="1" t="str">
        <f t="shared" si="77"/>
        <v>210+600</v>
      </c>
      <c r="O521" t="str">
        <f t="shared" si="76"/>
        <v>SG</v>
      </c>
    </row>
    <row r="522" spans="1:15" x14ac:dyDescent="0.2">
      <c r="A522" t="s">
        <v>1018</v>
      </c>
      <c r="B522" t="s">
        <v>1019</v>
      </c>
      <c r="G522" s="1" t="str">
        <f t="shared" si="79"/>
        <v>104.5168</v>
      </c>
      <c r="H522" s="1" t="str">
        <f t="shared" si="80"/>
        <v xml:space="preserve"> 17.2886</v>
      </c>
      <c r="I522" s="1" t="str">
        <f t="shared" si="78"/>
        <v>RT72</v>
      </c>
      <c r="L522" s="1">
        <v>22</v>
      </c>
      <c r="M522" s="1">
        <v>501</v>
      </c>
      <c r="N522" s="1" t="str">
        <f t="shared" si="77"/>
        <v>210+635</v>
      </c>
      <c r="O522" t="str">
        <f t="shared" si="76"/>
        <v>SG</v>
      </c>
    </row>
    <row r="523" spans="1:15" x14ac:dyDescent="0.2">
      <c r="A523" t="s">
        <v>1020</v>
      </c>
      <c r="B523" t="s">
        <v>1021</v>
      </c>
      <c r="G523" s="1" t="str">
        <f t="shared" si="79"/>
        <v>104.5171</v>
      </c>
      <c r="H523" s="1" t="str">
        <f t="shared" si="80"/>
        <v xml:space="preserve"> 17.2888</v>
      </c>
      <c r="I523" s="1" t="str">
        <f t="shared" si="78"/>
        <v>RT73</v>
      </c>
      <c r="L523" s="1">
        <v>22</v>
      </c>
      <c r="M523" s="1">
        <v>501</v>
      </c>
      <c r="N523" s="1" t="str">
        <f t="shared" si="77"/>
        <v>210+670</v>
      </c>
      <c r="O523" t="str">
        <f t="shared" si="76"/>
        <v>SG</v>
      </c>
    </row>
    <row r="524" spans="1:15" x14ac:dyDescent="0.2">
      <c r="A524" t="s">
        <v>1022</v>
      </c>
      <c r="B524" t="s">
        <v>1023</v>
      </c>
      <c r="G524" s="1" t="str">
        <f t="shared" si="79"/>
        <v>104.5174</v>
      </c>
      <c r="H524" s="1" t="str">
        <f>MID(A524,18,8)</f>
        <v xml:space="preserve"> 17.289 </v>
      </c>
      <c r="I524" s="1" t="str">
        <f t="shared" si="78"/>
        <v>RT74</v>
      </c>
      <c r="L524" s="1">
        <v>22</v>
      </c>
      <c r="M524" s="1">
        <v>501</v>
      </c>
      <c r="N524" s="1" t="str">
        <f t="shared" si="77"/>
        <v>210+705</v>
      </c>
      <c r="O524" t="str">
        <f t="shared" si="76"/>
        <v>SG</v>
      </c>
    </row>
    <row r="525" spans="1:15" x14ac:dyDescent="0.2">
      <c r="A525" t="s">
        <v>1024</v>
      </c>
      <c r="B525" t="s">
        <v>1025</v>
      </c>
      <c r="G525" s="1" t="str">
        <f t="shared" si="79"/>
        <v>104.5177</v>
      </c>
      <c r="H525" s="1" t="str">
        <f>MID(A525,18,8)</f>
        <v xml:space="preserve"> 17.2891</v>
      </c>
      <c r="I525" s="1" t="str">
        <f t="shared" si="78"/>
        <v>RT75</v>
      </c>
      <c r="L525" s="1">
        <v>22</v>
      </c>
      <c r="M525" s="1">
        <v>501</v>
      </c>
      <c r="N525" s="1" t="str">
        <f t="shared" si="77"/>
        <v>210+740</v>
      </c>
      <c r="O525" t="str">
        <f>MID(B525,6,2)</f>
        <v>SG</v>
      </c>
    </row>
    <row r="526" spans="1:15" x14ac:dyDescent="0.2">
      <c r="A526" t="s">
        <v>1026</v>
      </c>
      <c r="B526" t="s">
        <v>1027</v>
      </c>
      <c r="G526" s="1" t="str">
        <f t="shared" si="79"/>
        <v>104.5180</v>
      </c>
      <c r="H526" s="1" t="str">
        <f>MID(A526,18,7)</f>
        <v>17.2893</v>
      </c>
      <c r="I526" s="1" t="str">
        <f t="shared" si="78"/>
        <v>RT76</v>
      </c>
      <c r="L526" s="1">
        <v>22</v>
      </c>
      <c r="M526" s="1">
        <v>501</v>
      </c>
      <c r="N526" s="1" t="str">
        <f t="shared" si="77"/>
        <v>210+775</v>
      </c>
      <c r="O526" t="str">
        <f t="shared" si="76"/>
        <v>SG</v>
      </c>
    </row>
    <row r="527" spans="1:15" x14ac:dyDescent="0.2">
      <c r="A527" t="s">
        <v>1028</v>
      </c>
      <c r="B527" t="s">
        <v>1029</v>
      </c>
      <c r="G527" s="1" t="str">
        <f t="shared" si="79"/>
        <v>104.5182</v>
      </c>
      <c r="H527" s="1" t="str">
        <f t="shared" si="80"/>
        <v xml:space="preserve"> 17.2895</v>
      </c>
      <c r="I527" s="1" t="str">
        <f t="shared" si="78"/>
        <v>RT76</v>
      </c>
      <c r="L527" s="1">
        <v>22</v>
      </c>
      <c r="M527" s="1">
        <v>501</v>
      </c>
      <c r="N527" s="1" t="str">
        <f t="shared" si="77"/>
        <v>210+810</v>
      </c>
      <c r="O527" t="str">
        <f t="shared" si="76"/>
        <v>SG</v>
      </c>
    </row>
    <row r="528" spans="1:15" x14ac:dyDescent="0.2">
      <c r="A528" t="s">
        <v>1030</v>
      </c>
      <c r="B528" t="s">
        <v>1031</v>
      </c>
      <c r="G528" s="1" t="str">
        <f t="shared" si="79"/>
        <v>104.5183</v>
      </c>
      <c r="H528" s="1" t="str">
        <f t="shared" si="80"/>
        <v xml:space="preserve"> 17.2899</v>
      </c>
      <c r="I528" s="1" t="str">
        <f t="shared" si="78"/>
        <v>LT10</v>
      </c>
      <c r="L528" s="1">
        <v>22</v>
      </c>
      <c r="M528" s="1">
        <v>501</v>
      </c>
      <c r="N528" s="1" t="str">
        <f>MID(B528,18,7)</f>
        <v>210+845</v>
      </c>
      <c r="O528" t="str">
        <f>MID(B528,7,2)</f>
        <v>SG</v>
      </c>
    </row>
    <row r="529" spans="1:15" x14ac:dyDescent="0.2">
      <c r="A529" t="s">
        <v>1032</v>
      </c>
      <c r="B529" t="s">
        <v>1033</v>
      </c>
      <c r="G529" s="1" t="str">
        <f t="shared" si="79"/>
        <v>104.5185</v>
      </c>
      <c r="H529" s="1" t="str">
        <f t="shared" si="80"/>
        <v xml:space="preserve"> 17.2897</v>
      </c>
      <c r="I529" s="1" t="str">
        <f t="shared" si="78"/>
        <v>RT77</v>
      </c>
      <c r="L529" s="1">
        <v>22</v>
      </c>
      <c r="M529" s="1">
        <v>501</v>
      </c>
      <c r="N529" s="1" t="str">
        <f t="shared" si="77"/>
        <v>210+845</v>
      </c>
      <c r="O529" t="str">
        <f t="shared" si="76"/>
        <v>SG</v>
      </c>
    </row>
    <row r="530" spans="1:15" x14ac:dyDescent="0.2">
      <c r="A530" t="s">
        <v>1034</v>
      </c>
      <c r="B530" t="s">
        <v>1035</v>
      </c>
      <c r="G530" s="1" t="str">
        <f t="shared" si="79"/>
        <v>104.5187</v>
      </c>
      <c r="H530" s="1" t="str">
        <f t="shared" si="80"/>
        <v xml:space="preserve"> 17.2900</v>
      </c>
      <c r="I530" s="1" t="str">
        <f t="shared" si="78"/>
        <v>RT78</v>
      </c>
      <c r="L530" s="1">
        <v>22</v>
      </c>
      <c r="M530" s="1">
        <v>501</v>
      </c>
      <c r="N530" s="1" t="str">
        <f t="shared" si="77"/>
        <v>210+880</v>
      </c>
      <c r="O530" t="str">
        <f t="shared" si="76"/>
        <v>SG</v>
      </c>
    </row>
    <row r="531" spans="1:15" x14ac:dyDescent="0.2">
      <c r="A531" t="s">
        <v>1036</v>
      </c>
      <c r="B531" t="s">
        <v>1037</v>
      </c>
      <c r="G531" s="1" t="str">
        <f t="shared" si="79"/>
        <v>104.5189</v>
      </c>
      <c r="H531" s="1" t="str">
        <f t="shared" si="80"/>
        <v xml:space="preserve"> 17.2902</v>
      </c>
      <c r="I531" s="1" t="str">
        <f t="shared" si="78"/>
        <v>RT79</v>
      </c>
      <c r="L531" s="1">
        <v>22</v>
      </c>
      <c r="M531" s="1">
        <v>501</v>
      </c>
      <c r="N531" s="1" t="str">
        <f t="shared" si="77"/>
        <v>210+915</v>
      </c>
      <c r="O531" t="str">
        <f t="shared" si="76"/>
        <v>SG</v>
      </c>
    </row>
    <row r="532" spans="1:15" x14ac:dyDescent="0.2">
      <c r="A532" t="s">
        <v>1038</v>
      </c>
      <c r="B532" t="s">
        <v>1039</v>
      </c>
      <c r="G532" s="1" t="str">
        <f t="shared" si="79"/>
        <v>104.5191</v>
      </c>
      <c r="H532" s="1" t="str">
        <f t="shared" si="80"/>
        <v xml:space="preserve"> 17.2905</v>
      </c>
      <c r="I532" s="1" t="str">
        <f t="shared" si="78"/>
        <v>RT80</v>
      </c>
      <c r="L532" s="1">
        <v>22</v>
      </c>
      <c r="M532" s="1">
        <v>501</v>
      </c>
      <c r="N532" s="1" t="str">
        <f t="shared" si="77"/>
        <v>210+950</v>
      </c>
      <c r="O532" t="str">
        <f t="shared" si="76"/>
        <v>SG</v>
      </c>
    </row>
    <row r="533" spans="1:15" x14ac:dyDescent="0.2">
      <c r="A533" t="s">
        <v>1040</v>
      </c>
      <c r="B533" t="s">
        <v>1041</v>
      </c>
      <c r="G533" s="1" t="str">
        <f t="shared" si="79"/>
        <v>104.5194</v>
      </c>
      <c r="H533" s="1" t="str">
        <f>MID(A533,18,7)</f>
        <v>17.2907</v>
      </c>
      <c r="I533" s="1" t="str">
        <f t="shared" ref="I533:I551" si="81">MID(B533,1,4)</f>
        <v>RT81</v>
      </c>
      <c r="L533" s="1">
        <v>22</v>
      </c>
      <c r="M533" s="1">
        <v>501</v>
      </c>
      <c r="N533" s="1" t="str">
        <f t="shared" si="77"/>
        <v>210+985</v>
      </c>
      <c r="O533" t="str">
        <f t="shared" si="76"/>
        <v>SG</v>
      </c>
    </row>
    <row r="534" spans="1:15" x14ac:dyDescent="0.2">
      <c r="A534" t="s">
        <v>1042</v>
      </c>
      <c r="B534" t="s">
        <v>1043</v>
      </c>
      <c r="G534" s="1" t="str">
        <f t="shared" si="79"/>
        <v>104.5196</v>
      </c>
      <c r="H534" s="1" t="str">
        <f>MID(A534,18,7)</f>
        <v>17.2910</v>
      </c>
      <c r="I534" s="1" t="str">
        <f t="shared" si="81"/>
        <v>RT82</v>
      </c>
      <c r="L534" s="1">
        <v>22</v>
      </c>
      <c r="M534" s="1">
        <v>501</v>
      </c>
      <c r="N534" s="1" t="str">
        <f t="shared" si="77"/>
        <v>211+020</v>
      </c>
      <c r="O534" t="str">
        <f t="shared" ref="O534:O551" si="82">MID(B534,6,2)</f>
        <v>SG</v>
      </c>
    </row>
    <row r="535" spans="1:15" x14ac:dyDescent="0.2">
      <c r="A535" t="s">
        <v>1044</v>
      </c>
      <c r="B535" t="s">
        <v>1045</v>
      </c>
      <c r="G535" s="1" t="str">
        <f t="shared" si="79"/>
        <v>104.5198</v>
      </c>
      <c r="H535" s="1" t="str">
        <f t="shared" si="80"/>
        <v xml:space="preserve"> 17.2912</v>
      </c>
      <c r="I535" s="1" t="str">
        <f t="shared" si="81"/>
        <v>RT83</v>
      </c>
      <c r="L535" s="1">
        <v>22</v>
      </c>
      <c r="M535" s="1">
        <v>501</v>
      </c>
      <c r="N535" s="1" t="str">
        <f t="shared" si="77"/>
        <v>210+055</v>
      </c>
      <c r="O535" t="str">
        <f t="shared" si="82"/>
        <v>SG</v>
      </c>
    </row>
    <row r="536" spans="1:15" x14ac:dyDescent="0.2">
      <c r="A536" t="s">
        <v>1046</v>
      </c>
      <c r="B536" t="s">
        <v>1047</v>
      </c>
      <c r="G536" s="1" t="str">
        <f t="shared" si="79"/>
        <v>104.5200</v>
      </c>
      <c r="H536" s="1" t="str">
        <f t="shared" si="80"/>
        <v xml:space="preserve"> 17.2914</v>
      </c>
      <c r="I536" s="1" t="str">
        <f t="shared" si="81"/>
        <v>RT84</v>
      </c>
      <c r="L536" s="1">
        <v>22</v>
      </c>
      <c r="M536" s="1">
        <v>501</v>
      </c>
      <c r="N536" s="1" t="str">
        <f t="shared" si="77"/>
        <v>210+085</v>
      </c>
      <c r="O536" t="str">
        <f t="shared" si="82"/>
        <v>SG</v>
      </c>
    </row>
    <row r="537" spans="1:15" x14ac:dyDescent="0.2">
      <c r="A537" t="s">
        <v>1048</v>
      </c>
      <c r="B537" t="s">
        <v>1049</v>
      </c>
      <c r="G537" s="1" t="str">
        <f t="shared" si="79"/>
        <v>104.5202</v>
      </c>
      <c r="H537" s="1" t="str">
        <f>MID(A537,18,7)</f>
        <v>17.2916</v>
      </c>
      <c r="I537" s="1" t="str">
        <f t="shared" si="81"/>
        <v>RT85</v>
      </c>
      <c r="L537" s="1">
        <v>22</v>
      </c>
      <c r="M537" s="1">
        <v>501</v>
      </c>
      <c r="N537" s="1" t="str">
        <f t="shared" si="77"/>
        <v>211+090</v>
      </c>
      <c r="O537" t="str">
        <f t="shared" si="82"/>
        <v>SG</v>
      </c>
    </row>
    <row r="538" spans="1:15" x14ac:dyDescent="0.2">
      <c r="A538" t="s">
        <v>1050</v>
      </c>
      <c r="B538" t="s">
        <v>1051</v>
      </c>
      <c r="G538" s="1" t="str">
        <f t="shared" si="79"/>
        <v>104.5204</v>
      </c>
      <c r="H538" s="1" t="str">
        <f t="shared" si="80"/>
        <v xml:space="preserve"> 17.2919</v>
      </c>
      <c r="I538" s="1" t="str">
        <f t="shared" si="81"/>
        <v>RT86</v>
      </c>
      <c r="L538" s="1">
        <v>22</v>
      </c>
      <c r="M538" s="1">
        <v>501</v>
      </c>
      <c r="N538" s="1" t="str">
        <f t="shared" si="77"/>
        <v>211+160</v>
      </c>
      <c r="O538" t="str">
        <f t="shared" si="82"/>
        <v>SG</v>
      </c>
    </row>
    <row r="539" spans="1:15" x14ac:dyDescent="0.2">
      <c r="A539" t="s">
        <v>1052</v>
      </c>
      <c r="B539" t="s">
        <v>1053</v>
      </c>
      <c r="G539" s="1" t="str">
        <f t="shared" si="79"/>
        <v>104.5206</v>
      </c>
      <c r="H539" s="1" t="str">
        <f t="shared" si="80"/>
        <v xml:space="preserve"> 17.2921</v>
      </c>
      <c r="I539" s="1" t="str">
        <f t="shared" si="81"/>
        <v>RT87</v>
      </c>
      <c r="L539" s="1">
        <v>22</v>
      </c>
      <c r="M539" s="1">
        <v>501</v>
      </c>
      <c r="N539" s="1" t="str">
        <f t="shared" ref="N539:N551" si="83">MID(B539,17,7)</f>
        <v>211+195</v>
      </c>
      <c r="O539" t="str">
        <f t="shared" si="82"/>
        <v>SG</v>
      </c>
    </row>
    <row r="540" spans="1:15" x14ac:dyDescent="0.2">
      <c r="A540" t="s">
        <v>1054</v>
      </c>
      <c r="B540" t="s">
        <v>1055</v>
      </c>
      <c r="G540" s="1" t="str">
        <f t="shared" si="79"/>
        <v>104.5208</v>
      </c>
      <c r="H540" s="1" t="str">
        <f t="shared" si="80"/>
        <v xml:space="preserve"> 17.2924</v>
      </c>
      <c r="I540" s="1" t="str">
        <f t="shared" si="81"/>
        <v>RT88</v>
      </c>
      <c r="L540" s="1">
        <v>22</v>
      </c>
      <c r="M540" s="1">
        <v>501</v>
      </c>
      <c r="N540" s="1" t="str">
        <f t="shared" si="83"/>
        <v>211+230</v>
      </c>
      <c r="O540" t="str">
        <f t="shared" si="82"/>
        <v>SG</v>
      </c>
    </row>
    <row r="541" spans="1:15" x14ac:dyDescent="0.2">
      <c r="A541" t="s">
        <v>1056</v>
      </c>
      <c r="B541" t="s">
        <v>1057</v>
      </c>
      <c r="G541" s="1" t="str">
        <f t="shared" si="79"/>
        <v>104.5369</v>
      </c>
      <c r="H541" s="1" t="str">
        <f t="shared" si="80"/>
        <v xml:space="preserve"> 17.3058</v>
      </c>
      <c r="I541" s="1" t="str">
        <f t="shared" si="81"/>
        <v>RT89</v>
      </c>
      <c r="L541" s="1">
        <v>22</v>
      </c>
      <c r="M541" s="1">
        <v>501</v>
      </c>
      <c r="N541" s="1" t="str">
        <f t="shared" si="83"/>
        <v>213+248</v>
      </c>
      <c r="O541" t="str">
        <f t="shared" si="82"/>
        <v>SG</v>
      </c>
    </row>
    <row r="542" spans="1:15" x14ac:dyDescent="0.2">
      <c r="A542" t="s">
        <v>1058</v>
      </c>
      <c r="B542" t="s">
        <v>1059</v>
      </c>
      <c r="G542" s="1" t="str">
        <f t="shared" si="79"/>
        <v>104.5372</v>
      </c>
      <c r="H542" s="1" t="str">
        <f t="shared" si="80"/>
        <v xml:space="preserve"> 17.3060</v>
      </c>
      <c r="I542" s="1" t="str">
        <f t="shared" si="81"/>
        <v>RT90</v>
      </c>
      <c r="L542" s="1">
        <v>22</v>
      </c>
      <c r="M542" s="1">
        <v>501</v>
      </c>
      <c r="N542" s="1" t="str">
        <f t="shared" si="83"/>
        <v>213+283</v>
      </c>
      <c r="O542" t="str">
        <f t="shared" si="82"/>
        <v>SG</v>
      </c>
    </row>
    <row r="543" spans="1:15" x14ac:dyDescent="0.2">
      <c r="A543" t="s">
        <v>1060</v>
      </c>
      <c r="B543" t="s">
        <v>1061</v>
      </c>
      <c r="G543" s="1" t="str">
        <f t="shared" si="79"/>
        <v>104.5374</v>
      </c>
      <c r="H543" s="1" t="str">
        <f t="shared" si="80"/>
        <v xml:space="preserve"> 17.3062</v>
      </c>
      <c r="I543" s="1" t="str">
        <f t="shared" si="81"/>
        <v>RT91</v>
      </c>
      <c r="L543" s="1">
        <v>22</v>
      </c>
      <c r="M543" s="1">
        <v>501</v>
      </c>
      <c r="N543" s="1" t="str">
        <f t="shared" si="83"/>
        <v>213+318</v>
      </c>
      <c r="O543" t="str">
        <f t="shared" si="82"/>
        <v>SG</v>
      </c>
    </row>
    <row r="544" spans="1:15" x14ac:dyDescent="0.2">
      <c r="A544" t="s">
        <v>1062</v>
      </c>
      <c r="B544" t="s">
        <v>1063</v>
      </c>
      <c r="G544" s="1" t="str">
        <f t="shared" si="79"/>
        <v>104.5377</v>
      </c>
      <c r="H544" s="1" t="str">
        <f t="shared" si="80"/>
        <v xml:space="preserve"> 17.3064</v>
      </c>
      <c r="I544" s="1" t="str">
        <f t="shared" si="81"/>
        <v>RT92</v>
      </c>
      <c r="L544" s="1">
        <v>22</v>
      </c>
      <c r="M544" s="1">
        <v>501</v>
      </c>
      <c r="N544" s="1" t="str">
        <f t="shared" si="83"/>
        <v>213+353</v>
      </c>
      <c r="O544" t="str">
        <f t="shared" si="82"/>
        <v>SG</v>
      </c>
    </row>
    <row r="545" spans="1:15" x14ac:dyDescent="0.2">
      <c r="A545" t="s">
        <v>1064</v>
      </c>
      <c r="B545" t="s">
        <v>1065</v>
      </c>
      <c r="G545" s="1" t="str">
        <f t="shared" si="79"/>
        <v>104.5379</v>
      </c>
      <c r="H545" s="1" t="str">
        <f t="shared" si="80"/>
        <v xml:space="preserve"> 17.3066</v>
      </c>
      <c r="I545" s="1" t="str">
        <f t="shared" si="81"/>
        <v>RT93</v>
      </c>
      <c r="L545" s="1">
        <v>22</v>
      </c>
      <c r="M545" s="1">
        <v>501</v>
      </c>
      <c r="N545" s="1" t="str">
        <f t="shared" si="83"/>
        <v>213+388</v>
      </c>
      <c r="O545" t="str">
        <f t="shared" si="82"/>
        <v>SG</v>
      </c>
    </row>
    <row r="546" spans="1:15" x14ac:dyDescent="0.2">
      <c r="A546" t="s">
        <v>1066</v>
      </c>
      <c r="B546" t="s">
        <v>1067</v>
      </c>
      <c r="G546" s="1" t="str">
        <f t="shared" si="79"/>
        <v>104.5382</v>
      </c>
      <c r="H546" s="1" t="str">
        <f t="shared" si="80"/>
        <v xml:space="preserve"> 17.3068</v>
      </c>
      <c r="I546" s="1" t="str">
        <f t="shared" si="81"/>
        <v>RT94</v>
      </c>
      <c r="L546" s="1">
        <v>22</v>
      </c>
      <c r="M546" s="1">
        <v>501</v>
      </c>
      <c r="N546" s="1" t="str">
        <f t="shared" si="83"/>
        <v>213+425</v>
      </c>
      <c r="O546" t="str">
        <f t="shared" si="82"/>
        <v>SG</v>
      </c>
    </row>
    <row r="547" spans="1:15" x14ac:dyDescent="0.2">
      <c r="A547" t="s">
        <v>1068</v>
      </c>
      <c r="B547" t="s">
        <v>1069</v>
      </c>
      <c r="G547" s="1" t="str">
        <f t="shared" si="79"/>
        <v>104.5385</v>
      </c>
      <c r="H547" s="1" t="str">
        <f t="shared" si="80"/>
        <v xml:space="preserve"> 17.3070</v>
      </c>
      <c r="I547" s="1" t="str">
        <f t="shared" si="81"/>
        <v>RT95</v>
      </c>
      <c r="L547" s="1">
        <v>22</v>
      </c>
      <c r="M547" s="1">
        <v>501</v>
      </c>
      <c r="N547" s="1" t="str">
        <f t="shared" si="83"/>
        <v>213+458</v>
      </c>
      <c r="O547" t="str">
        <f t="shared" si="82"/>
        <v>SG</v>
      </c>
    </row>
    <row r="548" spans="1:15" x14ac:dyDescent="0.2">
      <c r="A548" t="s">
        <v>1070</v>
      </c>
      <c r="B548" t="s">
        <v>1071</v>
      </c>
      <c r="G548" s="1" t="str">
        <f t="shared" si="79"/>
        <v>104.5387</v>
      </c>
      <c r="H548" s="1" t="str">
        <f t="shared" si="80"/>
        <v xml:space="preserve"> 17.3072</v>
      </c>
      <c r="I548" s="1" t="str">
        <f t="shared" si="81"/>
        <v>RT96</v>
      </c>
      <c r="L548" s="1">
        <v>22</v>
      </c>
      <c r="M548" s="1">
        <v>501</v>
      </c>
      <c r="N548" s="1" t="str">
        <f t="shared" si="83"/>
        <v>213+493</v>
      </c>
      <c r="O548" t="str">
        <f t="shared" si="82"/>
        <v>SG</v>
      </c>
    </row>
    <row r="549" spans="1:15" x14ac:dyDescent="0.2">
      <c r="A549" t="s">
        <v>1072</v>
      </c>
      <c r="B549" t="s">
        <v>1073</v>
      </c>
      <c r="G549" s="1" t="str">
        <f t="shared" si="79"/>
        <v>104.5390</v>
      </c>
      <c r="H549" s="1" t="str">
        <f t="shared" si="80"/>
        <v xml:space="preserve"> 17.3074</v>
      </c>
      <c r="I549" s="1" t="str">
        <f t="shared" si="81"/>
        <v>RT97</v>
      </c>
      <c r="L549" s="1">
        <v>22</v>
      </c>
      <c r="M549" s="1">
        <v>501</v>
      </c>
      <c r="N549" s="1" t="str">
        <f t="shared" si="83"/>
        <v>213+528</v>
      </c>
      <c r="O549" t="str">
        <f t="shared" si="82"/>
        <v>SG</v>
      </c>
    </row>
    <row r="550" spans="1:15" x14ac:dyDescent="0.2">
      <c r="A550" t="s">
        <v>1074</v>
      </c>
      <c r="B550" t="s">
        <v>1075</v>
      </c>
      <c r="G550" s="1" t="str">
        <f t="shared" si="79"/>
        <v>104.5392</v>
      </c>
      <c r="H550" s="1" t="str">
        <f t="shared" si="80"/>
        <v xml:space="preserve"> 17.3076</v>
      </c>
      <c r="I550" s="1" t="str">
        <f t="shared" si="81"/>
        <v>RT98</v>
      </c>
      <c r="L550" s="1">
        <v>22</v>
      </c>
      <c r="M550" s="1">
        <v>501</v>
      </c>
      <c r="N550" s="1" t="str">
        <f t="shared" si="83"/>
        <v>213+563</v>
      </c>
      <c r="O550" t="str">
        <f t="shared" si="82"/>
        <v>SG</v>
      </c>
    </row>
    <row r="551" spans="1:15" x14ac:dyDescent="0.2">
      <c r="A551" t="s">
        <v>1076</v>
      </c>
      <c r="B551" t="s">
        <v>1077</v>
      </c>
      <c r="G551" s="1" t="str">
        <f t="shared" si="79"/>
        <v>104.5395</v>
      </c>
      <c r="H551" s="1" t="str">
        <f>MID(A551,18,7)</f>
        <v>17.3078</v>
      </c>
      <c r="I551" s="1" t="str">
        <f t="shared" si="81"/>
        <v>RT99</v>
      </c>
      <c r="L551" s="1">
        <v>22</v>
      </c>
      <c r="M551" s="1">
        <v>501</v>
      </c>
      <c r="N551" s="1" t="str">
        <f t="shared" si="83"/>
        <v>213+598</v>
      </c>
      <c r="O551" t="str">
        <f t="shared" si="82"/>
        <v>SG</v>
      </c>
    </row>
    <row r="552" spans="1:15" x14ac:dyDescent="0.2">
      <c r="A552" t="s">
        <v>1078</v>
      </c>
      <c r="B552" t="s">
        <v>1165</v>
      </c>
      <c r="G552" s="1" t="str">
        <f t="shared" si="79"/>
        <v>104.5397</v>
      </c>
      <c r="H552" s="1" t="str">
        <f t="shared" si="80"/>
        <v xml:space="preserve"> 17.3079</v>
      </c>
      <c r="I552" s="1" t="str">
        <f t="shared" ref="I552:I565" si="84">MID(B552,1,5)</f>
        <v>RT100</v>
      </c>
      <c r="L552" s="1">
        <v>22</v>
      </c>
      <c r="M552" s="1">
        <v>501</v>
      </c>
      <c r="N552" s="1" t="str">
        <f>MID(B552,18,7)</f>
        <v>213+633</v>
      </c>
      <c r="O552" t="str">
        <f>MID(B552,7,2)</f>
        <v>SG</v>
      </c>
    </row>
    <row r="553" spans="1:15" x14ac:dyDescent="0.2">
      <c r="A553" t="s">
        <v>1079</v>
      </c>
      <c r="B553" t="s">
        <v>1080</v>
      </c>
      <c r="G553" s="1" t="str">
        <f t="shared" si="79"/>
        <v>104.5400</v>
      </c>
      <c r="H553" s="1" t="str">
        <f t="shared" si="80"/>
        <v xml:space="preserve"> 17.3082</v>
      </c>
      <c r="I553" s="1" t="str">
        <f t="shared" si="84"/>
        <v>RT101</v>
      </c>
      <c r="L553" s="1">
        <v>22</v>
      </c>
      <c r="M553" s="1">
        <v>501</v>
      </c>
      <c r="N553" s="1" t="str">
        <f t="shared" ref="N553:N591" si="85">MID(B553,18,7)</f>
        <v>213+668</v>
      </c>
      <c r="O553" t="str">
        <f t="shared" ref="O553:O591" si="86">MID(B553,7,2)</f>
        <v>SG</v>
      </c>
    </row>
    <row r="554" spans="1:15" x14ac:dyDescent="0.2">
      <c r="A554" t="s">
        <v>1081</v>
      </c>
      <c r="B554" t="s">
        <v>1082</v>
      </c>
      <c r="G554" s="1" t="str">
        <f t="shared" si="79"/>
        <v>104.5403</v>
      </c>
      <c r="H554" s="1" t="str">
        <f>MID(A554,17,7)</f>
        <v>17.3083</v>
      </c>
      <c r="I554" s="1" t="str">
        <f t="shared" si="84"/>
        <v>RT102</v>
      </c>
      <c r="L554" s="1">
        <v>22</v>
      </c>
      <c r="M554" s="1">
        <v>501</v>
      </c>
      <c r="N554" s="1" t="str">
        <f t="shared" si="85"/>
        <v>213+703</v>
      </c>
      <c r="O554" t="str">
        <f t="shared" si="86"/>
        <v>SG</v>
      </c>
    </row>
    <row r="555" spans="1:15" x14ac:dyDescent="0.2">
      <c r="A555" t="s">
        <v>1083</v>
      </c>
      <c r="B555" t="s">
        <v>1084</v>
      </c>
      <c r="G555" s="1" t="str">
        <f t="shared" si="79"/>
        <v>104.5405</v>
      </c>
      <c r="H555" s="1" t="str">
        <f t="shared" si="80"/>
        <v xml:space="preserve"> 17.3085</v>
      </c>
      <c r="I555" s="1" t="str">
        <f t="shared" si="84"/>
        <v>RT103</v>
      </c>
      <c r="L555" s="1">
        <v>22</v>
      </c>
      <c r="M555" s="1">
        <v>501</v>
      </c>
      <c r="N555" s="1" t="str">
        <f t="shared" si="85"/>
        <v>213+738</v>
      </c>
      <c r="O555" t="str">
        <f t="shared" si="86"/>
        <v>SG</v>
      </c>
    </row>
    <row r="556" spans="1:15" x14ac:dyDescent="0.2">
      <c r="A556" t="s">
        <v>1085</v>
      </c>
      <c r="B556" t="s">
        <v>1086</v>
      </c>
      <c r="G556" s="1" t="str">
        <f t="shared" si="79"/>
        <v>104.5408</v>
      </c>
      <c r="H556" s="1" t="str">
        <f t="shared" si="80"/>
        <v xml:space="preserve"> 17.3087</v>
      </c>
      <c r="I556" s="1" t="str">
        <f t="shared" si="84"/>
        <v>RT104</v>
      </c>
      <c r="L556" s="1">
        <v>22</v>
      </c>
      <c r="M556" s="1">
        <v>501</v>
      </c>
      <c r="N556" s="1" t="str">
        <f t="shared" si="85"/>
        <v>213+773</v>
      </c>
      <c r="O556" t="str">
        <f t="shared" si="86"/>
        <v>SG</v>
      </c>
    </row>
    <row r="557" spans="1:15" x14ac:dyDescent="0.2">
      <c r="A557" t="s">
        <v>1087</v>
      </c>
      <c r="B557" t="s">
        <v>1088</v>
      </c>
      <c r="G557" s="1" t="str">
        <f t="shared" si="79"/>
        <v>104.5410</v>
      </c>
      <c r="H557" s="1" t="str">
        <f t="shared" si="80"/>
        <v xml:space="preserve"> 17.3089</v>
      </c>
      <c r="I557" s="1" t="str">
        <f t="shared" si="84"/>
        <v>RT105</v>
      </c>
      <c r="L557" s="1">
        <v>22</v>
      </c>
      <c r="M557" s="1">
        <v>501</v>
      </c>
      <c r="N557" s="1" t="str">
        <f t="shared" si="85"/>
        <v>213+808</v>
      </c>
      <c r="O557" t="str">
        <f t="shared" si="86"/>
        <v>SG</v>
      </c>
    </row>
    <row r="558" spans="1:15" x14ac:dyDescent="0.2">
      <c r="A558" t="s">
        <v>1089</v>
      </c>
      <c r="B558" t="s">
        <v>1090</v>
      </c>
      <c r="G558" s="1" t="str">
        <f t="shared" si="79"/>
        <v>104.5413</v>
      </c>
      <c r="H558" s="1" t="str">
        <f t="shared" si="80"/>
        <v xml:space="preserve"> 17.3091</v>
      </c>
      <c r="I558" s="1" t="str">
        <f t="shared" si="84"/>
        <v>RT106</v>
      </c>
      <c r="L558" s="1">
        <v>22</v>
      </c>
      <c r="M558" s="1">
        <v>501</v>
      </c>
      <c r="N558" s="1" t="str">
        <f t="shared" si="85"/>
        <v>213+843</v>
      </c>
      <c r="O558" t="str">
        <f t="shared" si="86"/>
        <v>SG</v>
      </c>
    </row>
    <row r="559" spans="1:15" x14ac:dyDescent="0.2">
      <c r="A559" t="s">
        <v>1091</v>
      </c>
      <c r="B559" t="s">
        <v>1092</v>
      </c>
      <c r="G559" s="1" t="str">
        <f t="shared" si="79"/>
        <v>104.5415</v>
      </c>
      <c r="H559" s="1" t="str">
        <f t="shared" si="80"/>
        <v xml:space="preserve"> 17.3093</v>
      </c>
      <c r="I559" s="1" t="str">
        <f t="shared" si="84"/>
        <v>RT107</v>
      </c>
      <c r="L559" s="1">
        <v>22</v>
      </c>
      <c r="M559" s="1">
        <v>501</v>
      </c>
      <c r="N559" s="1" t="str">
        <f t="shared" si="85"/>
        <v>213+878</v>
      </c>
      <c r="O559" t="str">
        <f t="shared" si="86"/>
        <v>SG</v>
      </c>
    </row>
    <row r="560" spans="1:15" x14ac:dyDescent="0.2">
      <c r="A560" t="s">
        <v>1093</v>
      </c>
      <c r="B560" t="s">
        <v>1094</v>
      </c>
      <c r="G560" s="1" t="str">
        <f t="shared" si="79"/>
        <v>104.5418</v>
      </c>
      <c r="H560" s="1" t="str">
        <f t="shared" si="80"/>
        <v xml:space="preserve"> 17.3095</v>
      </c>
      <c r="I560" s="1" t="str">
        <f t="shared" si="84"/>
        <v>RT109</v>
      </c>
      <c r="L560" s="1">
        <v>22</v>
      </c>
      <c r="M560" s="1">
        <v>501</v>
      </c>
      <c r="N560" s="1" t="str">
        <f t="shared" si="85"/>
        <v>213+913</v>
      </c>
      <c r="O560" t="str">
        <f t="shared" si="86"/>
        <v>SG</v>
      </c>
    </row>
    <row r="561" spans="1:15" x14ac:dyDescent="0.2">
      <c r="A561" t="s">
        <v>1095</v>
      </c>
      <c r="B561" t="s">
        <v>1096</v>
      </c>
      <c r="G561" s="1" t="str">
        <f t="shared" si="79"/>
        <v>104.5421</v>
      </c>
      <c r="H561" s="1" t="str">
        <f t="shared" si="80"/>
        <v xml:space="preserve"> 17.3097</v>
      </c>
      <c r="I561" s="1" t="str">
        <f t="shared" si="84"/>
        <v>RT110</v>
      </c>
      <c r="L561" s="1">
        <v>22</v>
      </c>
      <c r="M561" s="1">
        <v>501</v>
      </c>
      <c r="N561" s="1" t="str">
        <f t="shared" si="85"/>
        <v>213+948</v>
      </c>
      <c r="O561" t="str">
        <f t="shared" si="86"/>
        <v>SG</v>
      </c>
    </row>
    <row r="562" spans="1:15" x14ac:dyDescent="0.2">
      <c r="A562" t="s">
        <v>1097</v>
      </c>
      <c r="B562" t="s">
        <v>1098</v>
      </c>
      <c r="G562" s="1" t="str">
        <f t="shared" si="79"/>
        <v>104.5423</v>
      </c>
      <c r="H562" s="1" t="str">
        <f t="shared" si="80"/>
        <v xml:space="preserve"> 17.3099</v>
      </c>
      <c r="I562" s="1" t="str">
        <f t="shared" si="84"/>
        <v>RT111</v>
      </c>
      <c r="L562" s="1">
        <v>22</v>
      </c>
      <c r="M562" s="1">
        <v>501</v>
      </c>
      <c r="N562" s="1" t="str">
        <f t="shared" si="85"/>
        <v>213+983</v>
      </c>
      <c r="O562" t="str">
        <f t="shared" si="86"/>
        <v>SG</v>
      </c>
    </row>
    <row r="563" spans="1:15" x14ac:dyDescent="0.2">
      <c r="A563" t="s">
        <v>1099</v>
      </c>
      <c r="B563" t="s">
        <v>1100</v>
      </c>
      <c r="G563" s="1" t="str">
        <f t="shared" si="79"/>
        <v>104.5429</v>
      </c>
      <c r="H563" s="1" t="str">
        <f t="shared" si="80"/>
        <v xml:space="preserve"> 17.3103</v>
      </c>
      <c r="I563" s="1" t="str">
        <f t="shared" si="84"/>
        <v>RT112</v>
      </c>
      <c r="L563" s="1">
        <v>22</v>
      </c>
      <c r="M563" s="1">
        <v>501</v>
      </c>
      <c r="N563" s="1" t="str">
        <f t="shared" si="85"/>
        <v>214+053</v>
      </c>
      <c r="O563" t="str">
        <f t="shared" si="86"/>
        <v>SG</v>
      </c>
    </row>
    <row r="564" spans="1:15" x14ac:dyDescent="0.2">
      <c r="A564" t="s">
        <v>1101</v>
      </c>
      <c r="B564" t="s">
        <v>1102</v>
      </c>
      <c r="G564" s="1" t="str">
        <f t="shared" si="79"/>
        <v>104.5431</v>
      </c>
      <c r="H564" s="1" t="str">
        <f>MID(A564,18,7)</f>
        <v>17.3105</v>
      </c>
      <c r="I564" s="1" t="str">
        <f t="shared" si="84"/>
        <v>RT113</v>
      </c>
      <c r="L564" s="1">
        <v>22</v>
      </c>
      <c r="M564" s="1">
        <v>501</v>
      </c>
      <c r="N564" s="1" t="str">
        <f t="shared" si="85"/>
        <v>214+083</v>
      </c>
      <c r="O564" t="str">
        <f t="shared" si="86"/>
        <v>SG</v>
      </c>
    </row>
    <row r="565" spans="1:15" x14ac:dyDescent="0.2">
      <c r="A565" t="s">
        <v>1103</v>
      </c>
      <c r="B565" t="s">
        <v>1104</v>
      </c>
      <c r="G565" s="1" t="str">
        <f t="shared" si="79"/>
        <v>104.5434</v>
      </c>
      <c r="H565" s="1" t="str">
        <f t="shared" si="80"/>
        <v xml:space="preserve"> 17.3107</v>
      </c>
      <c r="I565" s="1" t="str">
        <f t="shared" si="84"/>
        <v>RT114</v>
      </c>
      <c r="L565" s="1">
        <v>22</v>
      </c>
      <c r="M565" s="1">
        <v>501</v>
      </c>
      <c r="N565" s="1" t="str">
        <f t="shared" si="85"/>
        <v>214+123</v>
      </c>
      <c r="O565" t="str">
        <f t="shared" si="86"/>
        <v>SG</v>
      </c>
    </row>
    <row r="566" spans="1:15" x14ac:dyDescent="0.2">
      <c r="A566" t="s">
        <v>1105</v>
      </c>
      <c r="B566" t="s">
        <v>2005</v>
      </c>
      <c r="G566" s="1" t="str">
        <f t="shared" si="79"/>
        <v>104.5368</v>
      </c>
      <c r="H566" s="1" t="str">
        <f t="shared" si="80"/>
        <v xml:space="preserve"> 17.3060</v>
      </c>
      <c r="J566" s="1" t="str">
        <f t="shared" ref="J566:J591" si="87">MID(B566,1,5)</f>
        <v>LT121</v>
      </c>
      <c r="L566" s="1">
        <v>22</v>
      </c>
      <c r="M566" s="1">
        <v>501</v>
      </c>
      <c r="N566" s="1" t="str">
        <f t="shared" si="85"/>
        <v>213+233</v>
      </c>
      <c r="O566" t="str">
        <f t="shared" si="86"/>
        <v>SG</v>
      </c>
    </row>
    <row r="567" spans="1:15" x14ac:dyDescent="0.2">
      <c r="A567" t="s">
        <v>1106</v>
      </c>
      <c r="B567" t="s">
        <v>1107</v>
      </c>
      <c r="G567" s="1" t="str">
        <f t="shared" si="79"/>
        <v>104.5370</v>
      </c>
      <c r="H567" s="1" t="str">
        <f t="shared" si="80"/>
        <v xml:space="preserve"> 17.3062</v>
      </c>
      <c r="J567" s="1" t="str">
        <f t="shared" si="87"/>
        <v>LT122</v>
      </c>
      <c r="L567" s="1">
        <v>22</v>
      </c>
      <c r="M567" s="1">
        <v>501</v>
      </c>
      <c r="N567" s="1" t="str">
        <f t="shared" si="85"/>
        <v>213+283</v>
      </c>
      <c r="O567" t="str">
        <f t="shared" si="86"/>
        <v>SG</v>
      </c>
    </row>
    <row r="568" spans="1:15" x14ac:dyDescent="0.2">
      <c r="A568" t="s">
        <v>1108</v>
      </c>
      <c r="B568" t="s">
        <v>1109</v>
      </c>
      <c r="G568" s="1" t="str">
        <f t="shared" si="79"/>
        <v>104.5373</v>
      </c>
      <c r="H568" s="1" t="str">
        <f t="shared" si="80"/>
        <v xml:space="preserve"> 17.3064</v>
      </c>
      <c r="J568" s="1" t="str">
        <f t="shared" si="87"/>
        <v>LT123</v>
      </c>
      <c r="L568" s="1">
        <v>22</v>
      </c>
      <c r="M568" s="1">
        <v>501</v>
      </c>
      <c r="N568" s="1" t="str">
        <f t="shared" si="85"/>
        <v>213+318</v>
      </c>
      <c r="O568" t="str">
        <f>MID(B568,7,2)</f>
        <v>SG</v>
      </c>
    </row>
    <row r="569" spans="1:15" x14ac:dyDescent="0.2">
      <c r="A569" t="s">
        <v>1110</v>
      </c>
      <c r="B569" t="s">
        <v>1111</v>
      </c>
      <c r="G569" s="1" t="str">
        <f t="shared" si="79"/>
        <v>104.5375</v>
      </c>
      <c r="H569" s="1" t="str">
        <f t="shared" si="80"/>
        <v xml:space="preserve"> 17.3066</v>
      </c>
      <c r="J569" s="1" t="str">
        <f t="shared" si="87"/>
        <v>LT124</v>
      </c>
      <c r="L569" s="1">
        <v>22</v>
      </c>
      <c r="M569" s="1">
        <v>501</v>
      </c>
      <c r="N569" s="1" t="str">
        <f t="shared" si="85"/>
        <v>213+353</v>
      </c>
      <c r="O569" t="str">
        <f t="shared" si="86"/>
        <v>SG</v>
      </c>
    </row>
    <row r="570" spans="1:15" x14ac:dyDescent="0.2">
      <c r="A570" t="s">
        <v>1112</v>
      </c>
      <c r="B570" t="s">
        <v>1113</v>
      </c>
      <c r="G570" s="1" t="str">
        <f t="shared" si="79"/>
        <v>104.5378</v>
      </c>
      <c r="H570" s="1" t="str">
        <f t="shared" si="80"/>
        <v xml:space="preserve"> 17.3068</v>
      </c>
      <c r="J570" s="1" t="str">
        <f t="shared" si="87"/>
        <v>LT125</v>
      </c>
      <c r="L570" s="1">
        <v>22</v>
      </c>
      <c r="M570" s="1">
        <v>501</v>
      </c>
      <c r="N570" s="1" t="str">
        <f t="shared" si="85"/>
        <v>213+388</v>
      </c>
      <c r="O570" t="str">
        <f t="shared" si="86"/>
        <v>SG</v>
      </c>
    </row>
    <row r="571" spans="1:15" x14ac:dyDescent="0.2">
      <c r="A571" t="s">
        <v>1114</v>
      </c>
      <c r="B571" t="s">
        <v>1115</v>
      </c>
      <c r="G571" s="1" t="str">
        <f t="shared" si="79"/>
        <v>104.5380</v>
      </c>
      <c r="H571" s="1" t="str">
        <f t="shared" si="80"/>
        <v xml:space="preserve"> 17.3070</v>
      </c>
      <c r="J571" s="1" t="str">
        <f t="shared" si="87"/>
        <v>LT126</v>
      </c>
      <c r="L571" s="1">
        <v>22</v>
      </c>
      <c r="M571" s="1">
        <v>501</v>
      </c>
      <c r="N571" s="1" t="str">
        <f t="shared" si="85"/>
        <v>213+425</v>
      </c>
      <c r="O571" t="str">
        <f t="shared" si="86"/>
        <v>SG</v>
      </c>
    </row>
    <row r="572" spans="1:15" x14ac:dyDescent="0.2">
      <c r="A572" t="s">
        <v>1116</v>
      </c>
      <c r="B572" t="s">
        <v>1117</v>
      </c>
      <c r="G572" s="1" t="str">
        <f t="shared" si="79"/>
        <v>104.5383</v>
      </c>
      <c r="H572" s="1" t="str">
        <f t="shared" si="80"/>
        <v xml:space="preserve"> 17.3072</v>
      </c>
      <c r="J572" s="1" t="str">
        <f t="shared" si="87"/>
        <v>LT127</v>
      </c>
      <c r="L572" s="1">
        <v>22</v>
      </c>
      <c r="M572" s="1">
        <v>501</v>
      </c>
      <c r="N572" s="1" t="str">
        <f t="shared" si="85"/>
        <v>213+458</v>
      </c>
      <c r="O572" t="str">
        <f t="shared" si="86"/>
        <v>SG</v>
      </c>
    </row>
    <row r="573" spans="1:15" x14ac:dyDescent="0.2">
      <c r="A573" t="s">
        <v>1118</v>
      </c>
      <c r="B573" t="s">
        <v>1119</v>
      </c>
      <c r="G573" s="1" t="str">
        <f t="shared" si="79"/>
        <v>104.5386</v>
      </c>
      <c r="H573" s="1" t="str">
        <f t="shared" si="80"/>
        <v xml:space="preserve"> 17.3074</v>
      </c>
      <c r="J573" s="1" t="str">
        <f t="shared" si="87"/>
        <v>LT128</v>
      </c>
      <c r="L573" s="1">
        <v>22</v>
      </c>
      <c r="M573" s="1">
        <v>501</v>
      </c>
      <c r="N573" s="1" t="str">
        <f t="shared" si="85"/>
        <v>213+493</v>
      </c>
      <c r="O573" t="str">
        <f t="shared" si="86"/>
        <v>SG</v>
      </c>
    </row>
    <row r="574" spans="1:15" x14ac:dyDescent="0.2">
      <c r="A574" t="s">
        <v>1120</v>
      </c>
      <c r="B574" t="s">
        <v>1121</v>
      </c>
      <c r="G574" s="1" t="str">
        <f t="shared" si="79"/>
        <v>104.5388</v>
      </c>
      <c r="H574" s="1" t="str">
        <f t="shared" si="80"/>
        <v xml:space="preserve"> 17.3076</v>
      </c>
      <c r="J574" s="1" t="str">
        <f t="shared" si="87"/>
        <v>LT129</v>
      </c>
      <c r="L574" s="1">
        <v>22</v>
      </c>
      <c r="M574" s="1">
        <v>501</v>
      </c>
      <c r="N574" s="1" t="str">
        <f t="shared" si="85"/>
        <v>213+528</v>
      </c>
      <c r="O574" t="str">
        <f t="shared" si="86"/>
        <v>SG</v>
      </c>
    </row>
    <row r="575" spans="1:15" x14ac:dyDescent="0.2">
      <c r="A575" t="s">
        <v>1122</v>
      </c>
      <c r="B575" t="s">
        <v>1123</v>
      </c>
      <c r="G575" s="1" t="str">
        <f t="shared" si="79"/>
        <v>104.5391</v>
      </c>
      <c r="H575" s="1" t="str">
        <f t="shared" si="80"/>
        <v xml:space="preserve"> 17.3078</v>
      </c>
      <c r="J575" s="1" t="str">
        <f t="shared" si="87"/>
        <v>LT130</v>
      </c>
      <c r="L575" s="1">
        <v>22</v>
      </c>
      <c r="M575" s="1">
        <v>501</v>
      </c>
      <c r="N575" s="1" t="str">
        <f t="shared" si="85"/>
        <v>213+563</v>
      </c>
      <c r="O575" t="str">
        <f t="shared" si="86"/>
        <v>SG</v>
      </c>
    </row>
    <row r="576" spans="1:15" x14ac:dyDescent="0.2">
      <c r="A576" t="s">
        <v>1124</v>
      </c>
      <c r="B576" t="s">
        <v>1125</v>
      </c>
      <c r="G576" s="1" t="str">
        <f t="shared" si="79"/>
        <v>104.5393</v>
      </c>
      <c r="H576" s="1" t="str">
        <f>MID(A576,18,7)</f>
        <v>17.3079</v>
      </c>
      <c r="J576" s="1" t="str">
        <f t="shared" si="87"/>
        <v>LT131</v>
      </c>
      <c r="L576" s="1">
        <v>22</v>
      </c>
      <c r="M576" s="1">
        <v>501</v>
      </c>
      <c r="N576" s="1" t="str">
        <f t="shared" si="85"/>
        <v>213+598</v>
      </c>
      <c r="O576" t="str">
        <f t="shared" si="86"/>
        <v>SG</v>
      </c>
    </row>
    <row r="577" spans="1:15" x14ac:dyDescent="0.2">
      <c r="A577" t="s">
        <v>1126</v>
      </c>
      <c r="B577" t="s">
        <v>1127</v>
      </c>
      <c r="G577" s="1" t="str">
        <f t="shared" si="79"/>
        <v>104.5396</v>
      </c>
      <c r="H577" s="1" t="str">
        <f t="shared" si="80"/>
        <v xml:space="preserve"> 17.3081</v>
      </c>
      <c r="J577" s="1" t="str">
        <f t="shared" si="87"/>
        <v>LT132</v>
      </c>
      <c r="L577" s="1">
        <v>22</v>
      </c>
      <c r="M577" s="1">
        <v>501</v>
      </c>
      <c r="N577" s="1" t="str">
        <f t="shared" si="85"/>
        <v>213+633</v>
      </c>
      <c r="O577" t="str">
        <f t="shared" si="86"/>
        <v>SG</v>
      </c>
    </row>
    <row r="578" spans="1:15" x14ac:dyDescent="0.2">
      <c r="A578" t="s">
        <v>1128</v>
      </c>
      <c r="B578" t="s">
        <v>1129</v>
      </c>
      <c r="G578" s="1" t="str">
        <f t="shared" si="79"/>
        <v>104.5398</v>
      </c>
      <c r="H578" s="1" t="str">
        <f t="shared" si="80"/>
        <v xml:space="preserve"> 17.3083</v>
      </c>
      <c r="J578" s="1" t="str">
        <f t="shared" si="87"/>
        <v>LT133</v>
      </c>
      <c r="L578" s="1">
        <v>22</v>
      </c>
      <c r="M578" s="1">
        <v>501</v>
      </c>
      <c r="N578" s="1" t="str">
        <f t="shared" si="85"/>
        <v>213+668</v>
      </c>
      <c r="O578" t="str">
        <f t="shared" si="86"/>
        <v>SG</v>
      </c>
    </row>
    <row r="579" spans="1:15" x14ac:dyDescent="0.2">
      <c r="A579" t="s">
        <v>1130</v>
      </c>
      <c r="B579" t="s">
        <v>1131</v>
      </c>
      <c r="G579" s="1" t="str">
        <f t="shared" ref="G579:G591" si="88">MID(A579,8,8)</f>
        <v>104.5401</v>
      </c>
      <c r="H579" s="1" t="str">
        <f t="shared" ref="H579:H591" si="89">MID(A579,18,8)</f>
        <v xml:space="preserve"> 17.3085</v>
      </c>
      <c r="J579" s="1" t="str">
        <f t="shared" si="87"/>
        <v>LT134</v>
      </c>
      <c r="L579" s="1">
        <v>22</v>
      </c>
      <c r="M579" s="1">
        <v>501</v>
      </c>
      <c r="N579" s="1" t="str">
        <f t="shared" si="85"/>
        <v>213+703</v>
      </c>
      <c r="O579" t="str">
        <f t="shared" si="86"/>
        <v>SG</v>
      </c>
    </row>
    <row r="580" spans="1:15" x14ac:dyDescent="0.2">
      <c r="A580" t="s">
        <v>1132</v>
      </c>
      <c r="B580" t="s">
        <v>1133</v>
      </c>
      <c r="G580" s="1" t="str">
        <f t="shared" si="88"/>
        <v>104.5404</v>
      </c>
      <c r="H580" s="1" t="str">
        <f>MID(A580,18,7)</f>
        <v>17.3087</v>
      </c>
      <c r="J580" s="1" t="str">
        <f t="shared" si="87"/>
        <v>LT135</v>
      </c>
      <c r="L580" s="1">
        <v>22</v>
      </c>
      <c r="M580" s="1">
        <v>501</v>
      </c>
      <c r="N580" s="1" t="str">
        <f t="shared" si="85"/>
        <v>213+738</v>
      </c>
      <c r="O580" t="str">
        <f>MID(B580,7,2)</f>
        <v>SG</v>
      </c>
    </row>
    <row r="581" spans="1:15" x14ac:dyDescent="0.2">
      <c r="A581" t="s">
        <v>1134</v>
      </c>
      <c r="B581" t="s">
        <v>1135</v>
      </c>
      <c r="G581" s="1" t="str">
        <f t="shared" si="88"/>
        <v>104.5406</v>
      </c>
      <c r="H581" s="1" t="str">
        <f t="shared" si="89"/>
        <v xml:space="preserve"> 17.3089</v>
      </c>
      <c r="J581" s="1" t="str">
        <f t="shared" si="87"/>
        <v>LT136</v>
      </c>
      <c r="L581" s="1">
        <v>22</v>
      </c>
      <c r="M581" s="1">
        <v>501</v>
      </c>
      <c r="N581" s="1" t="str">
        <f t="shared" si="85"/>
        <v>213+773</v>
      </c>
      <c r="O581" t="str">
        <f t="shared" si="86"/>
        <v>SG</v>
      </c>
    </row>
    <row r="582" spans="1:15" x14ac:dyDescent="0.2">
      <c r="A582" t="s">
        <v>1136</v>
      </c>
      <c r="B582" t="s">
        <v>1137</v>
      </c>
      <c r="G582" s="1" t="str">
        <f t="shared" si="88"/>
        <v>104.5409</v>
      </c>
      <c r="H582" s="1" t="str">
        <f t="shared" si="89"/>
        <v xml:space="preserve"> 17.3091</v>
      </c>
      <c r="J582" s="1" t="str">
        <f t="shared" si="87"/>
        <v>LT137</v>
      </c>
      <c r="L582" s="1">
        <v>22</v>
      </c>
      <c r="M582" s="1">
        <v>501</v>
      </c>
      <c r="N582" s="1" t="str">
        <f t="shared" si="85"/>
        <v>213+808</v>
      </c>
      <c r="O582" t="str">
        <f t="shared" si="86"/>
        <v>SG</v>
      </c>
    </row>
    <row r="583" spans="1:15" x14ac:dyDescent="0.2">
      <c r="A583" t="s">
        <v>1138</v>
      </c>
      <c r="B583" t="s">
        <v>1139</v>
      </c>
      <c r="G583" s="1" t="str">
        <f t="shared" si="88"/>
        <v>104.5411</v>
      </c>
      <c r="H583" s="1" t="str">
        <f t="shared" si="89"/>
        <v xml:space="preserve"> 17.3092</v>
      </c>
      <c r="J583" s="1" t="str">
        <f t="shared" si="87"/>
        <v>LT138</v>
      </c>
      <c r="L583" s="1">
        <v>22</v>
      </c>
      <c r="M583" s="1">
        <v>501</v>
      </c>
      <c r="N583" s="1" t="str">
        <f t="shared" si="85"/>
        <v>213+834</v>
      </c>
      <c r="O583" t="str">
        <f t="shared" si="86"/>
        <v>SG</v>
      </c>
    </row>
    <row r="584" spans="1:15" x14ac:dyDescent="0.2">
      <c r="A584" t="s">
        <v>1140</v>
      </c>
      <c r="B584" t="s">
        <v>1141</v>
      </c>
      <c r="G584" s="1" t="str">
        <f t="shared" si="88"/>
        <v>104.5414</v>
      </c>
      <c r="H584" s="1" t="str">
        <f t="shared" si="89"/>
        <v xml:space="preserve"> 17.3095</v>
      </c>
      <c r="J584" s="1" t="str">
        <f t="shared" si="87"/>
        <v>LT139</v>
      </c>
      <c r="L584" s="1">
        <v>22</v>
      </c>
      <c r="M584" s="1">
        <v>501</v>
      </c>
      <c r="N584" s="1" t="str">
        <f t="shared" si="85"/>
        <v>213+879</v>
      </c>
      <c r="O584" t="str">
        <f t="shared" si="86"/>
        <v>SG</v>
      </c>
    </row>
    <row r="585" spans="1:15" x14ac:dyDescent="0.2">
      <c r="A585" t="s">
        <v>1142</v>
      </c>
      <c r="B585" t="s">
        <v>1143</v>
      </c>
      <c r="G585" s="1" t="str">
        <f t="shared" si="88"/>
        <v>104.5417</v>
      </c>
      <c r="H585" s="1" t="str">
        <f t="shared" si="89"/>
        <v xml:space="preserve"> 17.3097</v>
      </c>
      <c r="J585" s="1" t="str">
        <f t="shared" si="87"/>
        <v>LT140</v>
      </c>
      <c r="L585" s="1">
        <v>22</v>
      </c>
      <c r="M585" s="1">
        <v>501</v>
      </c>
      <c r="N585" s="1" t="str">
        <f t="shared" si="85"/>
        <v>213+914</v>
      </c>
      <c r="O585" t="str">
        <f t="shared" si="86"/>
        <v>SG</v>
      </c>
    </row>
    <row r="586" spans="1:15" x14ac:dyDescent="0.2">
      <c r="A586" t="s">
        <v>1144</v>
      </c>
      <c r="B586" t="s">
        <v>1145</v>
      </c>
      <c r="G586" s="1" t="str">
        <f t="shared" si="88"/>
        <v>104.5419</v>
      </c>
      <c r="H586" s="1" t="str">
        <f t="shared" si="89"/>
        <v xml:space="preserve"> 17.3099</v>
      </c>
      <c r="J586" s="1" t="str">
        <f t="shared" si="87"/>
        <v>LT141</v>
      </c>
      <c r="L586" s="1">
        <v>22</v>
      </c>
      <c r="M586" s="1">
        <v>501</v>
      </c>
      <c r="N586" s="1" t="str">
        <f t="shared" si="85"/>
        <v>213+948</v>
      </c>
      <c r="O586" t="str">
        <f t="shared" si="86"/>
        <v>SG</v>
      </c>
    </row>
    <row r="587" spans="1:15" x14ac:dyDescent="0.2">
      <c r="A587" t="s">
        <v>1146</v>
      </c>
      <c r="B587" t="s">
        <v>1147</v>
      </c>
      <c r="G587" s="1" t="str">
        <f t="shared" si="88"/>
        <v>104.5422</v>
      </c>
      <c r="H587" s="1" t="str">
        <f>MID(A587,18,7)</f>
        <v>17.3101</v>
      </c>
      <c r="J587" s="1" t="str">
        <f t="shared" si="87"/>
        <v>LT142</v>
      </c>
      <c r="L587" s="1">
        <v>22</v>
      </c>
      <c r="M587" s="1">
        <v>501</v>
      </c>
      <c r="N587" s="1" t="str">
        <f t="shared" si="85"/>
        <v>213+983</v>
      </c>
      <c r="O587" t="str">
        <f t="shared" si="86"/>
        <v>SG</v>
      </c>
    </row>
    <row r="588" spans="1:15" x14ac:dyDescent="0.2">
      <c r="A588" t="s">
        <v>1148</v>
      </c>
      <c r="B588" t="s">
        <v>1149</v>
      </c>
      <c r="G588" s="1" t="str">
        <f t="shared" si="88"/>
        <v>104.5424</v>
      </c>
      <c r="H588" s="1" t="str">
        <f t="shared" si="89"/>
        <v xml:space="preserve"> 17.3103</v>
      </c>
      <c r="J588" s="1" t="str">
        <f t="shared" si="87"/>
        <v>LT143</v>
      </c>
      <c r="L588" s="1">
        <v>22</v>
      </c>
      <c r="M588" s="1">
        <v>501</v>
      </c>
      <c r="N588" s="1" t="str">
        <f t="shared" si="85"/>
        <v>214+018</v>
      </c>
      <c r="O588" t="str">
        <f t="shared" si="86"/>
        <v>SG</v>
      </c>
    </row>
    <row r="589" spans="1:15" x14ac:dyDescent="0.2">
      <c r="A589" t="s">
        <v>1150</v>
      </c>
      <c r="B589" t="s">
        <v>1151</v>
      </c>
      <c r="G589" s="1" t="str">
        <f t="shared" si="88"/>
        <v>104.5427</v>
      </c>
      <c r="H589" s="1" t="str">
        <f t="shared" si="89"/>
        <v xml:space="preserve"> 17.3105</v>
      </c>
      <c r="J589" s="1" t="str">
        <f t="shared" si="87"/>
        <v>LT144</v>
      </c>
      <c r="L589" s="1">
        <v>22</v>
      </c>
      <c r="M589" s="1">
        <v>501</v>
      </c>
      <c r="N589" s="1" t="str">
        <f t="shared" si="85"/>
        <v>214+053</v>
      </c>
      <c r="O589" t="str">
        <f t="shared" si="86"/>
        <v>SG</v>
      </c>
    </row>
    <row r="590" spans="1:15" x14ac:dyDescent="0.2">
      <c r="A590" t="s">
        <v>1152</v>
      </c>
      <c r="B590" t="s">
        <v>1153</v>
      </c>
      <c r="G590" s="1" t="str">
        <f t="shared" si="88"/>
        <v>104.5429</v>
      </c>
      <c r="H590" s="1" t="str">
        <f t="shared" si="89"/>
        <v xml:space="preserve"> 17.3107</v>
      </c>
      <c r="J590" s="1" t="str">
        <f t="shared" si="87"/>
        <v>LT145</v>
      </c>
      <c r="L590" s="1">
        <v>22</v>
      </c>
      <c r="M590" s="1">
        <v>501</v>
      </c>
      <c r="N590" s="1" t="str">
        <f t="shared" si="85"/>
        <v>214+083</v>
      </c>
      <c r="O590" t="str">
        <f t="shared" si="86"/>
        <v>SG</v>
      </c>
    </row>
    <row r="591" spans="1:15" x14ac:dyDescent="0.2">
      <c r="A591" t="s">
        <v>1154</v>
      </c>
      <c r="B591" t="s">
        <v>1155</v>
      </c>
      <c r="G591" s="1" t="str">
        <f t="shared" si="88"/>
        <v>104.5432</v>
      </c>
      <c r="H591" s="1" t="str">
        <f t="shared" si="89"/>
        <v xml:space="preserve"> 17.3109</v>
      </c>
      <c r="J591" s="1" t="str">
        <f t="shared" si="87"/>
        <v>LT146</v>
      </c>
      <c r="L591" s="1">
        <v>22</v>
      </c>
      <c r="M591" s="1">
        <v>501</v>
      </c>
      <c r="N591" s="1" t="str">
        <f t="shared" si="85"/>
        <v>214+123</v>
      </c>
      <c r="O591" t="str">
        <f t="shared" si="86"/>
        <v>SG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 CSV หมวดปลาปาก 22</vt:lpstr>
      <vt:lpstr>แผนที่ที่ไม่มีชื่อ- สาย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NongAum</dc:creator>
  <cp:lastModifiedBy>AUM_HumNoi</cp:lastModifiedBy>
  <dcterms:created xsi:type="dcterms:W3CDTF">2023-06-26T06:10:26Z</dcterms:created>
  <dcterms:modified xsi:type="dcterms:W3CDTF">2023-06-28T03:24:34Z</dcterms:modified>
</cp:coreProperties>
</file>