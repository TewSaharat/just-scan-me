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M_HumNoi\OneDrive\เดสก์ท็อป\ปรักหมุด อุ้ม หมวดปลาปาก\"/>
    </mc:Choice>
  </mc:AlternateContent>
  <xr:revisionPtr revIDLastSave="0" documentId="13_ncr:1_{F958EA9A-8941-4C6A-9852-0A6063F3BF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CSV หมวดปลาปาก 2276" sheetId="2" r:id="rId1"/>
    <sheet name="แผนที่ที่ไม่มีชื่อ- 2276" sheetId="1" r:id="rId2"/>
  </sheets>
  <calcPr calcId="181029"/>
</workbook>
</file>

<file path=xl/calcChain.xml><?xml version="1.0" encoding="utf-8"?>
<calcChain xmlns="http://schemas.openxmlformats.org/spreadsheetml/2006/main">
  <c r="P118" i="1" l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04" i="1"/>
  <c r="P147" i="1"/>
  <c r="P148" i="1"/>
  <c r="P149" i="1"/>
  <c r="P150" i="1"/>
  <c r="P151" i="1"/>
  <c r="P152" i="1"/>
  <c r="P153" i="1"/>
  <c r="P154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245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41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15" i="1"/>
  <c r="P3" i="1"/>
  <c r="P4" i="1"/>
  <c r="P5" i="1"/>
  <c r="P6" i="1"/>
  <c r="P7" i="1"/>
  <c r="P8" i="1"/>
  <c r="P9" i="1"/>
  <c r="P10" i="1"/>
  <c r="P11" i="1"/>
  <c r="P12" i="1"/>
  <c r="P13" i="1"/>
  <c r="P14" i="1"/>
  <c r="P2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24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155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04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5" i="1"/>
  <c r="M3" i="1"/>
  <c r="M4" i="1"/>
  <c r="L5" i="1"/>
  <c r="L6" i="1"/>
  <c r="L7" i="1"/>
  <c r="L8" i="1"/>
  <c r="L9" i="1"/>
  <c r="L10" i="1"/>
  <c r="L11" i="1"/>
  <c r="L12" i="1"/>
  <c r="L13" i="1"/>
  <c r="L14" i="1"/>
  <c r="L147" i="1"/>
  <c r="L148" i="1"/>
  <c r="L149" i="1"/>
  <c r="L150" i="1"/>
  <c r="L151" i="1"/>
  <c r="L152" i="1"/>
  <c r="L153" i="1"/>
  <c r="L154" i="1"/>
  <c r="M2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24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155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0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5" i="1"/>
  <c r="J5" i="1"/>
  <c r="K3" i="1"/>
  <c r="K4" i="1"/>
  <c r="I6" i="1"/>
  <c r="I7" i="1"/>
  <c r="I8" i="1"/>
  <c r="I9" i="1"/>
  <c r="I10" i="1"/>
  <c r="I11" i="1"/>
  <c r="I12" i="1"/>
  <c r="I13" i="1"/>
  <c r="I14" i="1"/>
  <c r="J147" i="1"/>
  <c r="J148" i="1"/>
  <c r="J149" i="1"/>
  <c r="J150" i="1"/>
  <c r="J151" i="1"/>
  <c r="J152" i="1"/>
  <c r="J153" i="1"/>
  <c r="J154" i="1"/>
  <c r="K2" i="1"/>
  <c r="H299" i="1"/>
  <c r="H297" i="1"/>
  <c r="H279" i="1"/>
  <c r="H278" i="1"/>
  <c r="H272" i="1"/>
  <c r="H269" i="1"/>
  <c r="H263" i="1"/>
  <c r="H238" i="1"/>
  <c r="H234" i="1"/>
  <c r="H224" i="1"/>
  <c r="H194" i="1"/>
  <c r="H171" i="1"/>
  <c r="H159" i="1"/>
  <c r="H144" i="1"/>
  <c r="H130" i="1"/>
  <c r="H118" i="1"/>
  <c r="H114" i="1"/>
  <c r="H101" i="1"/>
  <c r="H82" i="1"/>
  <c r="H79" i="1"/>
  <c r="H77" i="1"/>
  <c r="H75" i="1"/>
  <c r="H74" i="1"/>
  <c r="H69" i="1"/>
  <c r="H50" i="1"/>
  <c r="H40" i="1"/>
  <c r="H9" i="1"/>
  <c r="H7" i="1"/>
  <c r="H4" i="1"/>
  <c r="G3" i="1"/>
  <c r="H3" i="1"/>
  <c r="G4" i="1"/>
  <c r="G5" i="1"/>
  <c r="H5" i="1"/>
  <c r="G6" i="1"/>
  <c r="H6" i="1"/>
  <c r="G7" i="1"/>
  <c r="G8" i="1"/>
  <c r="H8" i="1"/>
  <c r="G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G70" i="1"/>
  <c r="H70" i="1"/>
  <c r="G71" i="1"/>
  <c r="H71" i="1"/>
  <c r="G72" i="1"/>
  <c r="H72" i="1"/>
  <c r="G73" i="1"/>
  <c r="H73" i="1"/>
  <c r="G74" i="1"/>
  <c r="G75" i="1"/>
  <c r="G76" i="1"/>
  <c r="H76" i="1"/>
  <c r="G77" i="1"/>
  <c r="G78" i="1"/>
  <c r="H78" i="1"/>
  <c r="G79" i="1"/>
  <c r="G80" i="1"/>
  <c r="H80" i="1"/>
  <c r="G81" i="1"/>
  <c r="H81" i="1"/>
  <c r="G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G115" i="1"/>
  <c r="H115" i="1"/>
  <c r="G116" i="1"/>
  <c r="H116" i="1"/>
  <c r="G117" i="1"/>
  <c r="H117" i="1"/>
  <c r="G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G235" i="1"/>
  <c r="H235" i="1"/>
  <c r="G236" i="1"/>
  <c r="H236" i="1"/>
  <c r="G237" i="1"/>
  <c r="H237" i="1"/>
  <c r="G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G264" i="1"/>
  <c r="H264" i="1"/>
  <c r="G265" i="1"/>
  <c r="H265" i="1"/>
  <c r="G266" i="1"/>
  <c r="H266" i="1"/>
  <c r="G267" i="1"/>
  <c r="H267" i="1"/>
  <c r="G268" i="1"/>
  <c r="H268" i="1"/>
  <c r="G269" i="1"/>
  <c r="G270" i="1"/>
  <c r="H270" i="1"/>
  <c r="G271" i="1"/>
  <c r="H271" i="1"/>
  <c r="G272" i="1"/>
  <c r="G273" i="1"/>
  <c r="H273" i="1"/>
  <c r="G274" i="1"/>
  <c r="H274" i="1"/>
  <c r="G275" i="1"/>
  <c r="H275" i="1"/>
  <c r="G276" i="1"/>
  <c r="H276" i="1"/>
  <c r="G277" i="1"/>
  <c r="H277" i="1"/>
  <c r="G278" i="1"/>
  <c r="G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G298" i="1"/>
  <c r="H298" i="1"/>
  <c r="G299" i="1"/>
  <c r="H2" i="1"/>
  <c r="G2" i="1"/>
</calcChain>
</file>

<file path=xl/sharedStrings.xml><?xml version="1.0" encoding="utf-8"?>
<sst xmlns="http://schemas.openxmlformats.org/spreadsheetml/2006/main" count="2105" uniqueCount="1689">
  <si>
    <t>WKT</t>
  </si>
  <si>
    <t>เธเธทเนเธญ</t>
  </si>
  <si>
    <t>เธเธณเธญเธเธดเธเธฒเธข</t>
  </si>
  <si>
    <t>POINT (104.549678 17.315353 0.0)</t>
  </si>
  <si>
    <t>MD1-DB-2276-0100-0+030</t>
  </si>
  <si>
    <t>POINT (104.549657 17.315038 0.0)</t>
  </si>
  <si>
    <t>MD2-DB-2276-0100-0+060</t>
  </si>
  <si>
    <t>POINT (104.54963 17.314729 0.0)</t>
  </si>
  <si>
    <t>MD3-DB-2276-0100-0+090</t>
  </si>
  <si>
    <t>POINT (104.549662 17.314398 0.0)</t>
  </si>
  <si>
    <t>LT1-SG-2276-0100-0+138</t>
  </si>
  <si>
    <t>POINT (104.549537 17.314404 0.0)</t>
  </si>
  <si>
    <t>RT1-SG-2276-0100-0+142</t>
  </si>
  <si>
    <t>POINT (104.53595 17.252896 0.0)</t>
  </si>
  <si>
    <t>RT2-SG-2276-0100-7+365</t>
  </si>
  <si>
    <t>POINT (104.535929 17.252518 0.0)</t>
  </si>
  <si>
    <t>RT3-SG-2276-0100-7+410</t>
  </si>
  <si>
    <t>POINT (104.53589 17.252196 0.0)</t>
  </si>
  <si>
    <t>RT4-SG-2276-0100-7+455</t>
  </si>
  <si>
    <t>POINT (104.535838 17.251832 0.0)</t>
  </si>
  <si>
    <t>RT5-SG-2276-0100-7+500</t>
  </si>
  <si>
    <t>POINT (104.535799 17.251537 0.0)</t>
  </si>
  <si>
    <t>RT6-SG-2276-0100-7+545</t>
  </si>
  <si>
    <t>POINT (104.535725 17.251163 0.0)</t>
  </si>
  <si>
    <t>RT7-SG-2276-0100-7+590</t>
  </si>
  <si>
    <t>POINT (104.535626 17.250739 0.0)</t>
  </si>
  <si>
    <t>RT8-SG-2276-0100-7+635</t>
  </si>
  <si>
    <t>POINT (104.535535 17.25034 0.0)</t>
  </si>
  <si>
    <t>RT9-SG-2276-0100-7+680</t>
  </si>
  <si>
    <t>POINT (104.535428 17.249927 0.0)</t>
  </si>
  <si>
    <t>RT10-SG-2276-0100-7+725</t>
  </si>
  <si>
    <t>POINT (104.535331 17.249568 0.0)</t>
  </si>
  <si>
    <t>RT11-SG-2276-0100-7+770</t>
  </si>
  <si>
    <t>POINT (104.535232 17.249163 0.0)</t>
  </si>
  <si>
    <t>RT12-SG-2276-0100-7+815</t>
  </si>
  <si>
    <t>POINT (104.535139 17.248808 0.0)</t>
  </si>
  <si>
    <t>RT13-SG-2276-0100-7+860</t>
  </si>
  <si>
    <t>POINT (104.535006 17.248382 0.0)</t>
  </si>
  <si>
    <t>RT14-SG-2276-0100-7+905</t>
  </si>
  <si>
    <t>POINT (104.534909 17.247997 0.0)</t>
  </si>
  <si>
    <t>RT15-SG-2276-0100-7+950</t>
  </si>
  <si>
    <t>POINT (104.534771 17.24756 0.0)</t>
  </si>
  <si>
    <t>RT16-SG-2276-0100-7+995</t>
  </si>
  <si>
    <t>POINT (104.534685 17.247258 0.0)</t>
  </si>
  <si>
    <t>RT17-SG-2276-0100-8+040</t>
  </si>
  <si>
    <t>POINT (104.534543 17.246814 0.0)</t>
  </si>
  <si>
    <t>RT18-SG-2276-0100-8+085</t>
  </si>
  <si>
    <t>POINT (104.534403 17.246436 0.0)</t>
  </si>
  <si>
    <t>RT19-SG-2276-0100-8+130</t>
  </si>
  <si>
    <t>POINT (104.534305 17.246092 0.0)</t>
  </si>
  <si>
    <t>RT20-SG-2276-0100-8+175</t>
  </si>
  <si>
    <t>POINT (104.534171 17.245723 0.0)</t>
  </si>
  <si>
    <t>RT21-SG-2276-0100-8+220</t>
  </si>
  <si>
    <t>POINT (104.534101 17.24551 0.0)</t>
  </si>
  <si>
    <t>RT22-SG-2276-0100-8+265</t>
  </si>
  <si>
    <t>POINT (104.533991 17.24524 0.0)</t>
  </si>
  <si>
    <t>RT23-SG-2270-0100-8+310</t>
  </si>
  <si>
    <t>POINT (104.533884 17.244897 0.0)</t>
  </si>
  <si>
    <t>RT24-SG-2276-0100-8+355</t>
  </si>
  <si>
    <t>POINT (104.533799 17.244567 0.0)</t>
  </si>
  <si>
    <t>RT25-SG-2270-0100-8+400</t>
  </si>
  <si>
    <t>POINT (104.533706 17.24425 0.0)</t>
  </si>
  <si>
    <t>RT26-SG-2276-0100-8+445</t>
  </si>
  <si>
    <t>POINT (104.533629 17.243939 0.0)</t>
  </si>
  <si>
    <t>RT27-SG-2270-0100-8+490</t>
  </si>
  <si>
    <t>POINT (104.533567 17.24362 0.0)</t>
  </si>
  <si>
    <t>RT28-SG-2276-0100-8+535</t>
  </si>
  <si>
    <t>POINT (104.533546 17.243283 0.0)</t>
  </si>
  <si>
    <t>RT29-SG-2276-0100-8+580</t>
  </si>
  <si>
    <t>POINT (104.533563 17.24296 0.0)</t>
  </si>
  <si>
    <t>RT30-SG-2276-0100-8+625</t>
  </si>
  <si>
    <t>POINT (104.533606 17.242649 0.0)</t>
  </si>
  <si>
    <t>RT31-SG-2276-0100-8+670</t>
  </si>
  <si>
    <t>POINT (104.533725 17.242013 0.0)</t>
  </si>
  <si>
    <t>RT32-SG-2276-0100-8+715</t>
  </si>
  <si>
    <t>POINT (104.533775 17.241687 0.0)</t>
  </si>
  <si>
    <t>RT33-SG-2276-0100-8+760</t>
  </si>
  <si>
    <t>POINT (104.533844 17.241296 0.0)</t>
  </si>
  <si>
    <t>RT34-SG-2276-0100-8+805</t>
  </si>
  <si>
    <t>POINT (104.53389 17.240944 0.0)</t>
  </si>
  <si>
    <t>RT35-SG-2276-0100-8+850</t>
  </si>
  <si>
    <t>POINT (104.529719 17.224547 0.0)</t>
  </si>
  <si>
    <t>RT36-SG-2276-0100-10+625</t>
  </si>
  <si>
    <t>POINT (104.529796 17.224923 0.0)</t>
  </si>
  <si>
    <t>RT37-SG-2276-0100-10+670</t>
  </si>
  <si>
    <t>POINT (104.529644 17.224182 0.0)</t>
  </si>
  <si>
    <t>RT38-SG-2276-0100-10+715</t>
  </si>
  <si>
    <t>POINT (104.529589 17.223842 0.0)</t>
  </si>
  <si>
    <t>RT39-SG-2276-0100-10+760</t>
  </si>
  <si>
    <t>POINT (104.529498 17.223492 0.0)</t>
  </si>
  <si>
    <t>RT40-SG-2276-0100-10+805</t>
  </si>
  <si>
    <t>POINT (104.529457 17.223232 0.0)</t>
  </si>
  <si>
    <t>RT41-SG-2276-0100-10+850</t>
  </si>
  <si>
    <t>POINT (104.529417 17.222978 0.0)</t>
  </si>
  <si>
    <t>RT42-SG-2276-0100-10+895</t>
  </si>
  <si>
    <t>POINT (104.529339 17.222686 0.0)</t>
  </si>
  <si>
    <t>RT42-SG-2276-0100-10+940</t>
  </si>
  <si>
    <t>POINT (104.529237 17.222291 0.0)</t>
  </si>
  <si>
    <t>RT43-SG-2276-0100-10+985</t>
  </si>
  <si>
    <t>POINT (104.52916 17.222013 0.0)</t>
  </si>
  <si>
    <t>RT44-SG-2276-0100-11+030</t>
  </si>
  <si>
    <t>POINT (104.529108 17.221678 0.0)</t>
  </si>
  <si>
    <t>RT46-SG-2276-0100-11+030</t>
  </si>
  <si>
    <t>POINT (104.529018 17.22139 0.0)</t>
  </si>
  <si>
    <t>RT47-SG-2276-0100-11+075</t>
  </si>
  <si>
    <t>POINT (104.528963 17.221055 0.0)</t>
  </si>
  <si>
    <t>RT48-SG-2276-0100-11+120</t>
  </si>
  <si>
    <t>POINT (104.528892 17.220799 0.0)</t>
  </si>
  <si>
    <t>RT49-SG-2276-0100-11+165</t>
  </si>
  <si>
    <t>POINT (104.528805 17.220417 0.0)</t>
  </si>
  <si>
    <t>RT50+SG-2276-0100-11+210</t>
  </si>
  <si>
    <t>POINT (104.528742 17.220148 0.0)</t>
  </si>
  <si>
    <t>RT51-SG-2276-0100-11+255</t>
  </si>
  <si>
    <t>POINT (104.528671 17.219798 0.0)</t>
  </si>
  <si>
    <t>RT52-SG-2276-0100-11+300</t>
  </si>
  <si>
    <t>POINT (104.528568 17.219387 0.0)</t>
  </si>
  <si>
    <t>RT53-SG-2276-0100-11+345</t>
  </si>
  <si>
    <t>POINT (104.528445 17.218897 0.0)</t>
  </si>
  <si>
    <t>RT54-SG-2276-0100-11+435</t>
  </si>
  <si>
    <t>POINT (104.528367 17.218533 0.0)</t>
  </si>
  <si>
    <t>RT55-SG-2276-0100-11+390</t>
  </si>
  <si>
    <t>POINT (104.528298 17.218141 0.0)</t>
  </si>
  <si>
    <t>RT56-SG-2276-0100-11+435</t>
  </si>
  <si>
    <t>POINT (104.526388 17.199103 0.0)</t>
  </si>
  <si>
    <t>RT57-SG-2276-0100-13+525</t>
  </si>
  <si>
    <t>POINT (104.526308 17.19854 0.0)</t>
  </si>
  <si>
    <t>RT58-SG-2276-0100-13+670</t>
  </si>
  <si>
    <t>POINT (104.526362 17.198087 0.0)</t>
  </si>
  <si>
    <t>RT59-SG-2276-0100-13+760</t>
  </si>
  <si>
    <t>POINT (104.526339 17.197522 0.0)</t>
  </si>
  <si>
    <t>RT60-SG-2276-0100-13+805</t>
  </si>
  <si>
    <t>POINT (104.526291 17.196929 0.0)</t>
  </si>
  <si>
    <t>RT61-SG-2276-0100-13+850</t>
  </si>
  <si>
    <t>POINT (104.526292 17.196433 0.0)</t>
  </si>
  <si>
    <t>RT62-SG-2276-0100-13+895</t>
  </si>
  <si>
    <t>POINT (104.526225 17.19589 0.0)</t>
  </si>
  <si>
    <t>RT64-SG-2276-0100-13+940</t>
  </si>
  <si>
    <t>POINT (104.5262 17.195393 0.0)</t>
  </si>
  <si>
    <t>RT65-SG-2276-0100-13+985</t>
  </si>
  <si>
    <t>POINT (104.526189 17.194864 0.0)</t>
  </si>
  <si>
    <t>RT66-SG-2276-0100-13+995</t>
  </si>
  <si>
    <t>POINT (104.526186 17.194392 0.0)</t>
  </si>
  <si>
    <t>RT67-SG-2276-0100-14+030</t>
  </si>
  <si>
    <t>POINT (104.526108 17.193738 0.0)</t>
  </si>
  <si>
    <t>RT68-SG-2276-0100-14+075</t>
  </si>
  <si>
    <t>POINT (104.526175 17.1922 0.0)</t>
  </si>
  <si>
    <t>RT69-SG-2276-0100-14+300</t>
  </si>
  <si>
    <t>POINT (104.52619 17.191853 0.0)</t>
  </si>
  <si>
    <t>RT70-SG-2276-0100-14+345</t>
  </si>
  <si>
    <t>POINT (104.52617 17.191247 0.0)</t>
  </si>
  <si>
    <t>RT71-SG-2276-0100-14+120</t>
  </si>
  <si>
    <t>POINT (104.526169 17.190812 0.0)</t>
  </si>
  <si>
    <t>RT72-SG-2276-0100-14+210</t>
  </si>
  <si>
    <t>POINT (104.52615 17.190274 0.0)</t>
  </si>
  <si>
    <t>RT73-SG-2276-0100-14+255</t>
  </si>
  <si>
    <t>POINT (104.526123 17.189884 0.0)</t>
  </si>
  <si>
    <t>RT74-SG-2276-0100-14+345</t>
  </si>
  <si>
    <t>POINT (104.5261 17.189337 0.0)</t>
  </si>
  <si>
    <t>RT75-SG-2276-0100-14+390</t>
  </si>
  <si>
    <t>POINT (104.526062 17.188894 0.0)</t>
  </si>
  <si>
    <t>RT76-SG-2276-0100-14+435</t>
  </si>
  <si>
    <t>POINT (104.526052 17.188407 0.0)</t>
  </si>
  <si>
    <t>RT77-SG-2276-0100-14+545</t>
  </si>
  <si>
    <t>POINT (104.52605 17.187996 0.0)</t>
  </si>
  <si>
    <t>RT78-SG-2276-0100-14+570</t>
  </si>
  <si>
    <t>POINT (104.526039 17.187512 0.0)</t>
  </si>
  <si>
    <t>RT79-SG-2276-0100-14+615</t>
  </si>
  <si>
    <t>POINT (104.526032 17.187031 0.0)</t>
  </si>
  <si>
    <t>RT80-SG-2276-0100-14+660</t>
  </si>
  <si>
    <t>POINT (104.526049 17.186533 0.0)</t>
  </si>
  <si>
    <t>RT81-SG-2276-0100-14+705</t>
  </si>
  <si>
    <t>POINT (104.526099 17.186054 0.0)</t>
  </si>
  <si>
    <t>RT82-SG-2276-0100-14+750</t>
  </si>
  <si>
    <t>POINT (104.526166 17.185559 0.0)</t>
  </si>
  <si>
    <t>RT83-SG-2276-0100-14+795</t>
  </si>
  <si>
    <t>POINT (104.526229 17.185173 0.0)</t>
  </si>
  <si>
    <t>RT84-SG-2276-0100-14+840</t>
  </si>
  <si>
    <t>POINT (104.526293 17.184755 0.0)</t>
  </si>
  <si>
    <t>RT85-SG-2276-0100-14+885</t>
  </si>
  <si>
    <t>POINT (104.526364 17.184184 0.0)</t>
  </si>
  <si>
    <t>RT86-SG-2276-0100-14+930</t>
  </si>
  <si>
    <t>POINT (104.526436 17.183773 0.0)</t>
  </si>
  <si>
    <t>RT87-SG-2276-0100-15+000</t>
  </si>
  <si>
    <t>POINT (104.526543 17.183388 0.0)</t>
  </si>
  <si>
    <t>RT88-SG-2276-0100-15+200</t>
  </si>
  <si>
    <t>POINT (104.526682 17.182946 0.0)</t>
  </si>
  <si>
    <t>RT89-SG-2276-0100-15+245</t>
  </si>
  <si>
    <t>POINT (104.526791 17.182569 0.0)</t>
  </si>
  <si>
    <t>RT90-SG-2276-0100-15+290</t>
  </si>
  <si>
    <t>POINT (104.526922 17.182264 0.0)</t>
  </si>
  <si>
    <t>RT91-SG-2276-0100-15+335</t>
  </si>
  <si>
    <t>POINT (104.527218 17.18197 0.0)</t>
  </si>
  <si>
    <t>RT92-SG-2276-0100-15+380</t>
  </si>
  <si>
    <t>POINT (104.527153 17.181536 0.0)</t>
  </si>
  <si>
    <t>RT93-SG-2276-0100-15+425</t>
  </si>
  <si>
    <t>POINT (104.527338 17.18099 0.0)</t>
  </si>
  <si>
    <t>RT94-SG-2276-0100-15+470</t>
  </si>
  <si>
    <t>POINT (104.527416 17.180779 0.0)</t>
  </si>
  <si>
    <t>RT95-SG-2276-0100-15+515</t>
  </si>
  <si>
    <t>POINT (104.527507 17.180501 0.0)</t>
  </si>
  <si>
    <t>RT96-SG-2276-0100-15+555</t>
  </si>
  <si>
    <t>POINT (104.52762 17.180139 0.0)</t>
  </si>
  <si>
    <t>POINT (104.527786 17.179529 0.0)</t>
  </si>
  <si>
    <t>RT98-SG-2276-0100-15+645</t>
  </si>
  <si>
    <t>POINT (104.527856 17.17928 0.0)</t>
  </si>
  <si>
    <t>RT99-SG-2276-0100-15+690</t>
  </si>
  <si>
    <t>POINT (104.527986 17.178868 0.0)</t>
  </si>
  <si>
    <t>RT100-SG-2276-0100-15+735</t>
  </si>
  <si>
    <t>POINT (104.528295 17.178472 0.0)</t>
  </si>
  <si>
    <t>RT101-SG-2276-0100-15+780</t>
  </si>
  <si>
    <t>POINT (104.528347 17.178099 0.0)</t>
  </si>
  <si>
    <t>RT102-SG-2276-0100-15+825</t>
  </si>
  <si>
    <t>POINT (104.602817 17.108719 0.0)</t>
  </si>
  <si>
    <t>RT103-SG-2276-0100-27+382</t>
  </si>
  <si>
    <t>POINT (104.603187 17.108641 0.0)</t>
  </si>
  <si>
    <t>RT104-SG-2276-0100-27+427</t>
  </si>
  <si>
    <t>POINT (104.603562 17.108565 0.0)</t>
  </si>
  <si>
    <t>RT105-SG-2276-0100-27+472</t>
  </si>
  <si>
    <t>POINT (104.603934 17.108492 0.0)</t>
  </si>
  <si>
    <t>RT106-SG-2276-0100-27+517</t>
  </si>
  <si>
    <t>POINT (104.604215 17.108435 0.0)</t>
  </si>
  <si>
    <t>RT107-SG-2276-0100-27+562</t>
  </si>
  <si>
    <t>POINT (104.604588 17.108356 0.0)</t>
  </si>
  <si>
    <t>RT108-SG-2276-0100-27+607</t>
  </si>
  <si>
    <t>POINT (104.604963 17.108279 0.0)</t>
  </si>
  <si>
    <t>RT109-SG-2276-0100-27+652</t>
  </si>
  <si>
    <t>POINT (104.60535 17.108204 0.0)</t>
  </si>
  <si>
    <t>RT110-SG-2276-0100-27+697</t>
  </si>
  <si>
    <t>POINT (104.608294 17.109292 0.0)</t>
  </si>
  <si>
    <t>RT112-SG-2276-0100-28+093</t>
  </si>
  <si>
    <t>POINT (104.608687 17.109098 0.0)</t>
  </si>
  <si>
    <t>RT113-SG-2276-0100-28+138</t>
  </si>
  <si>
    <t>POINT (104.609099 17.108939 0.0)</t>
  </si>
  <si>
    <t>RT114-SG-2276-0100-28+183</t>
  </si>
  <si>
    <t>POINT (104.60941 17.108789 0.0)</t>
  </si>
  <si>
    <t>RT115-SG-2276-0100-28+228</t>
  </si>
  <si>
    <t>POINT (104.607895 17.109579 0.0)</t>
  </si>
  <si>
    <t>RT111-SG-2276-0100-28+048</t>
  </si>
  <si>
    <t>POINT (104.621797 17.101893 0.0)</t>
  </si>
  <si>
    <t>RT117-SG-2276-0100-28+995</t>
  </si>
  <si>
    <t>POINT (104.621732 17.101533 0.0)</t>
  </si>
  <si>
    <t>RT118-SG-2276-0100-30+030</t>
  </si>
  <si>
    <t>POINT (104.621889 17.102349 0.0)</t>
  </si>
  <si>
    <t>RT116-SG-2276-0100-29+950</t>
  </si>
  <si>
    <t>POINT (104.621645 17.101089 0.0)</t>
  </si>
  <si>
    <t>RT119-SG-2276-0100-30+075</t>
  </si>
  <si>
    <t>POINT (104.621604 17.100521 0.0)</t>
  </si>
  <si>
    <t>RT120-SG-2276-0100-30+120</t>
  </si>
  <si>
    <t>POINT (104.621904 17.100347 0.0)</t>
  </si>
  <si>
    <t>POINT (104.622328 17.100269 0.0)</t>
  </si>
  <si>
    <t>RT122-SG-2276-0100-30+210</t>
  </si>
  <si>
    <t>POINT (104.622693 17.100191 0.0)</t>
  </si>
  <si>
    <t>RT123-SG-2276-0100-30+255</t>
  </si>
  <si>
    <t>POINT (104.674149 17.061281 0.0)</t>
  </si>
  <si>
    <t>RT124-SG-2276-0100-38+625</t>
  </si>
  <si>
    <t>POINT (104.674047 17.060934 0.0)</t>
  </si>
  <si>
    <t>RT125-SG-2276-0100-38+670</t>
  </si>
  <si>
    <t>POINT (104.67399 17.060542 0.0)</t>
  </si>
  <si>
    <t>RT126-SG-2276-0100-38+715</t>
  </si>
  <si>
    <t>POINT (104.673893 17.060016 0.0)</t>
  </si>
  <si>
    <t>RT127-SG-2276-0100-38+760</t>
  </si>
  <si>
    <t>POINT (104.673836 17.059611 0.0)</t>
  </si>
  <si>
    <t>RT128-SG-2276-0100-38+805</t>
  </si>
  <si>
    <t>POINT (104.673834 17.059247 0.0)</t>
  </si>
  <si>
    <t>RT129-SG-2276-0100-38+850</t>
  </si>
  <si>
    <t>POINT (104.674495 17.055785 0.0)</t>
  </si>
  <si>
    <t>RT130-SG-2276-0100-39+180</t>
  </si>
  <si>
    <t>POINT (104.674592 17.05533 0.0)</t>
  </si>
  <si>
    <t>RT131-SG-2276-0100-39+225</t>
  </si>
  <si>
    <t>POINT (104.674679 17.054954 0.0)</t>
  </si>
  <si>
    <t>RT132-SG-2276-0100-39+270</t>
  </si>
  <si>
    <t>POINT (104.674739 17.054665 0.0)</t>
  </si>
  <si>
    <t>RT133-SG-2276-0100-39+315</t>
  </si>
  <si>
    <t>POINT (104.674829 17.054236 0.0)</t>
  </si>
  <si>
    <t>RT134-SG-2276-0100-39+360</t>
  </si>
  <si>
    <t>POINT (104.674935 17.053741 0.0)</t>
  </si>
  <si>
    <t>RT135-SG-2276-0100-39+405</t>
  </si>
  <si>
    <t>POINT (104.675017 17.053256 0.0)</t>
  </si>
  <si>
    <t>RT136-SG-2276-0100-39+450</t>
  </si>
  <si>
    <t>POINT (104.675084 17.052952 0.0)</t>
  </si>
  <si>
    <t>RT137-SG-2276-0100-39+495</t>
  </si>
  <si>
    <t>POINT (104.675166 17.052524 0.0)</t>
  </si>
  <si>
    <t>RT138-SG-2276-0100-39+540</t>
  </si>
  <si>
    <t>POINT (104.675252 17.052135 0.0)</t>
  </si>
  <si>
    <t>RT139-SG-2276-0100-39+585</t>
  </si>
  <si>
    <t>POINT (104.67534 17.051763 0.0)</t>
  </si>
  <si>
    <t>RT140-SG-2276-0100-39+630</t>
  </si>
  <si>
    <t>POINT (104.675391 17.051514 0.0)</t>
  </si>
  <si>
    <t>RT141-SG-2276-0100-39+675</t>
  </si>
  <si>
    <t>POINT (104.675502 17.050994 0.0)</t>
  </si>
  <si>
    <t>RT142-SG-2276-0100-39+720</t>
  </si>
  <si>
    <t>POINT (104.526502 17.198908 0.0)</t>
  </si>
  <si>
    <t>LT2-SG-2276-0100-13+590</t>
  </si>
  <si>
    <t>POINT (104.526457 17.197723 0.0)</t>
  </si>
  <si>
    <t>LT4-SG-2276-0100-13+635</t>
  </si>
  <si>
    <t>POINT (104.526431 17.197181 0.0)</t>
  </si>
  <si>
    <t>LT5-SG-2276-0100-13+680</t>
  </si>
  <si>
    <t>POINT (104.526389 17.196692 0.0)</t>
  </si>
  <si>
    <t>LT6-SG-2276-0100-13+725</t>
  </si>
  <si>
    <t>POINT (104.526362 17.196127 0.0)</t>
  </si>
  <si>
    <t>LT7-SG-2276-0100-13+770</t>
  </si>
  <si>
    <t>POINT (104.526333 17.195619 0.0)</t>
  </si>
  <si>
    <t>LT8-SG-2276-0100-13+815</t>
  </si>
  <si>
    <t>POINT (104.526315 17.195076 0.0)</t>
  </si>
  <si>
    <t>LT8-SG-2276-0100-13+860</t>
  </si>
  <si>
    <t>POINT (104.526307 17.194581 0.0)</t>
  </si>
  <si>
    <t>LT9-SG-2276-0100-13+905</t>
  </si>
  <si>
    <t>POINT (104.526304 17.194085 0.0)</t>
  </si>
  <si>
    <t>LT10-SG-2276-0100-13+950</t>
  </si>
  <si>
    <t>POINT (104.526317 17.193509 0.0)</t>
  </si>
  <si>
    <t>LT11-SG-2276-0100-13+995</t>
  </si>
  <si>
    <t>POINT (104.526331 17.192951 0.0)</t>
  </si>
  <si>
    <t>LT12-SG-2276-0100-14+040</t>
  </si>
  <si>
    <t>POINT (104.526367 17.192438 0.0)</t>
  </si>
  <si>
    <t>LT13-SG-2276-0100-14+085</t>
  </si>
  <si>
    <t>POINT (104.52637 17.191991 0.0)</t>
  </si>
  <si>
    <t>LT14-SG-2276-0100-14+130</t>
  </si>
  <si>
    <t>POINT (104.526385 17.191515 0.0)</t>
  </si>
  <si>
    <t>POINT (104.526369 17.191119 0.0)</t>
  </si>
  <si>
    <t>LT16-SG-2276-0100-14+220</t>
  </si>
  <si>
    <t>POINT (104.526344 17.190532 0.0)</t>
  </si>
  <si>
    <t>LT17-SG-2276-0100-14+265</t>
  </si>
  <si>
    <t>POINT (104.526302 17.190103 0.0)</t>
  </si>
  <si>
    <t>LT18-SG-2276-0100-14+310</t>
  </si>
  <si>
    <t>POINT (104.526298 17.18958 0.0)</t>
  </si>
  <si>
    <t>LT19-SG-2276-0100-14+355</t>
  </si>
  <si>
    <t>POINT (104.526278 17.18911 0.0)</t>
  </si>
  <si>
    <t>LT20-SG-2276-0100-14+400</t>
  </si>
  <si>
    <t>POINT (104.526271 17.188719 0.0)</t>
  </si>
  <si>
    <t>LT21-SG-2276-0100-14+445</t>
  </si>
  <si>
    <t>POINT (104.526225 17.18818 0.0)</t>
  </si>
  <si>
    <t>LT22-SG-2276-0100-14+490</t>
  </si>
  <si>
    <t>POINT (104.526222 17.187718 0.0)</t>
  </si>
  <si>
    <t>LT23-SG-2276-0100-14+535</t>
  </si>
  <si>
    <t>POINT (104.526214 17.187236 0.0)</t>
  </si>
  <si>
    <t>LT24-SG-2276-0100-14+580</t>
  </si>
  <si>
    <t>POINT (104.526228 17.186756 0.0)</t>
  </si>
  <si>
    <t>LT25-SG-2276-0100-14+625</t>
  </si>
  <si>
    <t>POINT (104.52625 17.186347 0.0)</t>
  </si>
  <si>
    <t>LT26-SG-2276-0100-14+670</t>
  </si>
  <si>
    <t>POINT (104.526317 17.185833 0.0)</t>
  </si>
  <si>
    <t>LT27-SG-2276-0100-14+715</t>
  </si>
  <si>
    <t>POINT (104.526379 17.185398 0.0)</t>
  </si>
  <si>
    <t>LT28-SG-2276-0100-14+760</t>
  </si>
  <si>
    <t>POINT (104.526439 17.184942 0.0)</t>
  </si>
  <si>
    <t>LT29-SG-2276-0100-14+805</t>
  </si>
  <si>
    <t>POINT (104.526524 17.184439 0.0)</t>
  </si>
  <si>
    <t>LT30-SG-2276-0100-14+850</t>
  </si>
  <si>
    <t>POINT (104.526591 17.183979 0.0)</t>
  </si>
  <si>
    <t>LT31-SG-2276-0100-14+895</t>
  </si>
  <si>
    <t>POINT (104.526687 17.183577 0.0)</t>
  </si>
  <si>
    <t>LT32-SG-2276-0100-14+940</t>
  </si>
  <si>
    <t>POINT (104.526828 17.183123 0.0)</t>
  </si>
  <si>
    <t>LT33-SG-2276-0100-14+985</t>
  </si>
  <si>
    <t>POINT (104.526944 17.182672 0.0)</t>
  </si>
  <si>
    <t>LT34-SG-2276-0100-15+030</t>
  </si>
  <si>
    <t>POINT (104.527065 17.182357 0.0)</t>
  </si>
  <si>
    <t>LT35-SG-2276-0100-15+075</t>
  </si>
  <si>
    <t>POINT (104.527029 17.181941 0.0)</t>
  </si>
  <si>
    <t>LT36-SG-2276-0100-15+120</t>
  </si>
  <si>
    <t>POINT (104.527347 17.181592 0.0)</t>
  </si>
  <si>
    <t>LT37-SG-2276-0100-15+165</t>
  </si>
  <si>
    <t>POINT (104.527471 17.181159 0.0)</t>
  </si>
  <si>
    <t>LT38-SG-2276-0100-15+210</t>
  </si>
  <si>
    <t>POINT (104.527578 17.180836 0.0)</t>
  </si>
  <si>
    <t>LT39-SG-2276-0100-15+255</t>
  </si>
  <si>
    <t>POINT (104.527691 17.180402 0.0)</t>
  </si>
  <si>
    <t>LT40-SG-2276-0100-15+300</t>
  </si>
  <si>
    <t>POINT (104.527805 17.180054 0.0)</t>
  </si>
  <si>
    <t>LT41-SG-2276-0100-15+345</t>
  </si>
  <si>
    <t>POINT (104.527918 17.179661 0.0)</t>
  </si>
  <si>
    <t>LT42-SG-2276-0100-15+390</t>
  </si>
  <si>
    <t>POINT (104.528012 17.179309 0.0)</t>
  </si>
  <si>
    <t>LT43-SG-2276-0100-15+435</t>
  </si>
  <si>
    <t>POINT (104.528167 17.178867 0.0)</t>
  </si>
  <si>
    <t>LT44-SG-2276-0100-15+480</t>
  </si>
  <si>
    <t>POINT (104.528165 17.178484 0.0)</t>
  </si>
  <si>
    <t>LT45-SG-2276-0100-15+525</t>
  </si>
  <si>
    <t>POINT (104.528596 17.177939 0.0)</t>
  </si>
  <si>
    <t>LT46-SG-2276-0100-15+630</t>
  </si>
  <si>
    <t>POINT (104.528893 17.177665 0.0)</t>
  </si>
  <si>
    <t>LT47-SG-2276-0100-15+675</t>
  </si>
  <si>
    <t>POINT (104.530774 17.173475 0.0)</t>
  </si>
  <si>
    <t>LT48-SG-2276-0100-16+583</t>
  </si>
  <si>
    <t>POINT (104.53099 17.173293 0.0)</t>
  </si>
  <si>
    <t>LT49-SG-2276-0100-16+628</t>
  </si>
  <si>
    <t>POINT (104.531245 17.173152 0.0)</t>
  </si>
  <si>
    <t>LT50-SG-2276-0100-16+673</t>
  </si>
  <si>
    <t>POINT (104.531558 17.172938 0.0)</t>
  </si>
  <si>
    <t>LT51-SG-2276-0100-16+718</t>
  </si>
  <si>
    <t>POINT (104.531804 17.172764 0.0)</t>
  </si>
  <si>
    <t>LT52-SG-2276-0100-16+763</t>
  </si>
  <si>
    <t>POINT (104.532094 17.172535 0.0)</t>
  </si>
  <si>
    <t>LT53-SG-2276-0100-16+808</t>
  </si>
  <si>
    <t>POINT (104.532313 17.172359 0.0)</t>
  </si>
  <si>
    <t>LT54-SG-2276-0100-16+853</t>
  </si>
  <si>
    <t>POINT (104.532771 17.171982 0.0)</t>
  </si>
  <si>
    <t>LT55-SG-2276-0100-16+898</t>
  </si>
  <si>
    <t>POINT (104.532587 17.172164 0.0)</t>
  </si>
  <si>
    <t>LT56-SG-2276-0100-16+943</t>
  </si>
  <si>
    <t>POINT (104.533133 17.171693 0.0)</t>
  </si>
  <si>
    <t>LT57-SG-2276-0100-16+988</t>
  </si>
  <si>
    <t>POINT (104.53339 17.1715 0.0)</t>
  </si>
  <si>
    <t>LT58-SG-2276-0100-17+035</t>
  </si>
  <si>
    <t>POINT (104.533615 17.171326 0.0)</t>
  </si>
  <si>
    <t>LT59-SG-2276-0100-17+080</t>
  </si>
  <si>
    <t>POINT (104.533876 17.171118 0.0)</t>
  </si>
  <si>
    <t>LT60-SG-2276-0100-17+125</t>
  </si>
  <si>
    <t>POINT (104.534145 17.170904 0.0)</t>
  </si>
  <si>
    <t>LT61-SG-2276-0100-17+170</t>
  </si>
  <si>
    <t>POINT (104.540662 17.165985 0.0)</t>
  </si>
  <si>
    <t>LT62-SG-2276-0100-17+907</t>
  </si>
  <si>
    <t>POINT (104.540988 17.165724 0.0)</t>
  </si>
  <si>
    <t>LT63-SG-2276-0100-17+952</t>
  </si>
  <si>
    <t>POINT (104.541312 17.165493 0.0)</t>
  </si>
  <si>
    <t>LT64-SG-2276-0100-17+997</t>
  </si>
  <si>
    <t>POINT (104.541617 17.165252 0.0)</t>
  </si>
  <si>
    <t>LT65-SG-2276-0100-18+042</t>
  </si>
  <si>
    <t>POINT (104.541918 17.165005 0.0)</t>
  </si>
  <si>
    <t>LT66-SG-2276-0100-18+087</t>
  </si>
  <si>
    <t>POINT (104.542244 17.164741 0.0)</t>
  </si>
  <si>
    <t>LT67-SG-2276-0100-18+132</t>
  </si>
  <si>
    <t>POINT (104.542566 17.164467 0.0)</t>
  </si>
  <si>
    <t>LT68-SG-2276-0100-18+177</t>
  </si>
  <si>
    <t>POINT (104.542904 17.164187 0.0)</t>
  </si>
  <si>
    <t>LT69-SG-2276-0100-18+222</t>
  </si>
  <si>
    <t>POINT (104.543218 17.1639 0.0)</t>
  </si>
  <si>
    <t>LT70-SG-2276-0100-18+267</t>
  </si>
  <si>
    <t>POINT (104.543586 17.16359 0.0)</t>
  </si>
  <si>
    <t>LT71-SG-2276-0100-18+312</t>
  </si>
  <si>
    <t>POINT (104.543857 17.16334 0.0)</t>
  </si>
  <si>
    <t>LT72-SG-2276-0100-18+357</t>
  </si>
  <si>
    <t>POINT (104.544114 17.163014 0.0)</t>
  </si>
  <si>
    <t>LT73-SG-2276-0100-18+402</t>
  </si>
  <si>
    <t>POINT (104.544304 17.162632 0.0)</t>
  </si>
  <si>
    <t>LT74-SG-2276-0100-18+447</t>
  </si>
  <si>
    <t>POINT (104.544438 17.162238 0.0)</t>
  </si>
  <si>
    <t>LT75-SG-2276-0100-18+492</t>
  </si>
  <si>
    <t>POINT (104.550065 17.150138 0.0)</t>
  </si>
  <si>
    <t>LT76-SG-2276-0100-20+007</t>
  </si>
  <si>
    <t>POINT (104.550359 17.149777 0.0)</t>
  </si>
  <si>
    <t>LT77-SG-2276-0100-20+052</t>
  </si>
  <si>
    <t>POINT (104.550662 17.149459 0.0)</t>
  </si>
  <si>
    <t>LT78-SG-2276-0100-20+097</t>
  </si>
  <si>
    <t>POINT (104.55096 17.149127 0.0)</t>
  </si>
  <si>
    <t>LT79-SG-2276-0100-20+142</t>
  </si>
  <si>
    <t>POINT (104.551265 17.148836 0.0)</t>
  </si>
  <si>
    <t>LT80-SG-2276-0100-20+187</t>
  </si>
  <si>
    <t>POINT (104.551533 17.148546 0.0)</t>
  </si>
  <si>
    <t>LT81-SG-2276-0100-20+232</t>
  </si>
  <si>
    <t>POINT (104.551798 17.148292 0.0)</t>
  </si>
  <si>
    <t>LT82-SG-2276-0100-20+277</t>
  </si>
  <si>
    <t>POINT (104.552048 17.148059 0.0)</t>
  </si>
  <si>
    <t>LT83-SG-2276-0100-20+322</t>
  </si>
  <si>
    <t>POINT (104.552413 17.147698 0.0)</t>
  </si>
  <si>
    <t>LT84-SG-2276-0100-20+367</t>
  </si>
  <si>
    <t>POINT (104.552634 17.147253 0.0)</t>
  </si>
  <si>
    <t>LT85-SG-2276-0100-20+412</t>
  </si>
  <si>
    <t>POINT (104.552749 17.146969 0.0)</t>
  </si>
  <si>
    <t>LT86-SG-2276-0100-20+457</t>
  </si>
  <si>
    <t>POINT (104.552927 17.146704 0.0)</t>
  </si>
  <si>
    <t>LT87-SG-2276-0100-20+502</t>
  </si>
  <si>
    <t>POINT (104.553398 17.146627 0.0)</t>
  </si>
  <si>
    <t>LT88-SG-2276-0100-20+547</t>
  </si>
  <si>
    <t>POINT (104.55384 17.146474 0.0)</t>
  </si>
  <si>
    <t>LT89-SG-2276-0100-20+592</t>
  </si>
  <si>
    <t>POINT (104.554152 17.146258 0.0)</t>
  </si>
  <si>
    <t>LT90-SG-2276-0100-20+637</t>
  </si>
  <si>
    <t>POINT (104.554533 17.145998 0.0)</t>
  </si>
  <si>
    <t>LT91-SG-2276-0100-20+682</t>
  </si>
  <si>
    <t>POINT (104.554824 17.1458 0.0)</t>
  </si>
  <si>
    <t>LT92-SG-2276-0100-20+727</t>
  </si>
  <si>
    <t>POINT (104.55518 17.145563 0.0)</t>
  </si>
  <si>
    <t>LT93-SG-2276-0100-20+772</t>
  </si>
  <si>
    <t>POINT (104.555566 17.145298 0.0)</t>
  </si>
  <si>
    <t>LT94-SG-2276-0100-20+817</t>
  </si>
  <si>
    <t>POINT (104.555876 17.14509 0.0)</t>
  </si>
  <si>
    <t>LT95-SG-2276-0100-20+862</t>
  </si>
  <si>
    <t>POINT (104.556234 17.144831 0.0)</t>
  </si>
  <si>
    <t>LT96-SG-2276-0100-20+907</t>
  </si>
  <si>
    <t>POINT (104.556563 17.144626 0.0)</t>
  </si>
  <si>
    <t>LT97-SG-2276-0100-20+952</t>
  </si>
  <si>
    <t>POINT (104.556966 17.144373 0.0)</t>
  </si>
  <si>
    <t>LT98-SG-2276-0100-20+997</t>
  </si>
  <si>
    <t>POINT (104.557274 17.144141 0.0)</t>
  </si>
  <si>
    <t>LT99-SG-2276-0100-21+042</t>
  </si>
  <si>
    <t>POINT (104.557625 17.143864 0.0)</t>
  </si>
  <si>
    <t>LT100-SG-2276-0100-21+087</t>
  </si>
  <si>
    <t>POINT (104.557959 17.143682 0.0)</t>
  </si>
  <si>
    <t>LT101-SG-2276-0100-21+132</t>
  </si>
  <si>
    <t>POINT (104.558327 17.143471 0.0)</t>
  </si>
  <si>
    <t>LT102-SG-2276-0100-21+177</t>
  </si>
  <si>
    <t>POINT (104.558678 17.143299 0.0)</t>
  </si>
  <si>
    <t>LT103-SG-2276-0100-21+222</t>
  </si>
  <si>
    <t>POINT (104.559051 17.143102 0.0)</t>
  </si>
  <si>
    <t>LT104-SG-2276-0100-21+267</t>
  </si>
  <si>
    <t>POINT (104.559434 17.142854 0.0)</t>
  </si>
  <si>
    <t>LT105-SG-2276-0100-21+312</t>
  </si>
  <si>
    <t>POINT (104.563858 17.138268 0.0)</t>
  </si>
  <si>
    <t>LT106-SG-2276-0100-22+007</t>
  </si>
  <si>
    <t>POINT (104.564185 17.138042 0.0)</t>
  </si>
  <si>
    <t>LT107-SG-2276-0100-22+052</t>
  </si>
  <si>
    <t>POINT (104.564524 17.137843 0.0)</t>
  </si>
  <si>
    <t>LT108-SG-2276-0100-22+097</t>
  </si>
  <si>
    <t>POINT (104.564958 17.137632 0.0)</t>
  </si>
  <si>
    <t>LT109-SG-2276-0100-22+142</t>
  </si>
  <si>
    <t>POINT (104.565306 17.137475 0.0)</t>
  </si>
  <si>
    <t>LT110-SG-2276-0100-22+187</t>
  </si>
  <si>
    <t>POINT (104.565696 17.137294 0.0)</t>
  </si>
  <si>
    <t>LT111-SG-2276-0100-22+232</t>
  </si>
  <si>
    <t>POINT (104.566127 17.137089 0.0)</t>
  </si>
  <si>
    <t>LT112-SG-2276-0100-22+277</t>
  </si>
  <si>
    <t>POINT (104.566463 17.136934 0.0)</t>
  </si>
  <si>
    <t>LT113-SG-2276-0100-22+322</t>
  </si>
  <si>
    <t>POINT (104.566886 17.136729 0.0)</t>
  </si>
  <si>
    <t>LT114-SG-2276-0100-22+367</t>
  </si>
  <si>
    <t>POINT (104.567213 17.136549 0.0)</t>
  </si>
  <si>
    <t>LT115-SG-2276-0100-22+412</t>
  </si>
  <si>
    <t>POINT (104.601978 17.108893 0.0)</t>
  </si>
  <si>
    <t>LT116-SG-2276-0100-27+317</t>
  </si>
  <si>
    <t>POINT (104.602631 17.108758 0.0)</t>
  </si>
  <si>
    <t>LT117-SG-2276-0100-27+362</t>
  </si>
  <si>
    <t>POINT (104.60291 17.108699 0.0)</t>
  </si>
  <si>
    <t>LT118-SG-2276-0100-27+407</t>
  </si>
  <si>
    <t>POINT (104.603281 17.108622 0.0)</t>
  </si>
  <si>
    <t>LT119-SG-2276-0100-27+452</t>
  </si>
  <si>
    <t>POINT (104.603749 17.108528 0.0)</t>
  </si>
  <si>
    <t>LT120-SG-2276-0100-27+497</t>
  </si>
  <si>
    <t>POINT (104.604028 17.108473 0.0)</t>
  </si>
  <si>
    <t>LT121-SG-2276-0100-27+542</t>
  </si>
  <si>
    <t>POINT (104.604401 17.108395 0.0)</t>
  </si>
  <si>
    <t>LT122-SG-2276-0100-27+578</t>
  </si>
  <si>
    <t>POINT (104.604775 17.108317 0.0)</t>
  </si>
  <si>
    <t>LT123-SG-2276-0100-27+632</t>
  </si>
  <si>
    <t>POINT (104.60506 17.10826 0.0)</t>
  </si>
  <si>
    <t>LT124-SG-2276-0100-27+677</t>
  </si>
  <si>
    <t>POINT (104.605447 17.108183 0.0)</t>
  </si>
  <si>
    <t>LT125-SG-2276-0100-27+722</t>
  </si>
  <si>
    <t>POINT (104.607663 17.109761 0.0)</t>
  </si>
  <si>
    <t>LT126-SG-2276-0100-28+013</t>
  </si>
  <si>
    <t>POINT (104.62097 17.105112 0.0)</t>
  </si>
  <si>
    <t>LT127-SG-2276-0100-29+527</t>
  </si>
  <si>
    <t>POINT (104.621243 17.105029 0.0)</t>
  </si>
  <si>
    <t>LT128-SG-2276-0100-29+572</t>
  </si>
  <si>
    <t>POINT (104.621701 17.104886 0.0)</t>
  </si>
  <si>
    <t>LT129-SG-2276-0100-29+617</t>
  </si>
  <si>
    <t>POINT (104.622169 17.104677 0.0)</t>
  </si>
  <si>
    <t>LT130-SG-2276-0100-29+662</t>
  </si>
  <si>
    <t>POINT (104.622254 17.104254 0.0)</t>
  </si>
  <si>
    <t>LT131-SG-2276-0100-29+707</t>
  </si>
  <si>
    <t>POINT (104.622187 17.103962 0.0)</t>
  </si>
  <si>
    <t>LT132-SG-2276-0100-29+752</t>
  </si>
  <si>
    <t>POINT (104.6221 17.103504 0.0)</t>
  </si>
  <si>
    <t>LT133-SG-2276-0100-29+797</t>
  </si>
  <si>
    <t>POINT (104.62204 17.103138 0.0)</t>
  </si>
  <si>
    <t>LT134-SG-2276-0100-29+842</t>
  </si>
  <si>
    <t>POINT (104.621926 17.102625 0.0)</t>
  </si>
  <si>
    <t>LT135-SG-2276-0100-29+887</t>
  </si>
  <si>
    <t>POINT (104.664338 17.090036 0.0)</t>
  </si>
  <si>
    <t>LT136-SG-2276-0100-34+835</t>
  </si>
  <si>
    <t>POINT (104.664821 17.08996 0.0)</t>
  </si>
  <si>
    <t>LT137-SG-2276-0100-34+880</t>
  </si>
  <si>
    <t>POINT (104.665232 17.08981 0.0)</t>
  </si>
  <si>
    <t>LT138-SG-2276-0100-34+925</t>
  </si>
  <si>
    <t>POINT (104.665647 17.089606 0.0)</t>
  </si>
  <si>
    <t>LT139-SG-2276-0100-34+970</t>
  </si>
  <si>
    <t>POINT (104.665958 17.089338 0.0)</t>
  </si>
  <si>
    <t>LT140-SG-2276-0100-35+015</t>
  </si>
  <si>
    <t>POINT (104.666235 17.089068 0.0)</t>
  </si>
  <si>
    <t>LT141-SG-2276-0100-35+060</t>
  </si>
  <si>
    <t>POINT (104.666495 17.088822 0.0)</t>
  </si>
  <si>
    <t>LT142-SG-2276-0100-35+105</t>
  </si>
  <si>
    <t>POINT (104.666817 17.08851 0.0)</t>
  </si>
  <si>
    <t>LT143-SG-2276-0100-35+150</t>
  </si>
  <si>
    <t>POINT (104.667099 17.088242 0.0)</t>
  </si>
  <si>
    <t>LT144-SG-2276-0100-35+195</t>
  </si>
  <si>
    <t>POINT (104.667717 17.087656 0.0)</t>
  </si>
  <si>
    <t>LT145-SG-2276-0100-35+285</t>
  </si>
  <si>
    <t>POINT (104.668023 17.087335 0.0)</t>
  </si>
  <si>
    <t>LT146-SG-2276-0100-35+330</t>
  </si>
  <si>
    <t>POINT (104.668237 17.087071 0.0)</t>
  </si>
  <si>
    <t>LT147-SG-2276-0100-35+375</t>
  </si>
  <si>
    <t>POINT (104.668525 17.086705 0.0)</t>
  </si>
  <si>
    <t>LT148-SG-2276-0100-35+420</t>
  </si>
  <si>
    <t>POINT (104.668767 17.086399 0.0)</t>
  </si>
  <si>
    <t>LT149-SG-2276-0100-35+465</t>
  </si>
  <si>
    <t>POINT (104.668995 17.086085 0.0)</t>
  </si>
  <si>
    <t>LT150-SG-2275-0100-35+510</t>
  </si>
  <si>
    <t>POINT (104.669233 17.08576 0.0)</t>
  </si>
  <si>
    <t>LT151-SG-2276-0100-35+555</t>
  </si>
  <si>
    <t>POINT (104.66949 17.085417 0.0)</t>
  </si>
  <si>
    <t>LT152-SG-2276-0100-35+600</t>
  </si>
  <si>
    <t>POINT (104.669715 17.085106 0.0)</t>
  </si>
  <si>
    <t>LT153-SG-2276-0100-35+645</t>
  </si>
  <si>
    <t>POINT (104.66998 17.084768 0.0)</t>
  </si>
  <si>
    <t>LT154-SG-2276-0100-35+690</t>
  </si>
  <si>
    <t>RT97-SG-2276-0100-15+600</t>
  </si>
  <si>
    <t>LT15-SG-2276-0100-14+175</t>
  </si>
  <si>
    <t>RT121-SG-2276-0100-30+165</t>
  </si>
  <si>
    <t>ประเภทโคมไฟ</t>
  </si>
  <si>
    <t>ทิศทางที่ตั้ง (LT/RT/MD)</t>
  </si>
  <si>
    <t>สถานะ</t>
  </si>
  <si>
    <t>ชนิดของหลอดไฟ</t>
  </si>
  <si>
    <t>ตู้คอนโทรล</t>
  </si>
  <si>
    <t>วันที่ก่อสร้าง</t>
  </si>
  <si>
    <t>สัญญาที่</t>
  </si>
  <si>
    <t>สายทาง</t>
  </si>
  <si>
    <t>ตอนควบคุม</t>
  </si>
  <si>
    <t>กม.</t>
  </si>
  <si>
    <t>วันที่ซ่อมครั้งล่าสุด</t>
  </si>
  <si>
    <t>สาเหตุการเสียหาย</t>
  </si>
  <si>
    <t>วิธีการซ่อม</t>
  </si>
  <si>
    <t>หมายเหตุ</t>
  </si>
  <si>
    <t>Lat</t>
  </si>
  <si>
    <t>Long</t>
  </si>
  <si>
    <t>104.5496</t>
  </si>
  <si>
    <t xml:space="preserve"> 17.3153</t>
  </si>
  <si>
    <t xml:space="preserve"> 17.3150</t>
  </si>
  <si>
    <t>17.3147</t>
  </si>
  <si>
    <t xml:space="preserve"> 17.3143</t>
  </si>
  <si>
    <t>104.5495</t>
  </si>
  <si>
    <t xml:space="preserve"> 17.3144</t>
  </si>
  <si>
    <t>104.5359</t>
  </si>
  <si>
    <t>17.2528</t>
  </si>
  <si>
    <t xml:space="preserve"> 17.2525</t>
  </si>
  <si>
    <t>104.5358</t>
  </si>
  <si>
    <t>17.2521</t>
  </si>
  <si>
    <t xml:space="preserve"> 17.2518</t>
  </si>
  <si>
    <t>104.5357</t>
  </si>
  <si>
    <t xml:space="preserve"> 17.2515</t>
  </si>
  <si>
    <t xml:space="preserve"> 17.2511</t>
  </si>
  <si>
    <t>104.5356</t>
  </si>
  <si>
    <t xml:space="preserve"> 17.2507</t>
  </si>
  <si>
    <t>104.5355</t>
  </si>
  <si>
    <t xml:space="preserve"> 17.2503</t>
  </si>
  <si>
    <t>104.5354</t>
  </si>
  <si>
    <t xml:space="preserve"> 17.2499</t>
  </si>
  <si>
    <t>104.5353</t>
  </si>
  <si>
    <t xml:space="preserve"> 17.2495</t>
  </si>
  <si>
    <t>104.5352</t>
  </si>
  <si>
    <t xml:space="preserve"> 17.2491</t>
  </si>
  <si>
    <t>104.5351</t>
  </si>
  <si>
    <t xml:space="preserve"> 17.2488</t>
  </si>
  <si>
    <t>104.5350</t>
  </si>
  <si>
    <t xml:space="preserve"> 17.2483</t>
  </si>
  <si>
    <t>104.5349</t>
  </si>
  <si>
    <t xml:space="preserve"> 17.2479</t>
  </si>
  <si>
    <t>104.5347</t>
  </si>
  <si>
    <t xml:space="preserve"> 17.2475</t>
  </si>
  <si>
    <t>104.5346</t>
  </si>
  <si>
    <t xml:space="preserve"> 17.2472</t>
  </si>
  <si>
    <t>104.5345</t>
  </si>
  <si>
    <t xml:space="preserve"> 17.2468</t>
  </si>
  <si>
    <t>104.5344</t>
  </si>
  <si>
    <t xml:space="preserve"> 17.2464</t>
  </si>
  <si>
    <t>104.5343</t>
  </si>
  <si>
    <t xml:space="preserve"> 17.2460</t>
  </si>
  <si>
    <t>104.5341</t>
  </si>
  <si>
    <t xml:space="preserve"> 17.2457</t>
  </si>
  <si>
    <t xml:space="preserve"> 17.2455</t>
  </si>
  <si>
    <t>104.5339</t>
  </si>
  <si>
    <t xml:space="preserve"> 17.2452</t>
  </si>
  <si>
    <t>104.5338</t>
  </si>
  <si>
    <t xml:space="preserve"> 17.2448</t>
  </si>
  <si>
    <t>104.5337</t>
  </si>
  <si>
    <t xml:space="preserve"> 17.2445</t>
  </si>
  <si>
    <t xml:space="preserve"> 17.2442</t>
  </si>
  <si>
    <t>104.5336</t>
  </si>
  <si>
    <t xml:space="preserve"> 17.2439</t>
  </si>
  <si>
    <t>104.5335</t>
  </si>
  <si>
    <t xml:space="preserve"> 17.2436</t>
  </si>
  <si>
    <t xml:space="preserve"> 17.2432</t>
  </si>
  <si>
    <t xml:space="preserve"> 17.2429</t>
  </si>
  <si>
    <t xml:space="preserve"> 17.2426</t>
  </si>
  <si>
    <t xml:space="preserve"> 17.2420</t>
  </si>
  <si>
    <t xml:space="preserve"> 17.2416</t>
  </si>
  <si>
    <t xml:space="preserve"> 17.2412</t>
  </si>
  <si>
    <t>17.2409</t>
  </si>
  <si>
    <t>104.5297</t>
  </si>
  <si>
    <t xml:space="preserve"> 17.2245</t>
  </si>
  <si>
    <t xml:space="preserve"> 17.2249</t>
  </si>
  <si>
    <t>104.5296</t>
  </si>
  <si>
    <t xml:space="preserve"> 17.2241</t>
  </si>
  <si>
    <t>104.5295</t>
  </si>
  <si>
    <t xml:space="preserve"> 17.2238</t>
  </si>
  <si>
    <t>104.5294</t>
  </si>
  <si>
    <t xml:space="preserve"> 17.2234</t>
  </si>
  <si>
    <t xml:space="preserve"> 17.2232</t>
  </si>
  <si>
    <t xml:space="preserve"> 17.2229</t>
  </si>
  <si>
    <t>104.5293</t>
  </si>
  <si>
    <t xml:space="preserve"> 17.2226</t>
  </si>
  <si>
    <t>104.5292</t>
  </si>
  <si>
    <t xml:space="preserve"> 17.2222</t>
  </si>
  <si>
    <t>104.5291</t>
  </si>
  <si>
    <t>17.2220</t>
  </si>
  <si>
    <t xml:space="preserve"> 17.2216</t>
  </si>
  <si>
    <t>104.5290</t>
  </si>
  <si>
    <t xml:space="preserve"> 17.2213</t>
  </si>
  <si>
    <t>104.5289</t>
  </si>
  <si>
    <t xml:space="preserve"> 17.2210</t>
  </si>
  <si>
    <t>104.5288</t>
  </si>
  <si>
    <t xml:space="preserve"> 17.2207</t>
  </si>
  <si>
    <t xml:space="preserve"> 17.2204</t>
  </si>
  <si>
    <t>104.5287</t>
  </si>
  <si>
    <t xml:space="preserve"> 17.2201</t>
  </si>
  <si>
    <t>104.5286</t>
  </si>
  <si>
    <t xml:space="preserve"> 17.2197</t>
  </si>
  <si>
    <t>104.5285</t>
  </si>
  <si>
    <t xml:space="preserve"> 17.2193</t>
  </si>
  <si>
    <t>104.5284</t>
  </si>
  <si>
    <t xml:space="preserve"> 17.2188</t>
  </si>
  <si>
    <t>104.5283</t>
  </si>
  <si>
    <t xml:space="preserve"> 17.2185</t>
  </si>
  <si>
    <t>104.5282</t>
  </si>
  <si>
    <t xml:space="preserve"> 17.2181</t>
  </si>
  <si>
    <t>104.5263</t>
  </si>
  <si>
    <t xml:space="preserve"> 17.1991</t>
  </si>
  <si>
    <t xml:space="preserve"> 17.1985</t>
  </si>
  <si>
    <t xml:space="preserve"> 17.1980</t>
  </si>
  <si>
    <t xml:space="preserve"> 17.1975</t>
  </si>
  <si>
    <t>104.5262</t>
  </si>
  <si>
    <t xml:space="preserve"> 17.1969</t>
  </si>
  <si>
    <t xml:space="preserve"> 17.1964</t>
  </si>
  <si>
    <t xml:space="preserve"> 17.1958</t>
  </si>
  <si>
    <t>17.1953</t>
  </si>
  <si>
    <t>104.5261</t>
  </si>
  <si>
    <t xml:space="preserve"> 17.1948</t>
  </si>
  <si>
    <t xml:space="preserve"> 17.1943</t>
  </si>
  <si>
    <t xml:space="preserve"> 17.1937</t>
  </si>
  <si>
    <t xml:space="preserve"> 17.1922</t>
  </si>
  <si>
    <t>17.1918</t>
  </si>
  <si>
    <t>17.1912</t>
  </si>
  <si>
    <t xml:space="preserve"> 17.1908</t>
  </si>
  <si>
    <t>17.1902</t>
  </si>
  <si>
    <t xml:space="preserve"> 17.1898</t>
  </si>
  <si>
    <t>17.1893</t>
  </si>
  <si>
    <t>104.5260</t>
  </si>
  <si>
    <t xml:space="preserve"> 17.1888</t>
  </si>
  <si>
    <t xml:space="preserve"> 17.1884</t>
  </si>
  <si>
    <t>17.1879</t>
  </si>
  <si>
    <t xml:space="preserve"> 17.1875</t>
  </si>
  <si>
    <t xml:space="preserve"> 17.1870</t>
  </si>
  <si>
    <t xml:space="preserve"> 17.1865</t>
  </si>
  <si>
    <t xml:space="preserve"> 17.1860</t>
  </si>
  <si>
    <t xml:space="preserve"> 17.1855</t>
  </si>
  <si>
    <t xml:space="preserve"> 17.1851</t>
  </si>
  <si>
    <t xml:space="preserve"> 17.1847</t>
  </si>
  <si>
    <t xml:space="preserve"> 17.1841</t>
  </si>
  <si>
    <t>104.5264</t>
  </si>
  <si>
    <t xml:space="preserve"> 17.1837</t>
  </si>
  <si>
    <t>104.5265</t>
  </si>
  <si>
    <t xml:space="preserve"> 17.1833</t>
  </si>
  <si>
    <t>104.5266</t>
  </si>
  <si>
    <t xml:space="preserve"> 17.1829</t>
  </si>
  <si>
    <t>104.5267</t>
  </si>
  <si>
    <t xml:space="preserve"> 17.1825</t>
  </si>
  <si>
    <t>104.5269</t>
  </si>
  <si>
    <t xml:space="preserve"> 17.1822</t>
  </si>
  <si>
    <t>104.5272</t>
  </si>
  <si>
    <t xml:space="preserve"> 17.1819</t>
  </si>
  <si>
    <t>104.5271</t>
  </si>
  <si>
    <t xml:space="preserve"> 17.1815</t>
  </si>
  <si>
    <t>104.5273</t>
  </si>
  <si>
    <t xml:space="preserve"> 17.1809</t>
  </si>
  <si>
    <t>104.5274</t>
  </si>
  <si>
    <t xml:space="preserve"> 17.1807</t>
  </si>
  <si>
    <t>104.5275</t>
  </si>
  <si>
    <t xml:space="preserve"> 17.1805</t>
  </si>
  <si>
    <t>104.5276</t>
  </si>
  <si>
    <t>17.1801</t>
  </si>
  <si>
    <t>104.5277</t>
  </si>
  <si>
    <t xml:space="preserve"> 17.1795</t>
  </si>
  <si>
    <t>104.5278</t>
  </si>
  <si>
    <t xml:space="preserve"> 17.1792</t>
  </si>
  <si>
    <t>104.5279</t>
  </si>
  <si>
    <t xml:space="preserve"> 17.1788</t>
  </si>
  <si>
    <t xml:space="preserve"> 17.1784</t>
  </si>
  <si>
    <t xml:space="preserve"> 17.1780</t>
  </si>
  <si>
    <t>104.6028</t>
  </si>
  <si>
    <t xml:space="preserve"> 17.1087</t>
  </si>
  <si>
    <t>104.6031</t>
  </si>
  <si>
    <t xml:space="preserve"> 17.1086</t>
  </si>
  <si>
    <t>104.6035</t>
  </si>
  <si>
    <t xml:space="preserve"> 17.1085</t>
  </si>
  <si>
    <t>104.6039</t>
  </si>
  <si>
    <t xml:space="preserve"> 17.1084</t>
  </si>
  <si>
    <t>104.6042</t>
  </si>
  <si>
    <t>104.6045</t>
  </si>
  <si>
    <t xml:space="preserve"> 17.1083</t>
  </si>
  <si>
    <t>104.6049</t>
  </si>
  <si>
    <t xml:space="preserve"> 17.1082</t>
  </si>
  <si>
    <t>104.6053</t>
  </si>
  <si>
    <t>17.1082</t>
  </si>
  <si>
    <t>104.6082</t>
  </si>
  <si>
    <t xml:space="preserve"> 17.1092</t>
  </si>
  <si>
    <t>104.6086</t>
  </si>
  <si>
    <t xml:space="preserve"> 17.1090</t>
  </si>
  <si>
    <t>104.6090</t>
  </si>
  <si>
    <t xml:space="preserve"> 17.1089</t>
  </si>
  <si>
    <t>104.6094</t>
  </si>
  <si>
    <t>17.1087</t>
  </si>
  <si>
    <t>104.6078</t>
  </si>
  <si>
    <t xml:space="preserve"> 17.1095</t>
  </si>
  <si>
    <t>104.6217</t>
  </si>
  <si>
    <t xml:space="preserve"> 17.1018</t>
  </si>
  <si>
    <t xml:space="preserve"> 17.1015</t>
  </si>
  <si>
    <t>104.6218</t>
  </si>
  <si>
    <t xml:space="preserve"> 17.1023</t>
  </si>
  <si>
    <t>104.6216</t>
  </si>
  <si>
    <t xml:space="preserve"> 17.1010</t>
  </si>
  <si>
    <t xml:space="preserve"> 17.1005</t>
  </si>
  <si>
    <t>104.6219</t>
  </si>
  <si>
    <t xml:space="preserve"> 17.1003</t>
  </si>
  <si>
    <t>104.6223</t>
  </si>
  <si>
    <t xml:space="preserve"> 17.1002</t>
  </si>
  <si>
    <t>104.6226</t>
  </si>
  <si>
    <t xml:space="preserve"> 17.1001</t>
  </si>
  <si>
    <t>104.6741</t>
  </si>
  <si>
    <t xml:space="preserve"> 17.0612</t>
  </si>
  <si>
    <t>104.6740</t>
  </si>
  <si>
    <t xml:space="preserve"> 17.0609</t>
  </si>
  <si>
    <t>104.6739</t>
  </si>
  <si>
    <t>17.0605</t>
  </si>
  <si>
    <t>104.6738</t>
  </si>
  <si>
    <t xml:space="preserve"> 17.0600</t>
  </si>
  <si>
    <t xml:space="preserve"> 17.0596</t>
  </si>
  <si>
    <t xml:space="preserve"> 17.0592</t>
  </si>
  <si>
    <t>104.6744</t>
  </si>
  <si>
    <t xml:space="preserve"> 17.0557</t>
  </si>
  <si>
    <t>104.6745</t>
  </si>
  <si>
    <t xml:space="preserve"> 17.0553</t>
  </si>
  <si>
    <t>104.6746</t>
  </si>
  <si>
    <t xml:space="preserve"> 17.0549</t>
  </si>
  <si>
    <t>104.6747</t>
  </si>
  <si>
    <t xml:space="preserve"> 17.0546</t>
  </si>
  <si>
    <t>104.6748</t>
  </si>
  <si>
    <t xml:space="preserve"> 17.0542</t>
  </si>
  <si>
    <t>104.6749</t>
  </si>
  <si>
    <t xml:space="preserve"> 17.0537</t>
  </si>
  <si>
    <t>104.6750</t>
  </si>
  <si>
    <t xml:space="preserve"> 17.0532</t>
  </si>
  <si>
    <t xml:space="preserve"> 17.0529</t>
  </si>
  <si>
    <t>104.6751</t>
  </si>
  <si>
    <t xml:space="preserve"> 17.0525</t>
  </si>
  <si>
    <t>104.6752</t>
  </si>
  <si>
    <t xml:space="preserve"> 17.0521</t>
  </si>
  <si>
    <t>104.6753</t>
  </si>
  <si>
    <t>17.0517</t>
  </si>
  <si>
    <t xml:space="preserve"> 17.0515</t>
  </si>
  <si>
    <t>104.6755</t>
  </si>
  <si>
    <t xml:space="preserve"> 17.0509</t>
  </si>
  <si>
    <t xml:space="preserve"> 17.1989</t>
  </si>
  <si>
    <t xml:space="preserve"> 17.1977</t>
  </si>
  <si>
    <t xml:space="preserve"> 17.1971</t>
  </si>
  <si>
    <t xml:space="preserve"> 17.1966</t>
  </si>
  <si>
    <t xml:space="preserve"> 17.1961</t>
  </si>
  <si>
    <t xml:space="preserve"> 17.1956</t>
  </si>
  <si>
    <t xml:space="preserve"> 17.1950</t>
  </si>
  <si>
    <t xml:space="preserve"> 17.1945</t>
  </si>
  <si>
    <t xml:space="preserve"> 17.1940</t>
  </si>
  <si>
    <t xml:space="preserve"> 17.1935</t>
  </si>
  <si>
    <t xml:space="preserve"> 17.1929</t>
  </si>
  <si>
    <t xml:space="preserve"> 17.1924</t>
  </si>
  <si>
    <t>17.1919</t>
  </si>
  <si>
    <t xml:space="preserve"> 17.1915</t>
  </si>
  <si>
    <t xml:space="preserve"> 17.1911</t>
  </si>
  <si>
    <t xml:space="preserve"> 17.1905</t>
  </si>
  <si>
    <t xml:space="preserve"> 17.1901</t>
  </si>
  <si>
    <t xml:space="preserve"> 17.1895</t>
  </si>
  <si>
    <t xml:space="preserve"> 17.1891</t>
  </si>
  <si>
    <t xml:space="preserve"> 17.1887</t>
  </si>
  <si>
    <t xml:space="preserve"> 17.1881</t>
  </si>
  <si>
    <t xml:space="preserve"> 17.1877</t>
  </si>
  <si>
    <t xml:space="preserve"> 17.1872</t>
  </si>
  <si>
    <t xml:space="preserve"> 17.1867</t>
  </si>
  <si>
    <t>17.1863</t>
  </si>
  <si>
    <t xml:space="preserve"> 17.1858</t>
  </si>
  <si>
    <t xml:space="preserve"> 17.1853</t>
  </si>
  <si>
    <t xml:space="preserve"> 17.1849</t>
  </si>
  <si>
    <t xml:space="preserve"> 17.1844</t>
  </si>
  <si>
    <t xml:space="preserve"> 17.1839</t>
  </si>
  <si>
    <t xml:space="preserve"> 17.1835</t>
  </si>
  <si>
    <t>104.5268</t>
  </si>
  <si>
    <t xml:space="preserve"> 17.1831</t>
  </si>
  <si>
    <t xml:space="preserve"> 17.1826</t>
  </si>
  <si>
    <t>104.5270</t>
  </si>
  <si>
    <t xml:space="preserve"> 17.1823</t>
  </si>
  <si>
    <t xml:space="preserve"> 17.1811</t>
  </si>
  <si>
    <t xml:space="preserve"> 17.1808</t>
  </si>
  <si>
    <t xml:space="preserve"> 17.1804</t>
  </si>
  <si>
    <t xml:space="preserve"> 17.1800</t>
  </si>
  <si>
    <t xml:space="preserve"> 17.1796</t>
  </si>
  <si>
    <t>104.5280</t>
  </si>
  <si>
    <t xml:space="preserve"> 17.1793</t>
  </si>
  <si>
    <t>104.5281</t>
  </si>
  <si>
    <t xml:space="preserve"> 17.1779</t>
  </si>
  <si>
    <t xml:space="preserve"> 17.1776</t>
  </si>
  <si>
    <t>104.5307</t>
  </si>
  <si>
    <t xml:space="preserve"> 17.1734</t>
  </si>
  <si>
    <t>104.5309</t>
  </si>
  <si>
    <t>17.1732</t>
  </si>
  <si>
    <t>104.5312</t>
  </si>
  <si>
    <t xml:space="preserve"> 17.1731</t>
  </si>
  <si>
    <t>104.5315</t>
  </si>
  <si>
    <t xml:space="preserve"> 17.1729</t>
  </si>
  <si>
    <t>104.5318</t>
  </si>
  <si>
    <t xml:space="preserve"> 17.1727</t>
  </si>
  <si>
    <t>104.5320</t>
  </si>
  <si>
    <t xml:space="preserve"> 17.1725</t>
  </si>
  <si>
    <t>104.5323</t>
  </si>
  <si>
    <t xml:space="preserve"> 17.1723</t>
  </si>
  <si>
    <t>104.5327</t>
  </si>
  <si>
    <t xml:space="preserve"> 17.1719</t>
  </si>
  <si>
    <t>104.5325</t>
  </si>
  <si>
    <t xml:space="preserve"> 17.1721</t>
  </si>
  <si>
    <t>104.5331</t>
  </si>
  <si>
    <t xml:space="preserve"> 17.1716</t>
  </si>
  <si>
    <t>104.5333</t>
  </si>
  <si>
    <t xml:space="preserve">17.1715 </t>
  </si>
  <si>
    <t xml:space="preserve"> 17.1713</t>
  </si>
  <si>
    <t xml:space="preserve"> 17.1711</t>
  </si>
  <si>
    <t xml:space="preserve"> 17.1709</t>
  </si>
  <si>
    <t>104.5406</t>
  </si>
  <si>
    <t xml:space="preserve"> 17.1659</t>
  </si>
  <si>
    <t>104.5409</t>
  </si>
  <si>
    <t xml:space="preserve"> 17.1657</t>
  </si>
  <si>
    <t>104.5413</t>
  </si>
  <si>
    <t xml:space="preserve"> 17.1654</t>
  </si>
  <si>
    <t>104.5416</t>
  </si>
  <si>
    <t xml:space="preserve"> 17.1652</t>
  </si>
  <si>
    <t>104.5419</t>
  </si>
  <si>
    <t xml:space="preserve"> 17.1650</t>
  </si>
  <si>
    <t>104.5422</t>
  </si>
  <si>
    <t xml:space="preserve"> 17.1647</t>
  </si>
  <si>
    <t>104.5425</t>
  </si>
  <si>
    <t xml:space="preserve"> 17.1644</t>
  </si>
  <si>
    <t>104.5429</t>
  </si>
  <si>
    <t xml:space="preserve"> 17.1641</t>
  </si>
  <si>
    <t>104.5432</t>
  </si>
  <si>
    <t xml:space="preserve"> 17.1639</t>
  </si>
  <si>
    <t>104.5435</t>
  </si>
  <si>
    <t xml:space="preserve"> 17.1635</t>
  </si>
  <si>
    <t>104.5438</t>
  </si>
  <si>
    <t xml:space="preserve"> 17.1633</t>
  </si>
  <si>
    <t>104.5441</t>
  </si>
  <si>
    <t xml:space="preserve"> 17.1630</t>
  </si>
  <si>
    <t>104.5443</t>
  </si>
  <si>
    <t xml:space="preserve"> 17.1626</t>
  </si>
  <si>
    <t>104.5444</t>
  </si>
  <si>
    <t xml:space="preserve"> 17.1622</t>
  </si>
  <si>
    <t>104.5500</t>
  </si>
  <si>
    <t xml:space="preserve"> 17.1501</t>
  </si>
  <si>
    <t>104.5503</t>
  </si>
  <si>
    <t xml:space="preserve"> 17.1497</t>
  </si>
  <si>
    <t>104.5506</t>
  </si>
  <si>
    <t xml:space="preserve"> 17.1494</t>
  </si>
  <si>
    <t>104.5509</t>
  </si>
  <si>
    <t>17.1491</t>
  </si>
  <si>
    <t>104.5512</t>
  </si>
  <si>
    <t xml:space="preserve"> 17.1488</t>
  </si>
  <si>
    <t>104.5515</t>
  </si>
  <si>
    <t xml:space="preserve"> 17.1485</t>
  </si>
  <si>
    <t>104.5517</t>
  </si>
  <si>
    <t xml:space="preserve"> 17.1482</t>
  </si>
  <si>
    <t>104.5520</t>
  </si>
  <si>
    <t xml:space="preserve"> 17.1480</t>
  </si>
  <si>
    <t>104.5524</t>
  </si>
  <si>
    <t xml:space="preserve"> 17.1476</t>
  </si>
  <si>
    <t>104.5526</t>
  </si>
  <si>
    <t xml:space="preserve"> 17.1472</t>
  </si>
  <si>
    <t>104.5527</t>
  </si>
  <si>
    <t xml:space="preserve"> 17.1469</t>
  </si>
  <si>
    <t>104.5529</t>
  </si>
  <si>
    <t xml:space="preserve"> 17.1467</t>
  </si>
  <si>
    <t>104.5533</t>
  </si>
  <si>
    <t xml:space="preserve"> 17.1466</t>
  </si>
  <si>
    <t>104.5538</t>
  </si>
  <si>
    <t>17.1464</t>
  </si>
  <si>
    <t>104.5541</t>
  </si>
  <si>
    <t xml:space="preserve"> 17.1462</t>
  </si>
  <si>
    <t>104.5545</t>
  </si>
  <si>
    <t xml:space="preserve"> 17.1459</t>
  </si>
  <si>
    <t>104.5548</t>
  </si>
  <si>
    <t xml:space="preserve"> 17.1458</t>
  </si>
  <si>
    <t>104.5551</t>
  </si>
  <si>
    <t>17.1455</t>
  </si>
  <si>
    <t>104.5555</t>
  </si>
  <si>
    <t xml:space="preserve"> 17.1452</t>
  </si>
  <si>
    <t>104.5558</t>
  </si>
  <si>
    <t xml:space="preserve"> 17.1450</t>
  </si>
  <si>
    <t>104.5562</t>
  </si>
  <si>
    <t xml:space="preserve"> 17.1448</t>
  </si>
  <si>
    <t>104.5565</t>
  </si>
  <si>
    <t xml:space="preserve"> 17.1446</t>
  </si>
  <si>
    <t>104.5569</t>
  </si>
  <si>
    <t xml:space="preserve"> 17.1443</t>
  </si>
  <si>
    <t>104.5572</t>
  </si>
  <si>
    <t xml:space="preserve"> 17.1441</t>
  </si>
  <si>
    <t>104.5576</t>
  </si>
  <si>
    <t xml:space="preserve"> 17.1438</t>
  </si>
  <si>
    <t>104.5579</t>
  </si>
  <si>
    <t xml:space="preserve"> 17.1436</t>
  </si>
  <si>
    <t>104.5583</t>
  </si>
  <si>
    <t xml:space="preserve"> 17.1434</t>
  </si>
  <si>
    <t>104.5586</t>
  </si>
  <si>
    <t xml:space="preserve"> 17.1432</t>
  </si>
  <si>
    <t>104.5590</t>
  </si>
  <si>
    <t xml:space="preserve"> 17.1431</t>
  </si>
  <si>
    <t>104.5594</t>
  </si>
  <si>
    <t xml:space="preserve"> 17.1428</t>
  </si>
  <si>
    <t>104.5638</t>
  </si>
  <si>
    <t xml:space="preserve"> 17.1382</t>
  </si>
  <si>
    <t>104.5641</t>
  </si>
  <si>
    <t xml:space="preserve"> 17.1380</t>
  </si>
  <si>
    <t>104.5645</t>
  </si>
  <si>
    <t xml:space="preserve"> 17.1378</t>
  </si>
  <si>
    <t>104.5649</t>
  </si>
  <si>
    <t xml:space="preserve"> 17.1376</t>
  </si>
  <si>
    <t>104.5653</t>
  </si>
  <si>
    <t xml:space="preserve"> 17.1374</t>
  </si>
  <si>
    <t>104.5656</t>
  </si>
  <si>
    <t xml:space="preserve"> 17.1372</t>
  </si>
  <si>
    <t>104.5661</t>
  </si>
  <si>
    <t xml:space="preserve"> 17.1370</t>
  </si>
  <si>
    <t>104.5664</t>
  </si>
  <si>
    <t xml:space="preserve"> 17.1369</t>
  </si>
  <si>
    <t>104.5668</t>
  </si>
  <si>
    <t xml:space="preserve"> 17.1367</t>
  </si>
  <si>
    <t>104.5672</t>
  </si>
  <si>
    <t xml:space="preserve"> 17.1365</t>
  </si>
  <si>
    <t>104.6019</t>
  </si>
  <si>
    <t xml:space="preserve"> 17.1088</t>
  </si>
  <si>
    <t>104.6026</t>
  </si>
  <si>
    <t>104.6029</t>
  </si>
  <si>
    <t>17.1086</t>
  </si>
  <si>
    <t>104.6032</t>
  </si>
  <si>
    <t>104.6037</t>
  </si>
  <si>
    <t>104.6040</t>
  </si>
  <si>
    <t>104.6044</t>
  </si>
  <si>
    <t>104.6047</t>
  </si>
  <si>
    <t>104.6050</t>
  </si>
  <si>
    <t>104.6054</t>
  </si>
  <si>
    <t xml:space="preserve"> 17.1081</t>
  </si>
  <si>
    <t>104.6076</t>
  </si>
  <si>
    <t xml:space="preserve"> 17.1097</t>
  </si>
  <si>
    <t>104.6209</t>
  </si>
  <si>
    <t>17.1051</t>
  </si>
  <si>
    <t>104.6212</t>
  </si>
  <si>
    <t xml:space="preserve"> 17.1050</t>
  </si>
  <si>
    <t xml:space="preserve"> 17.1048</t>
  </si>
  <si>
    <t>104.6221</t>
  </si>
  <si>
    <t xml:space="preserve"> 17.1046</t>
  </si>
  <si>
    <t>104.6222</t>
  </si>
  <si>
    <t xml:space="preserve"> 17.1042</t>
  </si>
  <si>
    <t xml:space="preserve"> 17.1039</t>
  </si>
  <si>
    <t>17.1035</t>
  </si>
  <si>
    <t>104.6220</t>
  </si>
  <si>
    <t>17.1031</t>
  </si>
  <si>
    <t xml:space="preserve"> 17.1026</t>
  </si>
  <si>
    <t>104.6643</t>
  </si>
  <si>
    <t xml:space="preserve"> 17.0900</t>
  </si>
  <si>
    <t>104.6648</t>
  </si>
  <si>
    <t xml:space="preserve"> 17.0899</t>
  </si>
  <si>
    <t>104.6652</t>
  </si>
  <si>
    <t xml:space="preserve"> 17.0898</t>
  </si>
  <si>
    <t>104.6656</t>
  </si>
  <si>
    <t xml:space="preserve"> 17.0896</t>
  </si>
  <si>
    <t>104.6659</t>
  </si>
  <si>
    <t xml:space="preserve"> 17.0893</t>
  </si>
  <si>
    <t>104.6662</t>
  </si>
  <si>
    <t xml:space="preserve"> 17.0890</t>
  </si>
  <si>
    <t>104.6664</t>
  </si>
  <si>
    <t xml:space="preserve"> 17.0888</t>
  </si>
  <si>
    <t>104.6668</t>
  </si>
  <si>
    <t xml:space="preserve"> 17.0885</t>
  </si>
  <si>
    <t>104.6670</t>
  </si>
  <si>
    <t xml:space="preserve"> 17.0882</t>
  </si>
  <si>
    <t>104.6677</t>
  </si>
  <si>
    <t xml:space="preserve"> 17.0876</t>
  </si>
  <si>
    <t>104.6680</t>
  </si>
  <si>
    <t xml:space="preserve"> 17.0873</t>
  </si>
  <si>
    <t>104.6682</t>
  </si>
  <si>
    <t xml:space="preserve"> 17.0870</t>
  </si>
  <si>
    <t>104.6685</t>
  </si>
  <si>
    <t xml:space="preserve"> 17.0867</t>
  </si>
  <si>
    <t>104.6687</t>
  </si>
  <si>
    <t xml:space="preserve"> 17.0863</t>
  </si>
  <si>
    <t>104.6689</t>
  </si>
  <si>
    <t xml:space="preserve"> 17.0860</t>
  </si>
  <si>
    <t>104.6692</t>
  </si>
  <si>
    <t xml:space="preserve"> 17.0857</t>
  </si>
  <si>
    <t>104.6694</t>
  </si>
  <si>
    <t>17.0854</t>
  </si>
  <si>
    <t>104.6697</t>
  </si>
  <si>
    <t xml:space="preserve"> 17.0851</t>
  </si>
  <si>
    <t>104.6699</t>
  </si>
  <si>
    <t>17.0847</t>
  </si>
  <si>
    <t>0+030</t>
  </si>
  <si>
    <t>0+060</t>
  </si>
  <si>
    <t>0+090</t>
  </si>
  <si>
    <t>0+138</t>
  </si>
  <si>
    <t>0+142</t>
  </si>
  <si>
    <t>7+365</t>
  </si>
  <si>
    <t>7+410</t>
  </si>
  <si>
    <t>7+455</t>
  </si>
  <si>
    <t>7+500</t>
  </si>
  <si>
    <t>7+545</t>
  </si>
  <si>
    <t>7+590</t>
  </si>
  <si>
    <t>7+635</t>
  </si>
  <si>
    <t>7+680</t>
  </si>
  <si>
    <t>7+725</t>
  </si>
  <si>
    <t>7+770</t>
  </si>
  <si>
    <t>7+815</t>
  </si>
  <si>
    <t>7+860</t>
  </si>
  <si>
    <t>7+905</t>
  </si>
  <si>
    <t>7+950</t>
  </si>
  <si>
    <t>7+995</t>
  </si>
  <si>
    <t>8+040</t>
  </si>
  <si>
    <t>8+085</t>
  </si>
  <si>
    <t>8+130</t>
  </si>
  <si>
    <t>8+175</t>
  </si>
  <si>
    <t>8+220</t>
  </si>
  <si>
    <t>8+265</t>
  </si>
  <si>
    <t>8+310</t>
  </si>
  <si>
    <t>8+355</t>
  </si>
  <si>
    <t>8+400</t>
  </si>
  <si>
    <t>8+445</t>
  </si>
  <si>
    <t>8+490</t>
  </si>
  <si>
    <t>8+535</t>
  </si>
  <si>
    <t>8+580</t>
  </si>
  <si>
    <t>8+625</t>
  </si>
  <si>
    <t>8+670</t>
  </si>
  <si>
    <t>8+715</t>
  </si>
  <si>
    <t>8+760</t>
  </si>
  <si>
    <t>8+805</t>
  </si>
  <si>
    <t>8+850</t>
  </si>
  <si>
    <t>10+625</t>
  </si>
  <si>
    <t>10+670</t>
  </si>
  <si>
    <t>10+715</t>
  </si>
  <si>
    <t>10+760</t>
  </si>
  <si>
    <t>10+805</t>
  </si>
  <si>
    <t>10+850</t>
  </si>
  <si>
    <t>10+895</t>
  </si>
  <si>
    <t>10+940</t>
  </si>
  <si>
    <t>10+985</t>
  </si>
  <si>
    <t>11+030</t>
  </si>
  <si>
    <t>11+075</t>
  </si>
  <si>
    <t>11+120</t>
  </si>
  <si>
    <t>11+165</t>
  </si>
  <si>
    <t>11+210</t>
  </si>
  <si>
    <t>11+255</t>
  </si>
  <si>
    <t>11+300</t>
  </si>
  <si>
    <t>11+345</t>
  </si>
  <si>
    <t>11+435</t>
  </si>
  <si>
    <t>11+390</t>
  </si>
  <si>
    <t>13+525</t>
  </si>
  <si>
    <t>13+670</t>
  </si>
  <si>
    <t>13+760</t>
  </si>
  <si>
    <t>13+805</t>
  </si>
  <si>
    <t>13+850</t>
  </si>
  <si>
    <t>13+895</t>
  </si>
  <si>
    <t>13+940</t>
  </si>
  <si>
    <t>13+985</t>
  </si>
  <si>
    <t>13+995</t>
  </si>
  <si>
    <t>14+030</t>
  </si>
  <si>
    <t>14+075</t>
  </si>
  <si>
    <t>14+300</t>
  </si>
  <si>
    <t>14+345</t>
  </si>
  <si>
    <t>14+120</t>
  </si>
  <si>
    <t>14+210</t>
  </si>
  <si>
    <t>14+255</t>
  </si>
  <si>
    <t>14+390</t>
  </si>
  <si>
    <t>14+435</t>
  </si>
  <si>
    <t>14+545</t>
  </si>
  <si>
    <t>14+570</t>
  </si>
  <si>
    <t>14+615</t>
  </si>
  <si>
    <t>14+660</t>
  </si>
  <si>
    <t>14+705</t>
  </si>
  <si>
    <t>14+750</t>
  </si>
  <si>
    <t>14+795</t>
  </si>
  <si>
    <t>14+840</t>
  </si>
  <si>
    <t>14+885</t>
  </si>
  <si>
    <t>14+930</t>
  </si>
  <si>
    <t>15+000</t>
  </si>
  <si>
    <t>15+200</t>
  </si>
  <si>
    <t>15+245</t>
  </si>
  <si>
    <t>15+290</t>
  </si>
  <si>
    <t>15+335</t>
  </si>
  <si>
    <t>15+380</t>
  </si>
  <si>
    <t>15+425</t>
  </si>
  <si>
    <t>15+470</t>
  </si>
  <si>
    <t>15+515</t>
  </si>
  <si>
    <t>15+555</t>
  </si>
  <si>
    <t>15+600</t>
  </si>
  <si>
    <t>15+645</t>
  </si>
  <si>
    <t>15+690</t>
  </si>
  <si>
    <t>15+735</t>
  </si>
  <si>
    <t>15+780</t>
  </si>
  <si>
    <t>15+825</t>
  </si>
  <si>
    <t>27+382</t>
  </si>
  <si>
    <t>27+427</t>
  </si>
  <si>
    <t>27+472</t>
  </si>
  <si>
    <t>27+517</t>
  </si>
  <si>
    <t>27+562</t>
  </si>
  <si>
    <t>27+607</t>
  </si>
  <si>
    <t>27+652</t>
  </si>
  <si>
    <t>27+697</t>
  </si>
  <si>
    <t>28+093</t>
  </si>
  <si>
    <t>28+138</t>
  </si>
  <si>
    <t>28+183</t>
  </si>
  <si>
    <t>28+228</t>
  </si>
  <si>
    <t>28+048</t>
  </si>
  <si>
    <t>28+995</t>
  </si>
  <si>
    <t>30+030</t>
  </si>
  <si>
    <t>29+950</t>
  </si>
  <si>
    <t>30+075</t>
  </si>
  <si>
    <t>30+120</t>
  </si>
  <si>
    <t>30+165</t>
  </si>
  <si>
    <t>30+210</t>
  </si>
  <si>
    <t>30+255</t>
  </si>
  <si>
    <t>38+625</t>
  </si>
  <si>
    <t>38+670</t>
  </si>
  <si>
    <t>38+715</t>
  </si>
  <si>
    <t>38+760</t>
  </si>
  <si>
    <t>38+805</t>
  </si>
  <si>
    <t>38+850</t>
  </si>
  <si>
    <t>39+180</t>
  </si>
  <si>
    <t>39+225</t>
  </si>
  <si>
    <t>39+270</t>
  </si>
  <si>
    <t>39+315</t>
  </si>
  <si>
    <t>39+360</t>
  </si>
  <si>
    <t>39+405</t>
  </si>
  <si>
    <t>39+450</t>
  </si>
  <si>
    <t>39+495</t>
  </si>
  <si>
    <t>39+540</t>
  </si>
  <si>
    <t>39+585</t>
  </si>
  <si>
    <t>39+630</t>
  </si>
  <si>
    <t>39+675</t>
  </si>
  <si>
    <t>39+720</t>
  </si>
  <si>
    <t>13+590</t>
  </si>
  <si>
    <t>13+635</t>
  </si>
  <si>
    <t>13+680</t>
  </si>
  <si>
    <t>13+725</t>
  </si>
  <si>
    <t>13+770</t>
  </si>
  <si>
    <t>13+815</t>
  </si>
  <si>
    <t>13+860</t>
  </si>
  <si>
    <t>13+905</t>
  </si>
  <si>
    <t>13+950</t>
  </si>
  <si>
    <t>14+040</t>
  </si>
  <si>
    <t>14+085</t>
  </si>
  <si>
    <t>14+130</t>
  </si>
  <si>
    <t>14+175</t>
  </si>
  <si>
    <t>14+220</t>
  </si>
  <si>
    <t>14+265</t>
  </si>
  <si>
    <t>14+310</t>
  </si>
  <si>
    <t>14+355</t>
  </si>
  <si>
    <t>14+400</t>
  </si>
  <si>
    <t>14+445</t>
  </si>
  <si>
    <t>14+490</t>
  </si>
  <si>
    <t>14+535</t>
  </si>
  <si>
    <t>14+580</t>
  </si>
  <si>
    <t>14+625</t>
  </si>
  <si>
    <t>14+670</t>
  </si>
  <si>
    <t>14+715</t>
  </si>
  <si>
    <t>14+760</t>
  </si>
  <si>
    <t>14+805</t>
  </si>
  <si>
    <t>14+850</t>
  </si>
  <si>
    <t>14+895</t>
  </si>
  <si>
    <t>14+940</t>
  </si>
  <si>
    <t>14+985</t>
  </si>
  <si>
    <t>15+030</t>
  </si>
  <si>
    <t>15+075</t>
  </si>
  <si>
    <t>15+120</t>
  </si>
  <si>
    <t>15+165</t>
  </si>
  <si>
    <t>15+210</t>
  </si>
  <si>
    <t>15+255</t>
  </si>
  <si>
    <t>15+300</t>
  </si>
  <si>
    <t>15+345</t>
  </si>
  <si>
    <t>15+390</t>
  </si>
  <si>
    <t>15+435</t>
  </si>
  <si>
    <t>15+480</t>
  </si>
  <si>
    <t>15+525</t>
  </si>
  <si>
    <t>15+630</t>
  </si>
  <si>
    <t>15+675</t>
  </si>
  <si>
    <t>16+583</t>
  </si>
  <si>
    <t>16+628</t>
  </si>
  <si>
    <t>16+673</t>
  </si>
  <si>
    <t>16+718</t>
  </si>
  <si>
    <t>16+763</t>
  </si>
  <si>
    <t>16+808</t>
  </si>
  <si>
    <t>16+853</t>
  </si>
  <si>
    <t>16+898</t>
  </si>
  <si>
    <t>16+943</t>
  </si>
  <si>
    <t>16+988</t>
  </si>
  <si>
    <t>17+035</t>
  </si>
  <si>
    <t>17+080</t>
  </si>
  <si>
    <t>17+125</t>
  </si>
  <si>
    <t>17+170</t>
  </si>
  <si>
    <t>17+907</t>
  </si>
  <si>
    <t>17+952</t>
  </si>
  <si>
    <t>17+997</t>
  </si>
  <si>
    <t>18+042</t>
  </si>
  <si>
    <t>18+087</t>
  </si>
  <si>
    <t>18+132</t>
  </si>
  <si>
    <t>18+177</t>
  </si>
  <si>
    <t>18+222</t>
  </si>
  <si>
    <t>18+267</t>
  </si>
  <si>
    <t>18+312</t>
  </si>
  <si>
    <t>18+357</t>
  </si>
  <si>
    <t>18+402</t>
  </si>
  <si>
    <t>18+447</t>
  </si>
  <si>
    <t>18+492</t>
  </si>
  <si>
    <t>20+007</t>
  </si>
  <si>
    <t>20+052</t>
  </si>
  <si>
    <t>20+097</t>
  </si>
  <si>
    <t>20+142</t>
  </si>
  <si>
    <t>20+187</t>
  </si>
  <si>
    <t>20+232</t>
  </si>
  <si>
    <t>20+277</t>
  </si>
  <si>
    <t>20+322</t>
  </si>
  <si>
    <t>20+367</t>
  </si>
  <si>
    <t>20+412</t>
  </si>
  <si>
    <t>20+457</t>
  </si>
  <si>
    <t>20+502</t>
  </si>
  <si>
    <t>20+547</t>
  </si>
  <si>
    <t>20+592</t>
  </si>
  <si>
    <t>20+637</t>
  </si>
  <si>
    <t>20+682</t>
  </si>
  <si>
    <t>20+727</t>
  </si>
  <si>
    <t>20+772</t>
  </si>
  <si>
    <t>20+817</t>
  </si>
  <si>
    <t>20+862</t>
  </si>
  <si>
    <t>20+907</t>
  </si>
  <si>
    <t>20+952</t>
  </si>
  <si>
    <t>20+997</t>
  </si>
  <si>
    <t>21+042</t>
  </si>
  <si>
    <t>21+087</t>
  </si>
  <si>
    <t>21+132</t>
  </si>
  <si>
    <t>21+177</t>
  </si>
  <si>
    <t>21+222</t>
  </si>
  <si>
    <t>21+267</t>
  </si>
  <si>
    <t>21+312</t>
  </si>
  <si>
    <t>22+007</t>
  </si>
  <si>
    <t>22+052</t>
  </si>
  <si>
    <t>22+097</t>
  </si>
  <si>
    <t>22+142</t>
  </si>
  <si>
    <t>22+187</t>
  </si>
  <si>
    <t>22+232</t>
  </si>
  <si>
    <t>22+277</t>
  </si>
  <si>
    <t>22+322</t>
  </si>
  <si>
    <t>22+367</t>
  </si>
  <si>
    <t>22+412</t>
  </si>
  <si>
    <t>27+317</t>
  </si>
  <si>
    <t>27+362</t>
  </si>
  <si>
    <t>27+407</t>
  </si>
  <si>
    <t>27+452</t>
  </si>
  <si>
    <t>27+497</t>
  </si>
  <si>
    <t>27+542</t>
  </si>
  <si>
    <t>27+578</t>
  </si>
  <si>
    <t>27+632</t>
  </si>
  <si>
    <t>27+677</t>
  </si>
  <si>
    <t>27+722</t>
  </si>
  <si>
    <t>28+013</t>
  </si>
  <si>
    <t>29+527</t>
  </si>
  <si>
    <t>29+572</t>
  </si>
  <si>
    <t>29+617</t>
  </si>
  <si>
    <t>29+662</t>
  </si>
  <si>
    <t>29+707</t>
  </si>
  <si>
    <t>29+752</t>
  </si>
  <si>
    <t>29+797</t>
  </si>
  <si>
    <t>29+842</t>
  </si>
  <si>
    <t>29+887</t>
  </si>
  <si>
    <t>34+835</t>
  </si>
  <si>
    <t>34+880</t>
  </si>
  <si>
    <t>34+925</t>
  </si>
  <si>
    <t>34+970</t>
  </si>
  <si>
    <t>35+015</t>
  </si>
  <si>
    <t>35+060</t>
  </si>
  <si>
    <t>35+105</t>
  </si>
  <si>
    <t>35+150</t>
  </si>
  <si>
    <t>35+195</t>
  </si>
  <si>
    <t>35+285</t>
  </si>
  <si>
    <t>35+330</t>
  </si>
  <si>
    <t>35+375</t>
  </si>
  <si>
    <t>35+420</t>
  </si>
  <si>
    <t>35+465</t>
  </si>
  <si>
    <t>35+510</t>
  </si>
  <si>
    <t>35+555</t>
  </si>
  <si>
    <t>35+600</t>
  </si>
  <si>
    <t>35+645</t>
  </si>
  <si>
    <t>35+690</t>
  </si>
  <si>
    <t>MD1</t>
  </si>
  <si>
    <t>DB</t>
  </si>
  <si>
    <t>MD2</t>
  </si>
  <si>
    <t>MD3</t>
  </si>
  <si>
    <t>LT1</t>
  </si>
  <si>
    <t>SG</t>
  </si>
  <si>
    <t>RT1</t>
  </si>
  <si>
    <t>RT2</t>
  </si>
  <si>
    <t>RT3</t>
  </si>
  <si>
    <t>RT4</t>
  </si>
  <si>
    <t>RT5</t>
  </si>
  <si>
    <t>RT6</t>
  </si>
  <si>
    <t>RT7</t>
  </si>
  <si>
    <t>RT8</t>
  </si>
  <si>
    <t>RT9</t>
  </si>
  <si>
    <t>RT10</t>
  </si>
  <si>
    <t>RT11</t>
  </si>
  <si>
    <t>RT12</t>
  </si>
  <si>
    <t>RT13</t>
  </si>
  <si>
    <t>RT14</t>
  </si>
  <si>
    <t>RT15</t>
  </si>
  <si>
    <t>RT16</t>
  </si>
  <si>
    <t>RT17</t>
  </si>
  <si>
    <t>RT18</t>
  </si>
  <si>
    <t>RT19</t>
  </si>
  <si>
    <t>RT20</t>
  </si>
  <si>
    <t>RT21</t>
  </si>
  <si>
    <t>RT22</t>
  </si>
  <si>
    <t>RT23</t>
  </si>
  <si>
    <t>RT24</t>
  </si>
  <si>
    <t>RT25</t>
  </si>
  <si>
    <t>RT26</t>
  </si>
  <si>
    <t>RT27</t>
  </si>
  <si>
    <t>RT28</t>
  </si>
  <si>
    <t>RT29</t>
  </si>
  <si>
    <t>RT30</t>
  </si>
  <si>
    <t>RT31</t>
  </si>
  <si>
    <t>RT32</t>
  </si>
  <si>
    <t>RT33</t>
  </si>
  <si>
    <t>RT34</t>
  </si>
  <si>
    <t>RT35</t>
  </si>
  <si>
    <t>RT36</t>
  </si>
  <si>
    <t>RT37</t>
  </si>
  <si>
    <t>RT38</t>
  </si>
  <si>
    <t>RT39</t>
  </si>
  <si>
    <t>RT40</t>
  </si>
  <si>
    <t>RT41</t>
  </si>
  <si>
    <t>RT42</t>
  </si>
  <si>
    <t>RT43</t>
  </si>
  <si>
    <t>RT44</t>
  </si>
  <si>
    <t>RT46</t>
  </si>
  <si>
    <t>RT47</t>
  </si>
  <si>
    <t>RT48</t>
  </si>
  <si>
    <t>RT49</t>
  </si>
  <si>
    <t>RT50</t>
  </si>
  <si>
    <t>RT51</t>
  </si>
  <si>
    <t>RT52</t>
  </si>
  <si>
    <t>RT53</t>
  </si>
  <si>
    <t>RT54</t>
  </si>
  <si>
    <t>RT55</t>
  </si>
  <si>
    <t>RT56</t>
  </si>
  <si>
    <t>RT57</t>
  </si>
  <si>
    <t>RT58</t>
  </si>
  <si>
    <t>RT59</t>
  </si>
  <si>
    <t>RT60</t>
  </si>
  <si>
    <t>RT61</t>
  </si>
  <si>
    <t>RT62</t>
  </si>
  <si>
    <t>RT64</t>
  </si>
  <si>
    <t>RT65</t>
  </si>
  <si>
    <t>RT66</t>
  </si>
  <si>
    <t>RT67</t>
  </si>
  <si>
    <t>RT68</t>
  </si>
  <si>
    <t>RT69</t>
  </si>
  <si>
    <t>RT70</t>
  </si>
  <si>
    <t>RT71</t>
  </si>
  <si>
    <t>RT72</t>
  </si>
  <si>
    <t>RT73</t>
  </si>
  <si>
    <t>RT74</t>
  </si>
  <si>
    <t>RT75</t>
  </si>
  <si>
    <t>RT76</t>
  </si>
  <si>
    <t>RT77</t>
  </si>
  <si>
    <t>RT78</t>
  </si>
  <si>
    <t>RT79</t>
  </si>
  <si>
    <t>RT80</t>
  </si>
  <si>
    <t>RT81</t>
  </si>
  <si>
    <t>RT82</t>
  </si>
  <si>
    <t>RT83</t>
  </si>
  <si>
    <t>RT84</t>
  </si>
  <si>
    <t>RT85</t>
  </si>
  <si>
    <t>RT86</t>
  </si>
  <si>
    <t>RT87</t>
  </si>
  <si>
    <t>RT88</t>
  </si>
  <si>
    <t>RT89</t>
  </si>
  <si>
    <t>RT90</t>
  </si>
  <si>
    <t>RT91</t>
  </si>
  <si>
    <t>RT92</t>
  </si>
  <si>
    <t>RT93</t>
  </si>
  <si>
    <t>RT94</t>
  </si>
  <si>
    <t>RT95</t>
  </si>
  <si>
    <t>RT96</t>
  </si>
  <si>
    <t>RT97</t>
  </si>
  <si>
    <t>RT98</t>
  </si>
  <si>
    <t>RT99</t>
  </si>
  <si>
    <t>RT100</t>
  </si>
  <si>
    <t>RT101</t>
  </si>
  <si>
    <t>RT102</t>
  </si>
  <si>
    <t>RT103</t>
  </si>
  <si>
    <t>RT104</t>
  </si>
  <si>
    <t>RT105</t>
  </si>
  <si>
    <t>RT106</t>
  </si>
  <si>
    <t>RT107</t>
  </si>
  <si>
    <t>RT108</t>
  </si>
  <si>
    <t>RT109</t>
  </si>
  <si>
    <t>RT110</t>
  </si>
  <si>
    <t>RT112</t>
  </si>
  <si>
    <t>RT113</t>
  </si>
  <si>
    <t>RT114</t>
  </si>
  <si>
    <t>RT115</t>
  </si>
  <si>
    <t>RT111</t>
  </si>
  <si>
    <t>RT117</t>
  </si>
  <si>
    <t>RT118</t>
  </si>
  <si>
    <t>RT116</t>
  </si>
  <si>
    <t>RT119</t>
  </si>
  <si>
    <t>RT120</t>
  </si>
  <si>
    <t>RT121</t>
  </si>
  <si>
    <t>RT122</t>
  </si>
  <si>
    <t>RT123</t>
  </si>
  <si>
    <t>RT124</t>
  </si>
  <si>
    <t>RT125</t>
  </si>
  <si>
    <t>RT126</t>
  </si>
  <si>
    <t>RT127</t>
  </si>
  <si>
    <t>RT128</t>
  </si>
  <si>
    <t>RT129</t>
  </si>
  <si>
    <t>RT130</t>
  </si>
  <si>
    <t>RT131</t>
  </si>
  <si>
    <t>RT132</t>
  </si>
  <si>
    <t>RT133</t>
  </si>
  <si>
    <t>RT134</t>
  </si>
  <si>
    <t>RT135</t>
  </si>
  <si>
    <t>RT136</t>
  </si>
  <si>
    <t>RT137</t>
  </si>
  <si>
    <t>RT138</t>
  </si>
  <si>
    <t>RT139</t>
  </si>
  <si>
    <t>RT140</t>
  </si>
  <si>
    <t>RT141</t>
  </si>
  <si>
    <t>RT142</t>
  </si>
  <si>
    <t>LT2</t>
  </si>
  <si>
    <t>LT4</t>
  </si>
  <si>
    <t>LT5</t>
  </si>
  <si>
    <t>LT6</t>
  </si>
  <si>
    <t>LT7</t>
  </si>
  <si>
    <t>LT8</t>
  </si>
  <si>
    <t>LT9</t>
  </si>
  <si>
    <t>LT10</t>
  </si>
  <si>
    <t>LT11</t>
  </si>
  <si>
    <t>LT12</t>
  </si>
  <si>
    <t>LT13</t>
  </si>
  <si>
    <t>LT14</t>
  </si>
  <si>
    <t>LT15</t>
  </si>
  <si>
    <t>LT16</t>
  </si>
  <si>
    <t>LT17</t>
  </si>
  <si>
    <t>LT18</t>
  </si>
  <si>
    <t>LT19</t>
  </si>
  <si>
    <t>LT20</t>
  </si>
  <si>
    <t>LT21</t>
  </si>
  <si>
    <t>LT22</t>
  </si>
  <si>
    <t>LT23</t>
  </si>
  <si>
    <t>LT24</t>
  </si>
  <si>
    <t>LT25</t>
  </si>
  <si>
    <t>LT26</t>
  </si>
  <si>
    <t>LT27</t>
  </si>
  <si>
    <t>LT28</t>
  </si>
  <si>
    <t>LT29</t>
  </si>
  <si>
    <t>LT30</t>
  </si>
  <si>
    <t>LT31</t>
  </si>
  <si>
    <t>LT32</t>
  </si>
  <si>
    <t>LT33</t>
  </si>
  <si>
    <t>LT34</t>
  </si>
  <si>
    <t>LT35</t>
  </si>
  <si>
    <t>LT36</t>
  </si>
  <si>
    <t>LT37</t>
  </si>
  <si>
    <t>LT38</t>
  </si>
  <si>
    <t>LT39</t>
  </si>
  <si>
    <t>LT40</t>
  </si>
  <si>
    <t>LT41</t>
  </si>
  <si>
    <t>LT42</t>
  </si>
  <si>
    <t>LT43</t>
  </si>
  <si>
    <t>LT44</t>
  </si>
  <si>
    <t>LT45</t>
  </si>
  <si>
    <t>LT46</t>
  </si>
  <si>
    <t>LT47</t>
  </si>
  <si>
    <t>LT48</t>
  </si>
  <si>
    <t>LT49</t>
  </si>
  <si>
    <t>LT50</t>
  </si>
  <si>
    <t>LT51</t>
  </si>
  <si>
    <t>LT52</t>
  </si>
  <si>
    <t>LT53</t>
  </si>
  <si>
    <t>LT54</t>
  </si>
  <si>
    <t>LT55</t>
  </si>
  <si>
    <t>LT56</t>
  </si>
  <si>
    <t>LT57</t>
  </si>
  <si>
    <t>LT58</t>
  </si>
  <si>
    <t>LT59</t>
  </si>
  <si>
    <t>LT60</t>
  </si>
  <si>
    <t>LT61</t>
  </si>
  <si>
    <t>LT62</t>
  </si>
  <si>
    <t>LT63</t>
  </si>
  <si>
    <t>LT64</t>
  </si>
  <si>
    <t>LT65</t>
  </si>
  <si>
    <t>LT66</t>
  </si>
  <si>
    <t>LT67</t>
  </si>
  <si>
    <t>LT68</t>
  </si>
  <si>
    <t>LT69</t>
  </si>
  <si>
    <t>LT70</t>
  </si>
  <si>
    <t>LT71</t>
  </si>
  <si>
    <t>LT72</t>
  </si>
  <si>
    <t>LT73</t>
  </si>
  <si>
    <t>LT74</t>
  </si>
  <si>
    <t>LT75</t>
  </si>
  <si>
    <t>LT76</t>
  </si>
  <si>
    <t>LT77</t>
  </si>
  <si>
    <t>LT78</t>
  </si>
  <si>
    <t>LT79</t>
  </si>
  <si>
    <t>LT80</t>
  </si>
  <si>
    <t>LT81</t>
  </si>
  <si>
    <t>LT82</t>
  </si>
  <si>
    <t>LT83</t>
  </si>
  <si>
    <t>LT84</t>
  </si>
  <si>
    <t>LT85</t>
  </si>
  <si>
    <t>LT86</t>
  </si>
  <si>
    <t>LT87</t>
  </si>
  <si>
    <t>LT88</t>
  </si>
  <si>
    <t>LT89</t>
  </si>
  <si>
    <t>LT90</t>
  </si>
  <si>
    <t>LT91</t>
  </si>
  <si>
    <t>LT92</t>
  </si>
  <si>
    <t>LT93</t>
  </si>
  <si>
    <t>LT94</t>
  </si>
  <si>
    <t>LT95</t>
  </si>
  <si>
    <t>LT96</t>
  </si>
  <si>
    <t>LT97</t>
  </si>
  <si>
    <t>LT98</t>
  </si>
  <si>
    <t>LT99</t>
  </si>
  <si>
    <t>LT100</t>
  </si>
  <si>
    <t>LT101</t>
  </si>
  <si>
    <t>LT102</t>
  </si>
  <si>
    <t>LT103</t>
  </si>
  <si>
    <t>LT104</t>
  </si>
  <si>
    <t>LT105</t>
  </si>
  <si>
    <t>LT106</t>
  </si>
  <si>
    <t>LT107</t>
  </si>
  <si>
    <t>LT108</t>
  </si>
  <si>
    <t>LT109</t>
  </si>
  <si>
    <t>LT110</t>
  </si>
  <si>
    <t>LT111</t>
  </si>
  <si>
    <t>LT112</t>
  </si>
  <si>
    <t>LT113</t>
  </si>
  <si>
    <t>LT114</t>
  </si>
  <si>
    <t>LT115</t>
  </si>
  <si>
    <t>LT116</t>
  </si>
  <si>
    <t>LT117</t>
  </si>
  <si>
    <t>LT118</t>
  </si>
  <si>
    <t>LT119</t>
  </si>
  <si>
    <t>LT120</t>
  </si>
  <si>
    <t>LT121</t>
  </si>
  <si>
    <t>LT122</t>
  </si>
  <si>
    <t>LT123</t>
  </si>
  <si>
    <t>LT124</t>
  </si>
  <si>
    <t>LT125</t>
  </si>
  <si>
    <t>LT126</t>
  </si>
  <si>
    <t>LT127</t>
  </si>
  <si>
    <t>LT128</t>
  </si>
  <si>
    <t>LT129</t>
  </si>
  <si>
    <t>LT130</t>
  </si>
  <si>
    <t>LT131</t>
  </si>
  <si>
    <t>LT132</t>
  </si>
  <si>
    <t>LT133</t>
  </si>
  <si>
    <t>LT134</t>
  </si>
  <si>
    <t>LT135</t>
  </si>
  <si>
    <t>LT136</t>
  </si>
  <si>
    <t>LT137</t>
  </si>
  <si>
    <t>LT138</t>
  </si>
  <si>
    <t>LT139</t>
  </si>
  <si>
    <t>LT140</t>
  </si>
  <si>
    <t>LT141</t>
  </si>
  <si>
    <t>LT142</t>
  </si>
  <si>
    <t>LT143</t>
  </si>
  <si>
    <t>LT144</t>
  </si>
  <si>
    <t>LT145</t>
  </si>
  <si>
    <t>LT146</t>
  </si>
  <si>
    <t>LT147</t>
  </si>
  <si>
    <t>LT148</t>
  </si>
  <si>
    <t>LT149</t>
  </si>
  <si>
    <t>LT150</t>
  </si>
  <si>
    <t>LT151</t>
  </si>
  <si>
    <t>LT152</t>
  </si>
  <si>
    <t>LT153</t>
  </si>
  <si>
    <t>LT154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</si>
</sst>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6DAB-6D24-48D6-9591-788C98B3AE86}">
  <dimension ref="A1:W299"/>
  <sheetViews>
    <sheetView tabSelected="1" workbookViewId="0">
      <selection activeCell="U277" sqref="U277"/>
    </sheetView>
  </sheetViews>
  <sheetFormatPr defaultRowHeight="14.25" x14ac:dyDescent="0.2"/>
  <cols>
    <col min="1" max="16" width="9" style="2"/>
    <col min="18" max="18" width="8.875" customWidth="1"/>
    <col min="19" max="23" width="9" style="1"/>
  </cols>
  <sheetData>
    <row r="1" spans="1:17" x14ac:dyDescent="0.2">
      <c r="A1" s="2" t="s">
        <v>599</v>
      </c>
      <c r="B1" s="2" t="s">
        <v>600</v>
      </c>
      <c r="C1" s="2" t="s">
        <v>601</v>
      </c>
      <c r="D1" s="2" t="s">
        <v>602</v>
      </c>
      <c r="E1" s="2" t="s">
        <v>603</v>
      </c>
      <c r="F1" s="2" t="s">
        <v>604</v>
      </c>
      <c r="G1" s="2" t="s">
        <v>605</v>
      </c>
      <c r="H1" s="2" t="s">
        <v>606</v>
      </c>
      <c r="I1" s="2" t="s">
        <v>607</v>
      </c>
      <c r="J1" s="2" t="s">
        <v>608</v>
      </c>
      <c r="K1" s="2" t="s">
        <v>609</v>
      </c>
      <c r="L1" s="2" t="s">
        <v>610</v>
      </c>
      <c r="M1" s="2" t="s">
        <v>611</v>
      </c>
      <c r="N1" s="2" t="s">
        <v>612</v>
      </c>
      <c r="O1" s="2" t="s">
        <v>613</v>
      </c>
      <c r="P1" s="2" t="s">
        <v>614</v>
      </c>
    </row>
    <row r="2" spans="1:17" x14ac:dyDescent="0.2">
      <c r="A2" s="2" t="s">
        <v>1392</v>
      </c>
      <c r="B2" s="2" t="s">
        <v>1391</v>
      </c>
      <c r="H2" s="2">
        <v>2276</v>
      </c>
      <c r="I2" s="2">
        <v>100</v>
      </c>
      <c r="J2" s="2" t="s">
        <v>1097</v>
      </c>
      <c r="O2" s="2" t="s">
        <v>616</v>
      </c>
      <c r="P2" s="2" t="s">
        <v>615</v>
      </c>
      <c r="Q2" s="1"/>
    </row>
    <row r="3" spans="1:17" x14ac:dyDescent="0.2">
      <c r="A3" s="2" t="s">
        <v>1392</v>
      </c>
      <c r="B3" s="2" t="s">
        <v>1393</v>
      </c>
      <c r="H3" s="2">
        <v>2276</v>
      </c>
      <c r="I3" s="2">
        <v>100</v>
      </c>
      <c r="J3" s="2" t="s">
        <v>1098</v>
      </c>
      <c r="O3" s="2" t="s">
        <v>617</v>
      </c>
      <c r="P3" s="2" t="s">
        <v>615</v>
      </c>
      <c r="Q3" s="1"/>
    </row>
    <row r="4" spans="1:17" x14ac:dyDescent="0.2">
      <c r="A4" s="2" t="s">
        <v>1392</v>
      </c>
      <c r="B4" s="2" t="s">
        <v>1394</v>
      </c>
      <c r="H4" s="2">
        <v>2276</v>
      </c>
      <c r="I4" s="2">
        <v>100</v>
      </c>
      <c r="J4" s="2" t="s">
        <v>1099</v>
      </c>
      <c r="O4" s="2" t="s">
        <v>618</v>
      </c>
      <c r="P4" s="2" t="s">
        <v>615</v>
      </c>
      <c r="Q4" s="1"/>
    </row>
    <row r="5" spans="1:17" x14ac:dyDescent="0.2">
      <c r="A5" s="2" t="s">
        <v>1396</v>
      </c>
      <c r="B5" s="2" t="s">
        <v>1395</v>
      </c>
      <c r="H5" s="2">
        <v>2276</v>
      </c>
      <c r="I5" s="2">
        <v>100</v>
      </c>
      <c r="J5" s="2" t="s">
        <v>1100</v>
      </c>
      <c r="O5" s="2" t="s">
        <v>619</v>
      </c>
      <c r="P5" s="2" t="s">
        <v>615</v>
      </c>
      <c r="Q5" s="1"/>
    </row>
    <row r="6" spans="1:17" x14ac:dyDescent="0.2">
      <c r="A6" s="2" t="s">
        <v>1396</v>
      </c>
      <c r="B6" s="2" t="s">
        <v>1397</v>
      </c>
      <c r="H6" s="2">
        <v>2276</v>
      </c>
      <c r="I6" s="2">
        <v>100</v>
      </c>
      <c r="J6" s="2" t="s">
        <v>1101</v>
      </c>
      <c r="O6" s="2" t="s">
        <v>621</v>
      </c>
      <c r="P6" s="2" t="s">
        <v>620</v>
      </c>
      <c r="Q6" s="1"/>
    </row>
    <row r="7" spans="1:17" x14ac:dyDescent="0.2">
      <c r="A7" s="2" t="s">
        <v>1396</v>
      </c>
      <c r="B7" s="2" t="s">
        <v>1398</v>
      </c>
      <c r="H7" s="2">
        <v>2276</v>
      </c>
      <c r="I7" s="2">
        <v>100</v>
      </c>
      <c r="J7" s="2" t="s">
        <v>1102</v>
      </c>
      <c r="O7" s="2" t="s">
        <v>623</v>
      </c>
      <c r="P7" s="2" t="s">
        <v>622</v>
      </c>
      <c r="Q7" s="1"/>
    </row>
    <row r="8" spans="1:17" x14ac:dyDescent="0.2">
      <c r="A8" s="2" t="s">
        <v>1396</v>
      </c>
      <c r="B8" s="2" t="s">
        <v>1399</v>
      </c>
      <c r="H8" s="2">
        <v>2276</v>
      </c>
      <c r="I8" s="2">
        <v>100</v>
      </c>
      <c r="J8" s="2" t="s">
        <v>1103</v>
      </c>
      <c r="O8" s="2" t="s">
        <v>624</v>
      </c>
      <c r="P8" s="2" t="s">
        <v>622</v>
      </c>
      <c r="Q8" s="1"/>
    </row>
    <row r="9" spans="1:17" x14ac:dyDescent="0.2">
      <c r="A9" s="2" t="s">
        <v>1396</v>
      </c>
      <c r="B9" s="2" t="s">
        <v>1400</v>
      </c>
      <c r="H9" s="2">
        <v>2276</v>
      </c>
      <c r="I9" s="2">
        <v>100</v>
      </c>
      <c r="J9" s="2" t="s">
        <v>1104</v>
      </c>
      <c r="O9" s="2" t="s">
        <v>626</v>
      </c>
      <c r="P9" s="2" t="s">
        <v>625</v>
      </c>
      <c r="Q9" s="1"/>
    </row>
    <row r="10" spans="1:17" x14ac:dyDescent="0.2">
      <c r="A10" s="2" t="s">
        <v>1396</v>
      </c>
      <c r="B10" s="2" t="s">
        <v>1401</v>
      </c>
      <c r="H10" s="2">
        <v>2276</v>
      </c>
      <c r="I10" s="2">
        <v>100</v>
      </c>
      <c r="J10" s="2" t="s">
        <v>1105</v>
      </c>
      <c r="O10" s="2" t="s">
        <v>627</v>
      </c>
      <c r="P10" s="2" t="s">
        <v>625</v>
      </c>
      <c r="Q10" s="1"/>
    </row>
    <row r="11" spans="1:17" x14ac:dyDescent="0.2">
      <c r="A11" s="2" t="s">
        <v>1396</v>
      </c>
      <c r="B11" s="2" t="s">
        <v>1402</v>
      </c>
      <c r="H11" s="2">
        <v>2276</v>
      </c>
      <c r="I11" s="2">
        <v>100</v>
      </c>
      <c r="J11" s="2" t="s">
        <v>1106</v>
      </c>
      <c r="O11" s="2" t="s">
        <v>629</v>
      </c>
      <c r="P11" s="2" t="s">
        <v>628</v>
      </c>
      <c r="Q11" s="1"/>
    </row>
    <row r="12" spans="1:17" x14ac:dyDescent="0.2">
      <c r="A12" s="2" t="s">
        <v>1396</v>
      </c>
      <c r="B12" s="2" t="s">
        <v>1403</v>
      </c>
      <c r="H12" s="2">
        <v>2276</v>
      </c>
      <c r="I12" s="2">
        <v>100</v>
      </c>
      <c r="J12" s="2" t="s">
        <v>1107</v>
      </c>
      <c r="O12" s="2" t="s">
        <v>630</v>
      </c>
      <c r="P12" s="2" t="s">
        <v>628</v>
      </c>
      <c r="Q12" s="1"/>
    </row>
    <row r="13" spans="1:17" x14ac:dyDescent="0.2">
      <c r="A13" s="2" t="s">
        <v>1396</v>
      </c>
      <c r="B13" s="2" t="s">
        <v>1404</v>
      </c>
      <c r="H13" s="2">
        <v>2276</v>
      </c>
      <c r="I13" s="2">
        <v>100</v>
      </c>
      <c r="J13" s="2" t="s">
        <v>1108</v>
      </c>
      <c r="O13" s="2" t="s">
        <v>632</v>
      </c>
      <c r="P13" s="2" t="s">
        <v>631</v>
      </c>
      <c r="Q13" s="1"/>
    </row>
    <row r="14" spans="1:17" x14ac:dyDescent="0.2">
      <c r="A14" s="2" t="s">
        <v>1396</v>
      </c>
      <c r="B14" s="2" t="s">
        <v>1405</v>
      </c>
      <c r="H14" s="2">
        <v>2276</v>
      </c>
      <c r="I14" s="2">
        <v>100</v>
      </c>
      <c r="J14" s="2" t="s">
        <v>1109</v>
      </c>
      <c r="O14" s="2" t="s">
        <v>634</v>
      </c>
      <c r="P14" s="2" t="s">
        <v>633</v>
      </c>
      <c r="Q14" s="1"/>
    </row>
    <row r="15" spans="1:17" x14ac:dyDescent="0.2">
      <c r="A15" s="2" t="s">
        <v>1396</v>
      </c>
      <c r="B15" s="2" t="s">
        <v>1406</v>
      </c>
      <c r="H15" s="2">
        <v>2276</v>
      </c>
      <c r="I15" s="2">
        <v>100</v>
      </c>
      <c r="J15" s="2" t="s">
        <v>1110</v>
      </c>
      <c r="O15" s="2" t="s">
        <v>636</v>
      </c>
      <c r="P15" s="2" t="s">
        <v>635</v>
      </c>
      <c r="Q15" s="1"/>
    </row>
    <row r="16" spans="1:17" x14ac:dyDescent="0.2">
      <c r="A16" s="2" t="s">
        <v>1396</v>
      </c>
      <c r="B16" s="2" t="s">
        <v>1407</v>
      </c>
      <c r="H16" s="2">
        <v>2276</v>
      </c>
      <c r="I16" s="2">
        <v>100</v>
      </c>
      <c r="J16" s="2" t="s">
        <v>1111</v>
      </c>
      <c r="O16" s="2" t="s">
        <v>638</v>
      </c>
      <c r="P16" s="2" t="s">
        <v>637</v>
      </c>
      <c r="Q16" s="1"/>
    </row>
    <row r="17" spans="1:17" x14ac:dyDescent="0.2">
      <c r="A17" s="2" t="s">
        <v>1396</v>
      </c>
      <c r="B17" s="2" t="s">
        <v>1408</v>
      </c>
      <c r="H17" s="2">
        <v>2276</v>
      </c>
      <c r="I17" s="2">
        <v>100</v>
      </c>
      <c r="J17" s="2" t="s">
        <v>1112</v>
      </c>
      <c r="O17" s="2" t="s">
        <v>640</v>
      </c>
      <c r="P17" s="2" t="s">
        <v>639</v>
      </c>
      <c r="Q17" s="1"/>
    </row>
    <row r="18" spans="1:17" x14ac:dyDescent="0.2">
      <c r="A18" s="2" t="s">
        <v>1396</v>
      </c>
      <c r="B18" s="2" t="s">
        <v>1409</v>
      </c>
      <c r="H18" s="2">
        <v>2276</v>
      </c>
      <c r="I18" s="2">
        <v>100</v>
      </c>
      <c r="J18" s="2" t="s">
        <v>1113</v>
      </c>
      <c r="O18" s="2" t="s">
        <v>642</v>
      </c>
      <c r="P18" s="2" t="s">
        <v>641</v>
      </c>
      <c r="Q18" s="1"/>
    </row>
    <row r="19" spans="1:17" x14ac:dyDescent="0.2">
      <c r="A19" s="2" t="s">
        <v>1396</v>
      </c>
      <c r="B19" s="2" t="s">
        <v>1410</v>
      </c>
      <c r="H19" s="2">
        <v>2276</v>
      </c>
      <c r="I19" s="2">
        <v>100</v>
      </c>
      <c r="J19" s="2" t="s">
        <v>1114</v>
      </c>
      <c r="O19" s="2" t="s">
        <v>644</v>
      </c>
      <c r="P19" s="2" t="s">
        <v>643</v>
      </c>
      <c r="Q19" s="1"/>
    </row>
    <row r="20" spans="1:17" x14ac:dyDescent="0.2">
      <c r="A20" s="2" t="s">
        <v>1396</v>
      </c>
      <c r="B20" s="2" t="s">
        <v>1411</v>
      </c>
      <c r="H20" s="2">
        <v>2276</v>
      </c>
      <c r="I20" s="2">
        <v>100</v>
      </c>
      <c r="J20" s="2" t="s">
        <v>1115</v>
      </c>
      <c r="O20" s="2" t="s">
        <v>646</v>
      </c>
      <c r="P20" s="2" t="s">
        <v>645</v>
      </c>
      <c r="Q20" s="1"/>
    </row>
    <row r="21" spans="1:17" x14ac:dyDescent="0.2">
      <c r="A21" s="2" t="s">
        <v>1396</v>
      </c>
      <c r="B21" s="2" t="s">
        <v>1412</v>
      </c>
      <c r="H21" s="2">
        <v>2276</v>
      </c>
      <c r="I21" s="2">
        <v>100</v>
      </c>
      <c r="J21" s="2" t="s">
        <v>1116</v>
      </c>
      <c r="O21" s="2" t="s">
        <v>648</v>
      </c>
      <c r="P21" s="2" t="s">
        <v>647</v>
      </c>
      <c r="Q21" s="1"/>
    </row>
    <row r="22" spans="1:17" x14ac:dyDescent="0.2">
      <c r="A22" s="2" t="s">
        <v>1396</v>
      </c>
      <c r="B22" s="2" t="s">
        <v>1413</v>
      </c>
      <c r="H22" s="2">
        <v>2276</v>
      </c>
      <c r="I22" s="2">
        <v>100</v>
      </c>
      <c r="J22" s="2" t="s">
        <v>1117</v>
      </c>
      <c r="O22" s="2" t="s">
        <v>650</v>
      </c>
      <c r="P22" s="2" t="s">
        <v>649</v>
      </c>
      <c r="Q22" s="1"/>
    </row>
    <row r="23" spans="1:17" x14ac:dyDescent="0.2">
      <c r="A23" s="2" t="s">
        <v>1396</v>
      </c>
      <c r="B23" s="2" t="s">
        <v>1414</v>
      </c>
      <c r="H23" s="2">
        <v>2276</v>
      </c>
      <c r="I23" s="2">
        <v>100</v>
      </c>
      <c r="J23" s="2" t="s">
        <v>1118</v>
      </c>
      <c r="O23" s="2" t="s">
        <v>652</v>
      </c>
      <c r="P23" s="2" t="s">
        <v>651</v>
      </c>
      <c r="Q23" s="1"/>
    </row>
    <row r="24" spans="1:17" x14ac:dyDescent="0.2">
      <c r="A24" s="2" t="s">
        <v>1396</v>
      </c>
      <c r="B24" s="2" t="s">
        <v>1415</v>
      </c>
      <c r="H24" s="2">
        <v>2276</v>
      </c>
      <c r="I24" s="2">
        <v>100</v>
      </c>
      <c r="J24" s="2" t="s">
        <v>1119</v>
      </c>
      <c r="O24" s="2" t="s">
        <v>654</v>
      </c>
      <c r="P24" s="2" t="s">
        <v>653</v>
      </c>
      <c r="Q24" s="1"/>
    </row>
    <row r="25" spans="1:17" x14ac:dyDescent="0.2">
      <c r="A25" s="2" t="s">
        <v>1396</v>
      </c>
      <c r="B25" s="2" t="s">
        <v>1416</v>
      </c>
      <c r="H25" s="2">
        <v>2276</v>
      </c>
      <c r="I25" s="2">
        <v>100</v>
      </c>
      <c r="J25" s="2" t="s">
        <v>1120</v>
      </c>
      <c r="O25" s="2" t="s">
        <v>656</v>
      </c>
      <c r="P25" s="2" t="s">
        <v>655</v>
      </c>
      <c r="Q25" s="1"/>
    </row>
    <row r="26" spans="1:17" x14ac:dyDescent="0.2">
      <c r="A26" s="2" t="s">
        <v>1396</v>
      </c>
      <c r="B26" s="2" t="s">
        <v>1417</v>
      </c>
      <c r="H26" s="2">
        <v>2276</v>
      </c>
      <c r="I26" s="2">
        <v>100</v>
      </c>
      <c r="J26" s="2" t="s">
        <v>1121</v>
      </c>
      <c r="O26" s="2" t="s">
        <v>658</v>
      </c>
      <c r="P26" s="2" t="s">
        <v>657</v>
      </c>
      <c r="Q26" s="1"/>
    </row>
    <row r="27" spans="1:17" x14ac:dyDescent="0.2">
      <c r="A27" s="2" t="s">
        <v>1396</v>
      </c>
      <c r="B27" s="2" t="s">
        <v>1418</v>
      </c>
      <c r="H27" s="2">
        <v>2276</v>
      </c>
      <c r="I27" s="2">
        <v>100</v>
      </c>
      <c r="J27" s="2" t="s">
        <v>1122</v>
      </c>
      <c r="O27" s="2" t="s">
        <v>659</v>
      </c>
      <c r="P27" s="2" t="s">
        <v>657</v>
      </c>
      <c r="Q27" s="1"/>
    </row>
    <row r="28" spans="1:17" x14ac:dyDescent="0.2">
      <c r="A28" s="2" t="s">
        <v>1396</v>
      </c>
      <c r="B28" s="2" t="s">
        <v>1419</v>
      </c>
      <c r="H28" s="2">
        <v>2276</v>
      </c>
      <c r="I28" s="2">
        <v>100</v>
      </c>
      <c r="J28" s="2" t="s">
        <v>1123</v>
      </c>
      <c r="O28" s="2" t="s">
        <v>661</v>
      </c>
      <c r="P28" s="2" t="s">
        <v>660</v>
      </c>
      <c r="Q28" s="1"/>
    </row>
    <row r="29" spans="1:17" x14ac:dyDescent="0.2">
      <c r="A29" s="2" t="s">
        <v>1396</v>
      </c>
      <c r="B29" s="2" t="s">
        <v>1420</v>
      </c>
      <c r="H29" s="2">
        <v>2276</v>
      </c>
      <c r="I29" s="2">
        <v>100</v>
      </c>
      <c r="J29" s="2" t="s">
        <v>1124</v>
      </c>
      <c r="O29" s="2" t="s">
        <v>663</v>
      </c>
      <c r="P29" s="2" t="s">
        <v>662</v>
      </c>
      <c r="Q29" s="1"/>
    </row>
    <row r="30" spans="1:17" x14ac:dyDescent="0.2">
      <c r="A30" s="2" t="s">
        <v>1396</v>
      </c>
      <c r="B30" s="2" t="s">
        <v>1421</v>
      </c>
      <c r="H30" s="2">
        <v>2276</v>
      </c>
      <c r="I30" s="2">
        <v>100</v>
      </c>
      <c r="J30" s="2" t="s">
        <v>1125</v>
      </c>
      <c r="O30" s="2" t="s">
        <v>665</v>
      </c>
      <c r="P30" s="2" t="s">
        <v>664</v>
      </c>
      <c r="Q30" s="1"/>
    </row>
    <row r="31" spans="1:17" x14ac:dyDescent="0.2">
      <c r="A31" s="2" t="s">
        <v>1396</v>
      </c>
      <c r="B31" s="2" t="s">
        <v>1422</v>
      </c>
      <c r="H31" s="2">
        <v>2276</v>
      </c>
      <c r="I31" s="2">
        <v>100</v>
      </c>
      <c r="J31" s="2" t="s">
        <v>1126</v>
      </c>
      <c r="O31" s="2" t="s">
        <v>666</v>
      </c>
      <c r="P31" s="2" t="s">
        <v>664</v>
      </c>
      <c r="Q31" s="1"/>
    </row>
    <row r="32" spans="1:17" x14ac:dyDescent="0.2">
      <c r="A32" s="2" t="s">
        <v>1396</v>
      </c>
      <c r="B32" s="2" t="s">
        <v>1423</v>
      </c>
      <c r="H32" s="2">
        <v>2276</v>
      </c>
      <c r="I32" s="2">
        <v>100</v>
      </c>
      <c r="J32" s="2" t="s">
        <v>1127</v>
      </c>
      <c r="O32" s="2" t="s">
        <v>668</v>
      </c>
      <c r="P32" s="2" t="s">
        <v>667</v>
      </c>
      <c r="Q32" s="1"/>
    </row>
    <row r="33" spans="1:17" x14ac:dyDescent="0.2">
      <c r="A33" s="2" t="s">
        <v>1396</v>
      </c>
      <c r="B33" s="2" t="s">
        <v>1424</v>
      </c>
      <c r="H33" s="2">
        <v>2276</v>
      </c>
      <c r="I33" s="2">
        <v>100</v>
      </c>
      <c r="J33" s="2" t="s">
        <v>1128</v>
      </c>
      <c r="O33" s="2" t="s">
        <v>670</v>
      </c>
      <c r="P33" s="2" t="s">
        <v>669</v>
      </c>
      <c r="Q33" s="1"/>
    </row>
    <row r="34" spans="1:17" x14ac:dyDescent="0.2">
      <c r="A34" s="2" t="s">
        <v>1396</v>
      </c>
      <c r="B34" s="2" t="s">
        <v>1425</v>
      </c>
      <c r="H34" s="2">
        <v>2276</v>
      </c>
      <c r="I34" s="2">
        <v>100</v>
      </c>
      <c r="J34" s="2" t="s">
        <v>1129</v>
      </c>
      <c r="O34" s="2" t="s">
        <v>671</v>
      </c>
      <c r="P34" s="2" t="s">
        <v>669</v>
      </c>
      <c r="Q34" s="1"/>
    </row>
    <row r="35" spans="1:17" x14ac:dyDescent="0.2">
      <c r="A35" s="2" t="s">
        <v>1396</v>
      </c>
      <c r="B35" s="2" t="s">
        <v>1426</v>
      </c>
      <c r="H35" s="2">
        <v>2276</v>
      </c>
      <c r="I35" s="2">
        <v>100</v>
      </c>
      <c r="J35" s="2" t="s">
        <v>1130</v>
      </c>
      <c r="O35" s="2" t="s">
        <v>672</v>
      </c>
      <c r="P35" s="2" t="s">
        <v>669</v>
      </c>
      <c r="Q35" s="1"/>
    </row>
    <row r="36" spans="1:17" x14ac:dyDescent="0.2">
      <c r="A36" s="2" t="s">
        <v>1396</v>
      </c>
      <c r="B36" s="2" t="s">
        <v>1427</v>
      </c>
      <c r="H36" s="2">
        <v>2276</v>
      </c>
      <c r="I36" s="2">
        <v>100</v>
      </c>
      <c r="J36" s="2" t="s">
        <v>1131</v>
      </c>
      <c r="O36" s="2" t="s">
        <v>673</v>
      </c>
      <c r="P36" s="2" t="s">
        <v>667</v>
      </c>
      <c r="Q36" s="1"/>
    </row>
    <row r="37" spans="1:17" x14ac:dyDescent="0.2">
      <c r="A37" s="2" t="s">
        <v>1396</v>
      </c>
      <c r="B37" s="2" t="s">
        <v>1428</v>
      </c>
      <c r="H37" s="2">
        <v>2276</v>
      </c>
      <c r="I37" s="2">
        <v>100</v>
      </c>
      <c r="J37" s="2" t="s">
        <v>1132</v>
      </c>
      <c r="O37" s="2" t="s">
        <v>674</v>
      </c>
      <c r="P37" s="2" t="s">
        <v>664</v>
      </c>
      <c r="Q37" s="1"/>
    </row>
    <row r="38" spans="1:17" x14ac:dyDescent="0.2">
      <c r="A38" s="2" t="s">
        <v>1396</v>
      </c>
      <c r="B38" s="2" t="s">
        <v>1429</v>
      </c>
      <c r="H38" s="2">
        <v>2276</v>
      </c>
      <c r="I38" s="2">
        <v>100</v>
      </c>
      <c r="J38" s="2" t="s">
        <v>1133</v>
      </c>
      <c r="O38" s="2" t="s">
        <v>675</v>
      </c>
      <c r="P38" s="2" t="s">
        <v>664</v>
      </c>
      <c r="Q38" s="1"/>
    </row>
    <row r="39" spans="1:17" x14ac:dyDescent="0.2">
      <c r="A39" s="2" t="s">
        <v>1396</v>
      </c>
      <c r="B39" s="2" t="s">
        <v>1430</v>
      </c>
      <c r="H39" s="2">
        <v>2276</v>
      </c>
      <c r="I39" s="2">
        <v>100</v>
      </c>
      <c r="J39" s="2" t="s">
        <v>1134</v>
      </c>
      <c r="O39" s="2" t="s">
        <v>676</v>
      </c>
      <c r="P39" s="2" t="s">
        <v>662</v>
      </c>
      <c r="Q39" s="1"/>
    </row>
    <row r="40" spans="1:17" x14ac:dyDescent="0.2">
      <c r="A40" s="2" t="s">
        <v>1396</v>
      </c>
      <c r="B40" s="2" t="s">
        <v>1431</v>
      </c>
      <c r="H40" s="2">
        <v>2276</v>
      </c>
      <c r="I40" s="2">
        <v>100</v>
      </c>
      <c r="J40" s="2" t="s">
        <v>1135</v>
      </c>
      <c r="O40" s="2" t="s">
        <v>677</v>
      </c>
      <c r="P40" s="2" t="s">
        <v>662</v>
      </c>
      <c r="Q40" s="1"/>
    </row>
    <row r="41" spans="1:17" x14ac:dyDescent="0.2">
      <c r="A41" s="2" t="s">
        <v>1396</v>
      </c>
      <c r="B41" s="2" t="s">
        <v>1432</v>
      </c>
      <c r="H41" s="2">
        <v>2276</v>
      </c>
      <c r="I41" s="2">
        <v>100</v>
      </c>
      <c r="J41" s="2" t="s">
        <v>1136</v>
      </c>
      <c r="O41" s="2" t="s">
        <v>679</v>
      </c>
      <c r="P41" s="2" t="s">
        <v>678</v>
      </c>
      <c r="Q41" s="1"/>
    </row>
    <row r="42" spans="1:17" x14ac:dyDescent="0.2">
      <c r="A42" s="2" t="s">
        <v>1396</v>
      </c>
      <c r="B42" s="2" t="s">
        <v>1433</v>
      </c>
      <c r="H42" s="2">
        <v>2276</v>
      </c>
      <c r="I42" s="2">
        <v>100</v>
      </c>
      <c r="J42" s="2" t="s">
        <v>1137</v>
      </c>
      <c r="O42" s="2" t="s">
        <v>680</v>
      </c>
      <c r="P42" s="2" t="s">
        <v>678</v>
      </c>
      <c r="Q42" s="1"/>
    </row>
    <row r="43" spans="1:17" x14ac:dyDescent="0.2">
      <c r="A43" s="2" t="s">
        <v>1396</v>
      </c>
      <c r="B43" s="2" t="s">
        <v>1434</v>
      </c>
      <c r="H43" s="2">
        <v>2276</v>
      </c>
      <c r="I43" s="2">
        <v>100</v>
      </c>
      <c r="J43" s="2" t="s">
        <v>1138</v>
      </c>
      <c r="O43" s="2" t="s">
        <v>682</v>
      </c>
      <c r="P43" s="2" t="s">
        <v>681</v>
      </c>
      <c r="Q43" s="1"/>
    </row>
    <row r="44" spans="1:17" x14ac:dyDescent="0.2">
      <c r="A44" s="2" t="s">
        <v>1396</v>
      </c>
      <c r="B44" s="2" t="s">
        <v>1435</v>
      </c>
      <c r="H44" s="2">
        <v>2276</v>
      </c>
      <c r="I44" s="2">
        <v>100</v>
      </c>
      <c r="J44" s="2" t="s">
        <v>1139</v>
      </c>
      <c r="O44" s="2" t="s">
        <v>684</v>
      </c>
      <c r="P44" s="2" t="s">
        <v>683</v>
      </c>
      <c r="Q44" s="1"/>
    </row>
    <row r="45" spans="1:17" x14ac:dyDescent="0.2">
      <c r="A45" s="2" t="s">
        <v>1396</v>
      </c>
      <c r="B45" s="2" t="s">
        <v>1436</v>
      </c>
      <c r="H45" s="2">
        <v>2276</v>
      </c>
      <c r="I45" s="2">
        <v>100</v>
      </c>
      <c r="J45" s="2" t="s">
        <v>1140</v>
      </c>
      <c r="O45" s="2" t="s">
        <v>686</v>
      </c>
      <c r="P45" s="2" t="s">
        <v>685</v>
      </c>
      <c r="Q45" s="1"/>
    </row>
    <row r="46" spans="1:17" x14ac:dyDescent="0.2">
      <c r="A46" s="2" t="s">
        <v>1396</v>
      </c>
      <c r="B46" s="2" t="s">
        <v>1437</v>
      </c>
      <c r="H46" s="2">
        <v>2276</v>
      </c>
      <c r="I46" s="2">
        <v>100</v>
      </c>
      <c r="J46" s="2" t="s">
        <v>1141</v>
      </c>
      <c r="O46" s="2" t="s">
        <v>687</v>
      </c>
      <c r="P46" s="2" t="s">
        <v>685</v>
      </c>
      <c r="Q46" s="1"/>
    </row>
    <row r="47" spans="1:17" x14ac:dyDescent="0.2">
      <c r="A47" s="2" t="s">
        <v>1396</v>
      </c>
      <c r="B47" s="2" t="s">
        <v>1438</v>
      </c>
      <c r="H47" s="2">
        <v>2276</v>
      </c>
      <c r="I47" s="2">
        <v>100</v>
      </c>
      <c r="J47" s="2" t="s">
        <v>1142</v>
      </c>
      <c r="O47" s="2" t="s">
        <v>688</v>
      </c>
      <c r="P47" s="2" t="s">
        <v>685</v>
      </c>
      <c r="Q47" s="1"/>
    </row>
    <row r="48" spans="1:17" x14ac:dyDescent="0.2">
      <c r="A48" s="2" t="s">
        <v>1396</v>
      </c>
      <c r="B48" s="2" t="s">
        <v>1438</v>
      </c>
      <c r="H48" s="2">
        <v>2276</v>
      </c>
      <c r="I48" s="2">
        <v>100</v>
      </c>
      <c r="J48" s="2" t="s">
        <v>1143</v>
      </c>
      <c r="O48" s="2" t="s">
        <v>690</v>
      </c>
      <c r="P48" s="2" t="s">
        <v>689</v>
      </c>
      <c r="Q48" s="1"/>
    </row>
    <row r="49" spans="1:17" x14ac:dyDescent="0.2">
      <c r="A49" s="2" t="s">
        <v>1396</v>
      </c>
      <c r="B49" s="2" t="s">
        <v>1439</v>
      </c>
      <c r="H49" s="2">
        <v>2276</v>
      </c>
      <c r="I49" s="2">
        <v>100</v>
      </c>
      <c r="J49" s="2" t="s">
        <v>1144</v>
      </c>
      <c r="O49" s="2" t="s">
        <v>692</v>
      </c>
      <c r="P49" s="2" t="s">
        <v>691</v>
      </c>
      <c r="Q49" s="1"/>
    </row>
    <row r="50" spans="1:17" x14ac:dyDescent="0.2">
      <c r="A50" s="2" t="s">
        <v>1396</v>
      </c>
      <c r="B50" s="2" t="s">
        <v>1440</v>
      </c>
      <c r="H50" s="2">
        <v>2276</v>
      </c>
      <c r="I50" s="2">
        <v>100</v>
      </c>
      <c r="J50" s="2" t="s">
        <v>1145</v>
      </c>
      <c r="O50" s="2" t="s">
        <v>694</v>
      </c>
      <c r="P50" s="2" t="s">
        <v>693</v>
      </c>
      <c r="Q50" s="1"/>
    </row>
    <row r="51" spans="1:17" x14ac:dyDescent="0.2">
      <c r="A51" s="2" t="s">
        <v>1396</v>
      </c>
      <c r="B51" s="2" t="s">
        <v>1441</v>
      </c>
      <c r="H51" s="2">
        <v>2276</v>
      </c>
      <c r="I51" s="2">
        <v>100</v>
      </c>
      <c r="J51" s="2" t="s">
        <v>1145</v>
      </c>
      <c r="O51" s="2" t="s">
        <v>695</v>
      </c>
      <c r="P51" s="2" t="s">
        <v>693</v>
      </c>
      <c r="Q51" s="1"/>
    </row>
    <row r="52" spans="1:17" x14ac:dyDescent="0.2">
      <c r="A52" s="2" t="s">
        <v>1396</v>
      </c>
      <c r="B52" s="2" t="s">
        <v>1442</v>
      </c>
      <c r="H52" s="2">
        <v>2276</v>
      </c>
      <c r="I52" s="2">
        <v>100</v>
      </c>
      <c r="J52" s="2" t="s">
        <v>1146</v>
      </c>
      <c r="O52" s="2" t="s">
        <v>697</v>
      </c>
      <c r="P52" s="2" t="s">
        <v>696</v>
      </c>
      <c r="Q52" s="1"/>
    </row>
    <row r="53" spans="1:17" x14ac:dyDescent="0.2">
      <c r="A53" s="2" t="s">
        <v>1396</v>
      </c>
      <c r="B53" s="2" t="s">
        <v>1443</v>
      </c>
      <c r="H53" s="2">
        <v>2276</v>
      </c>
      <c r="I53" s="2">
        <v>100</v>
      </c>
      <c r="J53" s="2" t="s">
        <v>1147</v>
      </c>
      <c r="O53" s="2" t="s">
        <v>699</v>
      </c>
      <c r="P53" s="2" t="s">
        <v>698</v>
      </c>
      <c r="Q53" s="1"/>
    </row>
    <row r="54" spans="1:17" x14ac:dyDescent="0.2">
      <c r="A54" s="2" t="s">
        <v>1396</v>
      </c>
      <c r="B54" s="2" t="s">
        <v>1444</v>
      </c>
      <c r="H54" s="2">
        <v>2276</v>
      </c>
      <c r="I54" s="2">
        <v>100</v>
      </c>
      <c r="J54" s="2" t="s">
        <v>1148</v>
      </c>
      <c r="O54" s="2" t="s">
        <v>701</v>
      </c>
      <c r="P54" s="2" t="s">
        <v>700</v>
      </c>
      <c r="Q54" s="1"/>
    </row>
    <row r="55" spans="1:17" x14ac:dyDescent="0.2">
      <c r="A55" s="2" t="s">
        <v>1396</v>
      </c>
      <c r="B55" s="2" t="s">
        <v>1445</v>
      </c>
      <c r="H55" s="2">
        <v>2276</v>
      </c>
      <c r="I55" s="2">
        <v>100</v>
      </c>
      <c r="J55" s="2" t="s">
        <v>1149</v>
      </c>
      <c r="O55" s="2" t="s">
        <v>702</v>
      </c>
      <c r="P55" s="2" t="s">
        <v>700</v>
      </c>
      <c r="Q55" s="1"/>
    </row>
    <row r="56" spans="1:17" x14ac:dyDescent="0.2">
      <c r="A56" s="2" t="s">
        <v>1396</v>
      </c>
      <c r="B56" s="2" t="s">
        <v>1446</v>
      </c>
      <c r="H56" s="2">
        <v>2276</v>
      </c>
      <c r="I56" s="2">
        <v>100</v>
      </c>
      <c r="J56" s="2" t="s">
        <v>1150</v>
      </c>
      <c r="O56" s="2" t="s">
        <v>704</v>
      </c>
      <c r="P56" s="2" t="s">
        <v>703</v>
      </c>
      <c r="Q56" s="1"/>
    </row>
    <row r="57" spans="1:17" x14ac:dyDescent="0.2">
      <c r="A57" s="2" t="s">
        <v>1396</v>
      </c>
      <c r="B57" s="2" t="s">
        <v>1447</v>
      </c>
      <c r="H57" s="2">
        <v>2276</v>
      </c>
      <c r="I57" s="2">
        <v>100</v>
      </c>
      <c r="J57" s="2" t="s">
        <v>1151</v>
      </c>
      <c r="O57" s="2" t="s">
        <v>706</v>
      </c>
      <c r="P57" s="2" t="s">
        <v>705</v>
      </c>
      <c r="Q57" s="1"/>
    </row>
    <row r="58" spans="1:17" x14ac:dyDescent="0.2">
      <c r="A58" s="2" t="s">
        <v>1396</v>
      </c>
      <c r="B58" s="2" t="s">
        <v>1448</v>
      </c>
      <c r="H58" s="2">
        <v>2276</v>
      </c>
      <c r="I58" s="2">
        <v>100</v>
      </c>
      <c r="J58" s="2" t="s">
        <v>1152</v>
      </c>
      <c r="O58" s="2" t="s">
        <v>708</v>
      </c>
      <c r="P58" s="2" t="s">
        <v>707</v>
      </c>
      <c r="Q58" s="1"/>
    </row>
    <row r="59" spans="1:17" x14ac:dyDescent="0.2">
      <c r="A59" s="2" t="s">
        <v>1396</v>
      </c>
      <c r="B59" s="2" t="s">
        <v>1449</v>
      </c>
      <c r="H59" s="2">
        <v>2276</v>
      </c>
      <c r="I59" s="2">
        <v>100</v>
      </c>
      <c r="J59" s="2" t="s">
        <v>1153</v>
      </c>
      <c r="O59" s="2" t="s">
        <v>710</v>
      </c>
      <c r="P59" s="2" t="s">
        <v>709</v>
      </c>
      <c r="Q59" s="1"/>
    </row>
    <row r="60" spans="1:17" x14ac:dyDescent="0.2">
      <c r="A60" s="2" t="s">
        <v>1396</v>
      </c>
      <c r="B60" s="2" t="s">
        <v>1450</v>
      </c>
      <c r="H60" s="2">
        <v>2276</v>
      </c>
      <c r="I60" s="2">
        <v>100</v>
      </c>
      <c r="J60" s="2" t="s">
        <v>1154</v>
      </c>
      <c r="O60" s="2" t="s">
        <v>712</v>
      </c>
      <c r="P60" s="2" t="s">
        <v>711</v>
      </c>
      <c r="Q60" s="1"/>
    </row>
    <row r="61" spans="1:17" x14ac:dyDescent="0.2">
      <c r="A61" s="2" t="s">
        <v>1396</v>
      </c>
      <c r="B61" s="2" t="s">
        <v>1451</v>
      </c>
      <c r="H61" s="2">
        <v>2276</v>
      </c>
      <c r="I61" s="2">
        <v>100</v>
      </c>
      <c r="J61" s="2" t="s">
        <v>1153</v>
      </c>
      <c r="O61" s="2" t="s">
        <v>714</v>
      </c>
      <c r="P61" s="2" t="s">
        <v>713</v>
      </c>
      <c r="Q61" s="1"/>
    </row>
    <row r="62" spans="1:17" x14ac:dyDescent="0.2">
      <c r="A62" s="2" t="s">
        <v>1396</v>
      </c>
      <c r="B62" s="2" t="s">
        <v>1452</v>
      </c>
      <c r="H62" s="2">
        <v>2276</v>
      </c>
      <c r="I62" s="2">
        <v>100</v>
      </c>
      <c r="J62" s="2" t="s">
        <v>1155</v>
      </c>
      <c r="O62" s="2" t="s">
        <v>716</v>
      </c>
      <c r="P62" s="2" t="s">
        <v>715</v>
      </c>
      <c r="Q62" s="1"/>
    </row>
    <row r="63" spans="1:17" x14ac:dyDescent="0.2">
      <c r="A63" s="2" t="s">
        <v>1396</v>
      </c>
      <c r="B63" s="2" t="s">
        <v>1453</v>
      </c>
      <c r="H63" s="2">
        <v>2276</v>
      </c>
      <c r="I63" s="2">
        <v>100</v>
      </c>
      <c r="J63" s="2" t="s">
        <v>1156</v>
      </c>
      <c r="O63" s="2" t="s">
        <v>717</v>
      </c>
      <c r="P63" s="2" t="s">
        <v>715</v>
      </c>
      <c r="Q63" s="1"/>
    </row>
    <row r="64" spans="1:17" x14ac:dyDescent="0.2">
      <c r="A64" s="2" t="s">
        <v>1396</v>
      </c>
      <c r="B64" s="2" t="s">
        <v>1454</v>
      </c>
      <c r="H64" s="2">
        <v>2276</v>
      </c>
      <c r="I64" s="2">
        <v>100</v>
      </c>
      <c r="J64" s="2" t="s">
        <v>1157</v>
      </c>
      <c r="O64" s="2" t="s">
        <v>718</v>
      </c>
      <c r="P64" s="2" t="s">
        <v>715</v>
      </c>
      <c r="Q64" s="1"/>
    </row>
    <row r="65" spans="1:17" x14ac:dyDescent="0.2">
      <c r="A65" s="2" t="s">
        <v>1396</v>
      </c>
      <c r="B65" s="2" t="s">
        <v>1455</v>
      </c>
      <c r="H65" s="2">
        <v>2276</v>
      </c>
      <c r="I65" s="2">
        <v>100</v>
      </c>
      <c r="J65" s="2" t="s">
        <v>1158</v>
      </c>
      <c r="O65" s="2" t="s">
        <v>719</v>
      </c>
      <c r="P65" s="2" t="s">
        <v>715</v>
      </c>
      <c r="Q65" s="1"/>
    </row>
    <row r="66" spans="1:17" x14ac:dyDescent="0.2">
      <c r="A66" s="2" t="s">
        <v>1396</v>
      </c>
      <c r="B66" s="2" t="s">
        <v>1456</v>
      </c>
      <c r="H66" s="2">
        <v>2276</v>
      </c>
      <c r="I66" s="2">
        <v>100</v>
      </c>
      <c r="J66" s="2" t="s">
        <v>1159</v>
      </c>
      <c r="O66" s="2" t="s">
        <v>721</v>
      </c>
      <c r="P66" s="2" t="s">
        <v>720</v>
      </c>
      <c r="Q66" s="1"/>
    </row>
    <row r="67" spans="1:17" x14ac:dyDescent="0.2">
      <c r="A67" s="2" t="s">
        <v>1396</v>
      </c>
      <c r="B67" s="2" t="s">
        <v>1457</v>
      </c>
      <c r="H67" s="2">
        <v>2276</v>
      </c>
      <c r="I67" s="2">
        <v>100</v>
      </c>
      <c r="J67" s="2" t="s">
        <v>1160</v>
      </c>
      <c r="O67" s="2" t="s">
        <v>722</v>
      </c>
      <c r="P67" s="2" t="s">
        <v>720</v>
      </c>
      <c r="Q67" s="1"/>
    </row>
    <row r="68" spans="1:17" x14ac:dyDescent="0.2">
      <c r="A68" s="2" t="s">
        <v>1396</v>
      </c>
      <c r="B68" s="2" t="s">
        <v>1458</v>
      </c>
      <c r="H68" s="2">
        <v>2276</v>
      </c>
      <c r="I68" s="2">
        <v>100</v>
      </c>
      <c r="J68" s="2" t="s">
        <v>1161</v>
      </c>
      <c r="O68" s="2" t="s">
        <v>723</v>
      </c>
      <c r="P68" s="2" t="s">
        <v>720</v>
      </c>
      <c r="Q68" s="1"/>
    </row>
    <row r="69" spans="1:17" x14ac:dyDescent="0.2">
      <c r="A69" s="2" t="s">
        <v>1396</v>
      </c>
      <c r="B69" s="2" t="s">
        <v>1459</v>
      </c>
      <c r="H69" s="2">
        <v>2276</v>
      </c>
      <c r="I69" s="2">
        <v>100</v>
      </c>
      <c r="J69" s="2" t="s">
        <v>1162</v>
      </c>
      <c r="O69" s="2" t="s">
        <v>724</v>
      </c>
      <c r="P69" s="2" t="s">
        <v>720</v>
      </c>
      <c r="Q69" s="1"/>
    </row>
    <row r="70" spans="1:17" x14ac:dyDescent="0.2">
      <c r="A70" s="2" t="s">
        <v>1396</v>
      </c>
      <c r="B70" s="2" t="s">
        <v>1460</v>
      </c>
      <c r="H70" s="2">
        <v>2276</v>
      </c>
      <c r="I70" s="2">
        <v>100</v>
      </c>
      <c r="J70" s="2" t="s">
        <v>1163</v>
      </c>
      <c r="O70" s="2" t="s">
        <v>726</v>
      </c>
      <c r="P70" s="2" t="s">
        <v>725</v>
      </c>
      <c r="Q70" s="1"/>
    </row>
    <row r="71" spans="1:17" x14ac:dyDescent="0.2">
      <c r="A71" s="2" t="s">
        <v>1396</v>
      </c>
      <c r="B71" s="2" t="s">
        <v>1461</v>
      </c>
      <c r="H71" s="2">
        <v>2276</v>
      </c>
      <c r="I71" s="2">
        <v>100</v>
      </c>
      <c r="J71" s="2" t="s">
        <v>1164</v>
      </c>
      <c r="O71" s="2" t="s">
        <v>727</v>
      </c>
      <c r="P71" s="2" t="s">
        <v>725</v>
      </c>
      <c r="Q71" s="1"/>
    </row>
    <row r="72" spans="1:17" x14ac:dyDescent="0.2">
      <c r="A72" s="2" t="s">
        <v>1396</v>
      </c>
      <c r="B72" s="2" t="s">
        <v>1462</v>
      </c>
      <c r="H72" s="2">
        <v>2276</v>
      </c>
      <c r="I72" s="2">
        <v>100</v>
      </c>
      <c r="J72" s="2" t="s">
        <v>1165</v>
      </c>
      <c r="O72" s="2" t="s">
        <v>728</v>
      </c>
      <c r="P72" s="2" t="s">
        <v>725</v>
      </c>
      <c r="Q72" s="1"/>
    </row>
    <row r="73" spans="1:17" x14ac:dyDescent="0.2">
      <c r="A73" s="2" t="s">
        <v>1396</v>
      </c>
      <c r="B73" s="2" t="s">
        <v>1463</v>
      </c>
      <c r="H73" s="2">
        <v>2276</v>
      </c>
      <c r="I73" s="2">
        <v>100</v>
      </c>
      <c r="J73" s="2" t="s">
        <v>1166</v>
      </c>
      <c r="O73" s="2" t="s">
        <v>729</v>
      </c>
      <c r="P73" s="2" t="s">
        <v>725</v>
      </c>
      <c r="Q73" s="1"/>
    </row>
    <row r="74" spans="1:17" x14ac:dyDescent="0.2">
      <c r="A74" s="2" t="s">
        <v>1396</v>
      </c>
      <c r="B74" s="2" t="s">
        <v>1464</v>
      </c>
      <c r="H74" s="2">
        <v>2276</v>
      </c>
      <c r="I74" s="2">
        <v>100</v>
      </c>
      <c r="J74" s="2" t="s">
        <v>1167</v>
      </c>
      <c r="O74" s="2" t="s">
        <v>730</v>
      </c>
      <c r="P74" s="2" t="s">
        <v>725</v>
      </c>
      <c r="Q74" s="1"/>
    </row>
    <row r="75" spans="1:17" x14ac:dyDescent="0.2">
      <c r="A75" s="2" t="s">
        <v>1396</v>
      </c>
      <c r="B75" s="2" t="s">
        <v>1465</v>
      </c>
      <c r="H75" s="2">
        <v>2276</v>
      </c>
      <c r="I75" s="2">
        <v>100</v>
      </c>
      <c r="J75" s="2" t="s">
        <v>1168</v>
      </c>
      <c r="O75" s="2" t="s">
        <v>731</v>
      </c>
      <c r="P75" s="2" t="s">
        <v>725</v>
      </c>
      <c r="Q75" s="1"/>
    </row>
    <row r="76" spans="1:17" x14ac:dyDescent="0.2">
      <c r="A76" s="2" t="s">
        <v>1396</v>
      </c>
      <c r="B76" s="2" t="s">
        <v>1466</v>
      </c>
      <c r="H76" s="2">
        <v>2276</v>
      </c>
      <c r="I76" s="2">
        <v>100</v>
      </c>
      <c r="J76" s="2" t="s">
        <v>1169</v>
      </c>
      <c r="O76" s="2" t="s">
        <v>732</v>
      </c>
      <c r="P76" s="2" t="s">
        <v>725</v>
      </c>
      <c r="Q76" s="1"/>
    </row>
    <row r="77" spans="1:17" x14ac:dyDescent="0.2">
      <c r="A77" s="2" t="s">
        <v>1396</v>
      </c>
      <c r="B77" s="2" t="s">
        <v>1467</v>
      </c>
      <c r="H77" s="2">
        <v>2276</v>
      </c>
      <c r="I77" s="2">
        <v>100</v>
      </c>
      <c r="J77" s="2" t="s">
        <v>1170</v>
      </c>
      <c r="O77" s="2" t="s">
        <v>733</v>
      </c>
      <c r="P77" s="2" t="s">
        <v>725</v>
      </c>
      <c r="Q77" s="1"/>
    </row>
    <row r="78" spans="1:17" x14ac:dyDescent="0.2">
      <c r="A78" s="2" t="s">
        <v>1396</v>
      </c>
      <c r="B78" s="2" t="s">
        <v>1468</v>
      </c>
      <c r="H78" s="2">
        <v>2276</v>
      </c>
      <c r="I78" s="2">
        <v>100</v>
      </c>
      <c r="J78" s="2" t="s">
        <v>1167</v>
      </c>
      <c r="O78" s="2" t="s">
        <v>734</v>
      </c>
      <c r="P78" s="2" t="s">
        <v>725</v>
      </c>
      <c r="Q78" s="1"/>
    </row>
    <row r="79" spans="1:17" x14ac:dyDescent="0.2">
      <c r="A79" s="2" t="s">
        <v>1396</v>
      </c>
      <c r="B79" s="2" t="s">
        <v>1469</v>
      </c>
      <c r="H79" s="2">
        <v>2276</v>
      </c>
      <c r="I79" s="2">
        <v>100</v>
      </c>
      <c r="J79" s="2" t="s">
        <v>1171</v>
      </c>
      <c r="O79" s="2" t="s">
        <v>735</v>
      </c>
      <c r="P79" s="2" t="s">
        <v>725</v>
      </c>
      <c r="Q79" s="1"/>
    </row>
    <row r="80" spans="1:17" x14ac:dyDescent="0.2">
      <c r="A80" s="2" t="s">
        <v>1396</v>
      </c>
      <c r="B80" s="2" t="s">
        <v>1470</v>
      </c>
      <c r="H80" s="2">
        <v>2276</v>
      </c>
      <c r="I80" s="2">
        <v>100</v>
      </c>
      <c r="J80" s="2" t="s">
        <v>1172</v>
      </c>
      <c r="O80" s="2" t="s">
        <v>737</v>
      </c>
      <c r="P80" s="2" t="s">
        <v>736</v>
      </c>
      <c r="Q80" s="1"/>
    </row>
    <row r="81" spans="1:17" x14ac:dyDescent="0.2">
      <c r="A81" s="2" t="s">
        <v>1396</v>
      </c>
      <c r="B81" s="2" t="s">
        <v>1471</v>
      </c>
      <c r="H81" s="2">
        <v>2276</v>
      </c>
      <c r="I81" s="2">
        <v>100</v>
      </c>
      <c r="J81" s="2" t="s">
        <v>1173</v>
      </c>
      <c r="O81" s="2" t="s">
        <v>738</v>
      </c>
      <c r="P81" s="2" t="s">
        <v>736</v>
      </c>
      <c r="Q81" s="1"/>
    </row>
    <row r="82" spans="1:17" x14ac:dyDescent="0.2">
      <c r="A82" s="2" t="s">
        <v>1396</v>
      </c>
      <c r="B82" s="2" t="s">
        <v>1472</v>
      </c>
      <c r="H82" s="2">
        <v>2276</v>
      </c>
      <c r="I82" s="2">
        <v>100</v>
      </c>
      <c r="J82" s="2" t="s">
        <v>1174</v>
      </c>
      <c r="O82" s="2" t="s">
        <v>739</v>
      </c>
      <c r="P82" s="2" t="s">
        <v>736</v>
      </c>
      <c r="Q82" s="1"/>
    </row>
    <row r="83" spans="1:17" x14ac:dyDescent="0.2">
      <c r="A83" s="2" t="s">
        <v>1396</v>
      </c>
      <c r="B83" s="2" t="s">
        <v>1473</v>
      </c>
      <c r="H83" s="2">
        <v>2276</v>
      </c>
      <c r="I83" s="2">
        <v>100</v>
      </c>
      <c r="J83" s="2" t="s">
        <v>1175</v>
      </c>
      <c r="O83" s="2" t="s">
        <v>740</v>
      </c>
      <c r="P83" s="2" t="s">
        <v>736</v>
      </c>
      <c r="Q83" s="1"/>
    </row>
    <row r="84" spans="1:17" x14ac:dyDescent="0.2">
      <c r="A84" s="2" t="s">
        <v>1396</v>
      </c>
      <c r="B84" s="2" t="s">
        <v>1474</v>
      </c>
      <c r="H84" s="2">
        <v>2276</v>
      </c>
      <c r="I84" s="2">
        <v>100</v>
      </c>
      <c r="J84" s="2" t="s">
        <v>1176</v>
      </c>
      <c r="O84" s="2" t="s">
        <v>741</v>
      </c>
      <c r="P84" s="2" t="s">
        <v>736</v>
      </c>
      <c r="Q84" s="1"/>
    </row>
    <row r="85" spans="1:17" x14ac:dyDescent="0.2">
      <c r="A85" s="2" t="s">
        <v>1396</v>
      </c>
      <c r="B85" s="2" t="s">
        <v>1475</v>
      </c>
      <c r="H85" s="2">
        <v>2276</v>
      </c>
      <c r="I85" s="2">
        <v>100</v>
      </c>
      <c r="J85" s="2" t="s">
        <v>1177</v>
      </c>
      <c r="O85" s="2" t="s">
        <v>742</v>
      </c>
      <c r="P85" s="2" t="s">
        <v>736</v>
      </c>
      <c r="Q85" s="1"/>
    </row>
    <row r="86" spans="1:17" x14ac:dyDescent="0.2">
      <c r="A86" s="2" t="s">
        <v>1396</v>
      </c>
      <c r="B86" s="2" t="s">
        <v>1476</v>
      </c>
      <c r="H86" s="2">
        <v>2276</v>
      </c>
      <c r="I86" s="2">
        <v>100</v>
      </c>
      <c r="J86" s="2" t="s">
        <v>1178</v>
      </c>
      <c r="O86" s="2" t="s">
        <v>743</v>
      </c>
      <c r="P86" s="2" t="s">
        <v>736</v>
      </c>
      <c r="Q86" s="1"/>
    </row>
    <row r="87" spans="1:17" x14ac:dyDescent="0.2">
      <c r="A87" s="2" t="s">
        <v>1396</v>
      </c>
      <c r="B87" s="2" t="s">
        <v>1477</v>
      </c>
      <c r="H87" s="2">
        <v>2276</v>
      </c>
      <c r="I87" s="2">
        <v>100</v>
      </c>
      <c r="J87" s="2" t="s">
        <v>1179</v>
      </c>
      <c r="O87" s="2" t="s">
        <v>744</v>
      </c>
      <c r="P87" s="2" t="s">
        <v>725</v>
      </c>
      <c r="Q87" s="1"/>
    </row>
    <row r="88" spans="1:17" x14ac:dyDescent="0.2">
      <c r="A88" s="2" t="s">
        <v>1396</v>
      </c>
      <c r="B88" s="2" t="s">
        <v>1478</v>
      </c>
      <c r="H88" s="2">
        <v>2276</v>
      </c>
      <c r="I88" s="2">
        <v>100</v>
      </c>
      <c r="J88" s="2" t="s">
        <v>1180</v>
      </c>
      <c r="O88" s="2" t="s">
        <v>745</v>
      </c>
      <c r="P88" s="2" t="s">
        <v>720</v>
      </c>
      <c r="Q88" s="1"/>
    </row>
    <row r="89" spans="1:17" x14ac:dyDescent="0.2">
      <c r="A89" s="2" t="s">
        <v>1396</v>
      </c>
      <c r="B89" s="2" t="s">
        <v>1479</v>
      </c>
      <c r="H89" s="2">
        <v>2276</v>
      </c>
      <c r="I89" s="2">
        <v>100</v>
      </c>
      <c r="J89" s="2" t="s">
        <v>1181</v>
      </c>
      <c r="O89" s="2" t="s">
        <v>746</v>
      </c>
      <c r="P89" s="2" t="s">
        <v>720</v>
      </c>
      <c r="Q89" s="1"/>
    </row>
    <row r="90" spans="1:17" x14ac:dyDescent="0.2">
      <c r="A90" s="2" t="s">
        <v>1396</v>
      </c>
      <c r="B90" s="2" t="s">
        <v>1480</v>
      </c>
      <c r="H90" s="2">
        <v>2276</v>
      </c>
      <c r="I90" s="2">
        <v>100</v>
      </c>
      <c r="J90" s="2" t="s">
        <v>1182</v>
      </c>
      <c r="O90" s="2" t="s">
        <v>747</v>
      </c>
      <c r="P90" s="2" t="s">
        <v>715</v>
      </c>
      <c r="Q90" s="1"/>
    </row>
    <row r="91" spans="1:17" x14ac:dyDescent="0.2">
      <c r="A91" s="2" t="s">
        <v>1396</v>
      </c>
      <c r="B91" s="2" t="s">
        <v>1481</v>
      </c>
      <c r="H91" s="2">
        <v>2276</v>
      </c>
      <c r="I91" s="2">
        <v>100</v>
      </c>
      <c r="J91" s="2" t="s">
        <v>1183</v>
      </c>
      <c r="O91" s="2" t="s">
        <v>749</v>
      </c>
      <c r="P91" s="2" t="s">
        <v>748</v>
      </c>
      <c r="Q91" s="1"/>
    </row>
    <row r="92" spans="1:17" x14ac:dyDescent="0.2">
      <c r="A92" s="2" t="s">
        <v>1396</v>
      </c>
      <c r="B92" s="2" t="s">
        <v>1482</v>
      </c>
      <c r="H92" s="2">
        <v>2276</v>
      </c>
      <c r="I92" s="2">
        <v>100</v>
      </c>
      <c r="J92" s="2" t="s">
        <v>1184</v>
      </c>
      <c r="O92" s="2" t="s">
        <v>751</v>
      </c>
      <c r="P92" s="2" t="s">
        <v>750</v>
      </c>
      <c r="Q92" s="1"/>
    </row>
    <row r="93" spans="1:17" x14ac:dyDescent="0.2">
      <c r="A93" s="2" t="s">
        <v>1396</v>
      </c>
      <c r="B93" s="2" t="s">
        <v>1483</v>
      </c>
      <c r="H93" s="2">
        <v>2276</v>
      </c>
      <c r="I93" s="2">
        <v>100</v>
      </c>
      <c r="J93" s="2" t="s">
        <v>1185</v>
      </c>
      <c r="O93" s="2" t="s">
        <v>753</v>
      </c>
      <c r="P93" s="2" t="s">
        <v>752</v>
      </c>
      <c r="Q93" s="1"/>
    </row>
    <row r="94" spans="1:17" x14ac:dyDescent="0.2">
      <c r="A94" s="2" t="s">
        <v>1396</v>
      </c>
      <c r="B94" s="2" t="s">
        <v>1484</v>
      </c>
      <c r="H94" s="2">
        <v>2276</v>
      </c>
      <c r="I94" s="2">
        <v>100</v>
      </c>
      <c r="J94" s="2" t="s">
        <v>1186</v>
      </c>
      <c r="O94" s="2" t="s">
        <v>755</v>
      </c>
      <c r="P94" s="2" t="s">
        <v>754</v>
      </c>
      <c r="Q94" s="1"/>
    </row>
    <row r="95" spans="1:17" x14ac:dyDescent="0.2">
      <c r="A95" s="2" t="s">
        <v>1396</v>
      </c>
      <c r="B95" s="2" t="s">
        <v>1485</v>
      </c>
      <c r="H95" s="2">
        <v>2276</v>
      </c>
      <c r="I95" s="2">
        <v>100</v>
      </c>
      <c r="J95" s="2" t="s">
        <v>1187</v>
      </c>
      <c r="O95" s="2" t="s">
        <v>757</v>
      </c>
      <c r="P95" s="2" t="s">
        <v>756</v>
      </c>
      <c r="Q95" s="1"/>
    </row>
    <row r="96" spans="1:17" x14ac:dyDescent="0.2">
      <c r="A96" s="2" t="s">
        <v>1396</v>
      </c>
      <c r="B96" s="2" t="s">
        <v>1486</v>
      </c>
      <c r="H96" s="2">
        <v>2276</v>
      </c>
      <c r="I96" s="2">
        <v>100</v>
      </c>
      <c r="J96" s="2" t="s">
        <v>1188</v>
      </c>
      <c r="O96" s="2" t="s">
        <v>759</v>
      </c>
      <c r="P96" s="2" t="s">
        <v>758</v>
      </c>
      <c r="Q96" s="1"/>
    </row>
    <row r="97" spans="1:17" x14ac:dyDescent="0.2">
      <c r="A97" s="2" t="s">
        <v>1396</v>
      </c>
      <c r="B97" s="2" t="s">
        <v>1487</v>
      </c>
      <c r="H97" s="2">
        <v>2276</v>
      </c>
      <c r="I97" s="2">
        <v>100</v>
      </c>
      <c r="J97" s="2" t="s">
        <v>1189</v>
      </c>
      <c r="O97" s="2" t="s">
        <v>761</v>
      </c>
      <c r="P97" s="2" t="s">
        <v>760</v>
      </c>
      <c r="Q97" s="1"/>
    </row>
    <row r="98" spans="1:17" x14ac:dyDescent="0.2">
      <c r="A98" s="2" t="s">
        <v>1396</v>
      </c>
      <c r="B98" s="2" t="s">
        <v>1488</v>
      </c>
      <c r="H98" s="2">
        <v>2276</v>
      </c>
      <c r="I98" s="2">
        <v>100</v>
      </c>
      <c r="J98" s="2" t="s">
        <v>1190</v>
      </c>
      <c r="O98" s="2" t="s">
        <v>763</v>
      </c>
      <c r="P98" s="2" t="s">
        <v>762</v>
      </c>
      <c r="Q98" s="1"/>
    </row>
    <row r="99" spans="1:17" x14ac:dyDescent="0.2">
      <c r="A99" s="2" t="s">
        <v>1396</v>
      </c>
      <c r="B99" s="2" t="s">
        <v>1489</v>
      </c>
      <c r="H99" s="2">
        <v>2276</v>
      </c>
      <c r="I99" s="2">
        <v>100</v>
      </c>
      <c r="J99" s="2" t="s">
        <v>1191</v>
      </c>
      <c r="O99" s="2" t="s">
        <v>765</v>
      </c>
      <c r="P99" s="2" t="s">
        <v>764</v>
      </c>
      <c r="Q99" s="1"/>
    </row>
    <row r="100" spans="1:17" x14ac:dyDescent="0.2">
      <c r="A100" s="2" t="s">
        <v>1396</v>
      </c>
      <c r="B100" s="2" t="s">
        <v>1490</v>
      </c>
      <c r="H100" s="2">
        <v>2276</v>
      </c>
      <c r="I100" s="2">
        <v>100</v>
      </c>
      <c r="J100" s="2" t="s">
        <v>1192</v>
      </c>
      <c r="O100" s="2" t="s">
        <v>767</v>
      </c>
      <c r="P100" s="2" t="s">
        <v>766</v>
      </c>
      <c r="Q100" s="1"/>
    </row>
    <row r="101" spans="1:17" x14ac:dyDescent="0.2">
      <c r="A101" s="2" t="s">
        <v>1396</v>
      </c>
      <c r="B101" s="2" t="s">
        <v>1491</v>
      </c>
      <c r="H101" s="2">
        <v>2276</v>
      </c>
      <c r="I101" s="2">
        <v>100</v>
      </c>
      <c r="J101" s="2" t="s">
        <v>1193</v>
      </c>
      <c r="O101" s="2" t="s">
        <v>769</v>
      </c>
      <c r="P101" s="2" t="s">
        <v>768</v>
      </c>
      <c r="Q101" s="1"/>
    </row>
    <row r="102" spans="1:17" x14ac:dyDescent="0.2">
      <c r="A102" s="2" t="s">
        <v>1396</v>
      </c>
      <c r="B102" s="2" t="s">
        <v>1492</v>
      </c>
      <c r="H102" s="2">
        <v>2276</v>
      </c>
      <c r="I102" s="2">
        <v>100</v>
      </c>
      <c r="J102" s="2" t="s">
        <v>1194</v>
      </c>
      <c r="O102" s="2" t="s">
        <v>771</v>
      </c>
      <c r="P102" s="2" t="s">
        <v>770</v>
      </c>
      <c r="Q102" s="1"/>
    </row>
    <row r="103" spans="1:17" x14ac:dyDescent="0.2">
      <c r="A103" s="2" t="s">
        <v>1396</v>
      </c>
      <c r="B103" s="2" t="s">
        <v>1493</v>
      </c>
      <c r="H103" s="2">
        <v>2276</v>
      </c>
      <c r="I103" s="2">
        <v>100</v>
      </c>
      <c r="J103" s="2" t="s">
        <v>1195</v>
      </c>
      <c r="O103" s="2" t="s">
        <v>773</v>
      </c>
      <c r="P103" s="2" t="s">
        <v>772</v>
      </c>
      <c r="Q103" s="1"/>
    </row>
    <row r="104" spans="1:17" x14ac:dyDescent="0.2">
      <c r="A104" s="2" t="s">
        <v>1396</v>
      </c>
      <c r="B104" s="2" t="s">
        <v>1494</v>
      </c>
      <c r="H104" s="2">
        <v>2276</v>
      </c>
      <c r="I104" s="2">
        <v>100</v>
      </c>
      <c r="J104" s="2" t="s">
        <v>1196</v>
      </c>
      <c r="O104" s="2" t="s">
        <v>775</v>
      </c>
      <c r="P104" s="2" t="s">
        <v>774</v>
      </c>
      <c r="Q104" s="1"/>
    </row>
    <row r="105" spans="1:17" x14ac:dyDescent="0.2">
      <c r="A105" s="2" t="s">
        <v>1396</v>
      </c>
      <c r="B105" s="2" t="s">
        <v>1495</v>
      </c>
      <c r="H105" s="2">
        <v>2276</v>
      </c>
      <c r="I105" s="2">
        <v>100</v>
      </c>
      <c r="J105" s="2" t="s">
        <v>1197</v>
      </c>
      <c r="O105" s="2" t="s">
        <v>776</v>
      </c>
      <c r="P105" s="2" t="s">
        <v>713</v>
      </c>
      <c r="Q105" s="1"/>
    </row>
    <row r="106" spans="1:17" x14ac:dyDescent="0.2">
      <c r="A106" s="2" t="s">
        <v>1396</v>
      </c>
      <c r="B106" s="2" t="s">
        <v>1496</v>
      </c>
      <c r="H106" s="2">
        <v>2276</v>
      </c>
      <c r="I106" s="2">
        <v>100</v>
      </c>
      <c r="J106" s="2" t="s">
        <v>1198</v>
      </c>
      <c r="O106" s="2" t="s">
        <v>777</v>
      </c>
      <c r="P106" s="2" t="s">
        <v>711</v>
      </c>
      <c r="Q106" s="1"/>
    </row>
    <row r="107" spans="1:17" x14ac:dyDescent="0.2">
      <c r="A107" s="2" t="s">
        <v>1396</v>
      </c>
      <c r="B107" s="2" t="s">
        <v>1497</v>
      </c>
      <c r="H107" s="2">
        <v>2276</v>
      </c>
      <c r="I107" s="2">
        <v>100</v>
      </c>
      <c r="J107" s="2" t="s">
        <v>1199</v>
      </c>
      <c r="O107" s="2" t="s">
        <v>779</v>
      </c>
      <c r="P107" s="2" t="s">
        <v>778</v>
      </c>
      <c r="Q107" s="1"/>
    </row>
    <row r="108" spans="1:17" x14ac:dyDescent="0.2">
      <c r="A108" s="2" t="s">
        <v>1396</v>
      </c>
      <c r="B108" s="2" t="s">
        <v>1498</v>
      </c>
      <c r="H108" s="2">
        <v>2276</v>
      </c>
      <c r="I108" s="2">
        <v>100</v>
      </c>
      <c r="J108" s="2" t="s">
        <v>1200</v>
      </c>
      <c r="O108" s="2" t="s">
        <v>781</v>
      </c>
      <c r="P108" s="2" t="s">
        <v>780</v>
      </c>
      <c r="Q108" s="1"/>
    </row>
    <row r="109" spans="1:17" x14ac:dyDescent="0.2">
      <c r="A109" s="2" t="s">
        <v>1396</v>
      </c>
      <c r="B109" s="2" t="s">
        <v>1499</v>
      </c>
      <c r="H109" s="2">
        <v>2276</v>
      </c>
      <c r="I109" s="2">
        <v>100</v>
      </c>
      <c r="J109" s="2" t="s">
        <v>1201</v>
      </c>
      <c r="O109" s="2" t="s">
        <v>783</v>
      </c>
      <c r="P109" s="2" t="s">
        <v>782</v>
      </c>
      <c r="Q109" s="1"/>
    </row>
    <row r="110" spans="1:17" x14ac:dyDescent="0.2">
      <c r="A110" s="2" t="s">
        <v>1396</v>
      </c>
      <c r="B110" s="2" t="s">
        <v>1500</v>
      </c>
      <c r="H110" s="2">
        <v>2276</v>
      </c>
      <c r="I110" s="2">
        <v>100</v>
      </c>
      <c r="J110" s="2" t="s">
        <v>1202</v>
      </c>
      <c r="O110" s="2" t="s">
        <v>785</v>
      </c>
      <c r="P110" s="2" t="s">
        <v>784</v>
      </c>
      <c r="Q110" s="1"/>
    </row>
    <row r="111" spans="1:17" x14ac:dyDescent="0.2">
      <c r="A111" s="2" t="s">
        <v>1396</v>
      </c>
      <c r="B111" s="2" t="s">
        <v>1501</v>
      </c>
      <c r="H111" s="2">
        <v>2276</v>
      </c>
      <c r="I111" s="2">
        <v>100</v>
      </c>
      <c r="J111" s="2" t="s">
        <v>1203</v>
      </c>
      <c r="O111" s="2" t="s">
        <v>785</v>
      </c>
      <c r="P111" s="2" t="s">
        <v>786</v>
      </c>
      <c r="Q111" s="1"/>
    </row>
    <row r="112" spans="1:17" x14ac:dyDescent="0.2">
      <c r="A112" s="2" t="s">
        <v>1396</v>
      </c>
      <c r="B112" s="2" t="s">
        <v>1502</v>
      </c>
      <c r="H112" s="2">
        <v>2276</v>
      </c>
      <c r="I112" s="2">
        <v>100</v>
      </c>
      <c r="J112" s="2" t="s">
        <v>1204</v>
      </c>
      <c r="O112" s="2" t="s">
        <v>788</v>
      </c>
      <c r="P112" s="2" t="s">
        <v>787</v>
      </c>
      <c r="Q112" s="1"/>
    </row>
    <row r="113" spans="1:17" x14ac:dyDescent="0.2">
      <c r="A113" s="2" t="s">
        <v>1396</v>
      </c>
      <c r="B113" s="2" t="s">
        <v>1503</v>
      </c>
      <c r="H113" s="2">
        <v>2276</v>
      </c>
      <c r="I113" s="2">
        <v>100</v>
      </c>
      <c r="J113" s="2" t="s">
        <v>1205</v>
      </c>
      <c r="O113" s="2" t="s">
        <v>790</v>
      </c>
      <c r="P113" s="2" t="s">
        <v>789</v>
      </c>
      <c r="Q113" s="1"/>
    </row>
    <row r="114" spans="1:17" x14ac:dyDescent="0.2">
      <c r="A114" s="2" t="s">
        <v>1396</v>
      </c>
      <c r="B114" s="2" t="s">
        <v>1504</v>
      </c>
      <c r="H114" s="2">
        <v>2276</v>
      </c>
      <c r="I114" s="2">
        <v>100</v>
      </c>
      <c r="J114" s="2" t="s">
        <v>1206</v>
      </c>
      <c r="O114" s="2" t="s">
        <v>792</v>
      </c>
      <c r="P114" s="2" t="s">
        <v>791</v>
      </c>
      <c r="Q114" s="1"/>
    </row>
    <row r="115" spans="1:17" x14ac:dyDescent="0.2">
      <c r="A115" s="2" t="s">
        <v>1396</v>
      </c>
      <c r="B115" s="2" t="s">
        <v>1505</v>
      </c>
      <c r="H115" s="2">
        <v>2276</v>
      </c>
      <c r="I115" s="2">
        <v>100</v>
      </c>
      <c r="J115" s="2" t="s">
        <v>1207</v>
      </c>
      <c r="O115" s="2" t="s">
        <v>794</v>
      </c>
      <c r="P115" s="2" t="s">
        <v>793</v>
      </c>
      <c r="Q115" s="1"/>
    </row>
    <row r="116" spans="1:17" x14ac:dyDescent="0.2">
      <c r="A116" s="2" t="s">
        <v>1396</v>
      </c>
      <c r="B116" s="2" t="s">
        <v>1506</v>
      </c>
      <c r="H116" s="2">
        <v>2276</v>
      </c>
      <c r="I116" s="2">
        <v>100</v>
      </c>
      <c r="J116" s="2" t="s">
        <v>1208</v>
      </c>
      <c r="O116" s="2" t="s">
        <v>796</v>
      </c>
      <c r="P116" s="2" t="s">
        <v>795</v>
      </c>
      <c r="Q116" s="1"/>
    </row>
    <row r="117" spans="1:17" x14ac:dyDescent="0.2">
      <c r="A117" s="2" t="s">
        <v>1396</v>
      </c>
      <c r="B117" s="2" t="s">
        <v>1507</v>
      </c>
      <c r="H117" s="2">
        <v>2276</v>
      </c>
      <c r="I117" s="2">
        <v>100</v>
      </c>
      <c r="J117" s="2" t="s">
        <v>1209</v>
      </c>
      <c r="O117" s="2" t="s">
        <v>798</v>
      </c>
      <c r="P117" s="2" t="s">
        <v>797</v>
      </c>
      <c r="Q117" s="1"/>
    </row>
    <row r="118" spans="1:17" x14ac:dyDescent="0.2">
      <c r="A118" s="2" t="s">
        <v>1396</v>
      </c>
      <c r="B118" s="2" t="s">
        <v>1508</v>
      </c>
      <c r="H118" s="2">
        <v>2276</v>
      </c>
      <c r="I118" s="2">
        <v>100</v>
      </c>
      <c r="J118" s="2" t="s">
        <v>1210</v>
      </c>
      <c r="O118" s="2" t="s">
        <v>800</v>
      </c>
      <c r="P118" s="2" t="s">
        <v>799</v>
      </c>
      <c r="Q118" s="1"/>
    </row>
    <row r="119" spans="1:17" x14ac:dyDescent="0.2">
      <c r="A119" s="2" t="s">
        <v>1396</v>
      </c>
      <c r="B119" s="2" t="s">
        <v>1509</v>
      </c>
      <c r="H119" s="2">
        <v>2276</v>
      </c>
      <c r="I119" s="2">
        <v>100</v>
      </c>
      <c r="J119" s="2" t="s">
        <v>1211</v>
      </c>
      <c r="O119" s="2" t="s">
        <v>802</v>
      </c>
      <c r="P119" s="2" t="s">
        <v>801</v>
      </c>
      <c r="Q119" s="1"/>
    </row>
    <row r="120" spans="1:17" x14ac:dyDescent="0.2">
      <c r="A120" s="2" t="s">
        <v>1396</v>
      </c>
      <c r="B120" s="2" t="s">
        <v>1510</v>
      </c>
      <c r="H120" s="2">
        <v>2276</v>
      </c>
      <c r="I120" s="2">
        <v>100</v>
      </c>
      <c r="J120" s="2" t="s">
        <v>1212</v>
      </c>
      <c r="O120" s="2" t="s">
        <v>804</v>
      </c>
      <c r="P120" s="2" t="s">
        <v>803</v>
      </c>
      <c r="Q120" s="1"/>
    </row>
    <row r="121" spans="1:17" x14ac:dyDescent="0.2">
      <c r="A121" s="2" t="s">
        <v>1396</v>
      </c>
      <c r="B121" s="2" t="s">
        <v>1511</v>
      </c>
      <c r="H121" s="2">
        <v>2276</v>
      </c>
      <c r="I121" s="2">
        <v>100</v>
      </c>
      <c r="J121" s="2" t="s">
        <v>1213</v>
      </c>
      <c r="O121" s="2" t="s">
        <v>805</v>
      </c>
      <c r="P121" s="2" t="s">
        <v>803</v>
      </c>
      <c r="Q121" s="1"/>
    </row>
    <row r="122" spans="1:17" x14ac:dyDescent="0.2">
      <c r="A122" s="2" t="s">
        <v>1396</v>
      </c>
      <c r="B122" s="2" t="s">
        <v>1512</v>
      </c>
      <c r="H122" s="2">
        <v>2276</v>
      </c>
      <c r="I122" s="2">
        <v>100</v>
      </c>
      <c r="J122" s="2" t="s">
        <v>1214</v>
      </c>
      <c r="O122" s="2" t="s">
        <v>807</v>
      </c>
      <c r="P122" s="2" t="s">
        <v>806</v>
      </c>
      <c r="Q122" s="1"/>
    </row>
    <row r="123" spans="1:17" x14ac:dyDescent="0.2">
      <c r="A123" s="2" t="s">
        <v>1396</v>
      </c>
      <c r="B123" s="2" t="s">
        <v>1513</v>
      </c>
      <c r="H123" s="2">
        <v>2276</v>
      </c>
      <c r="I123" s="2">
        <v>100</v>
      </c>
      <c r="J123" s="2" t="s">
        <v>1215</v>
      </c>
      <c r="O123" s="2" t="s">
        <v>809</v>
      </c>
      <c r="P123" s="2" t="s">
        <v>808</v>
      </c>
      <c r="Q123" s="1"/>
    </row>
    <row r="124" spans="1:17" x14ac:dyDescent="0.2">
      <c r="A124" s="2" t="s">
        <v>1396</v>
      </c>
      <c r="B124" s="2" t="s">
        <v>1514</v>
      </c>
      <c r="H124" s="2">
        <v>2276</v>
      </c>
      <c r="I124" s="2">
        <v>100</v>
      </c>
      <c r="J124" s="2" t="s">
        <v>1216</v>
      </c>
      <c r="O124" s="2" t="s">
        <v>810</v>
      </c>
      <c r="P124" s="2" t="s">
        <v>808</v>
      </c>
      <c r="Q124" s="1"/>
    </row>
    <row r="125" spans="1:17" x14ac:dyDescent="0.2">
      <c r="A125" s="2" t="s">
        <v>1396</v>
      </c>
      <c r="B125" s="2" t="s">
        <v>1515</v>
      </c>
      <c r="H125" s="2">
        <v>2276</v>
      </c>
      <c r="I125" s="2">
        <v>100</v>
      </c>
      <c r="J125" s="2" t="s">
        <v>1217</v>
      </c>
      <c r="O125" s="2" t="s">
        <v>812</v>
      </c>
      <c r="P125" s="2" t="s">
        <v>811</v>
      </c>
      <c r="Q125" s="1"/>
    </row>
    <row r="126" spans="1:17" x14ac:dyDescent="0.2">
      <c r="A126" s="2" t="s">
        <v>1396</v>
      </c>
      <c r="B126" s="2" t="s">
        <v>1516</v>
      </c>
      <c r="H126" s="2">
        <v>2276</v>
      </c>
      <c r="I126" s="2">
        <v>100</v>
      </c>
      <c r="J126" s="2" t="s">
        <v>1218</v>
      </c>
      <c r="O126" s="2" t="s">
        <v>814</v>
      </c>
      <c r="P126" s="2" t="s">
        <v>813</v>
      </c>
      <c r="Q126" s="1"/>
    </row>
    <row r="127" spans="1:17" x14ac:dyDescent="0.2">
      <c r="A127" s="2" t="s">
        <v>1396</v>
      </c>
      <c r="B127" s="2" t="s">
        <v>1517</v>
      </c>
      <c r="H127" s="2">
        <v>2276</v>
      </c>
      <c r="I127" s="2">
        <v>100</v>
      </c>
      <c r="J127" s="2" t="s">
        <v>1219</v>
      </c>
      <c r="O127" s="2" t="s">
        <v>816</v>
      </c>
      <c r="P127" s="2" t="s">
        <v>815</v>
      </c>
      <c r="Q127" s="1"/>
    </row>
    <row r="128" spans="1:17" x14ac:dyDescent="0.2">
      <c r="A128" s="2" t="s">
        <v>1396</v>
      </c>
      <c r="B128" s="2" t="s">
        <v>1518</v>
      </c>
      <c r="H128" s="2">
        <v>2276</v>
      </c>
      <c r="I128" s="2">
        <v>100</v>
      </c>
      <c r="J128" s="2" t="s">
        <v>1220</v>
      </c>
      <c r="O128" s="2" t="s">
        <v>818</v>
      </c>
      <c r="P128" s="2" t="s">
        <v>817</v>
      </c>
      <c r="Q128" s="1"/>
    </row>
    <row r="129" spans="1:17" x14ac:dyDescent="0.2">
      <c r="A129" s="2" t="s">
        <v>1396</v>
      </c>
      <c r="B129" s="2" t="s">
        <v>1519</v>
      </c>
      <c r="H129" s="2">
        <v>2276</v>
      </c>
      <c r="I129" s="2">
        <v>100</v>
      </c>
      <c r="J129" s="2" t="s">
        <v>1221</v>
      </c>
      <c r="O129" s="2" t="s">
        <v>820</v>
      </c>
      <c r="P129" s="2" t="s">
        <v>819</v>
      </c>
      <c r="Q129" s="1"/>
    </row>
    <row r="130" spans="1:17" x14ac:dyDescent="0.2">
      <c r="A130" s="2" t="s">
        <v>1396</v>
      </c>
      <c r="B130" s="2" t="s">
        <v>1520</v>
      </c>
      <c r="H130" s="2">
        <v>2276</v>
      </c>
      <c r="I130" s="2">
        <v>100</v>
      </c>
      <c r="J130" s="2" t="s">
        <v>1222</v>
      </c>
      <c r="O130" s="2" t="s">
        <v>822</v>
      </c>
      <c r="P130" s="2" t="s">
        <v>821</v>
      </c>
      <c r="Q130" s="1"/>
    </row>
    <row r="131" spans="1:17" x14ac:dyDescent="0.2">
      <c r="A131" s="2" t="s">
        <v>1396</v>
      </c>
      <c r="B131" s="2" t="s">
        <v>1521</v>
      </c>
      <c r="H131" s="2">
        <v>2276</v>
      </c>
      <c r="I131" s="2">
        <v>100</v>
      </c>
      <c r="J131" s="2" t="s">
        <v>1223</v>
      </c>
      <c r="O131" s="2" t="s">
        <v>824</v>
      </c>
      <c r="P131" s="2" t="s">
        <v>823</v>
      </c>
      <c r="Q131" s="1"/>
    </row>
    <row r="132" spans="1:17" x14ac:dyDescent="0.2">
      <c r="A132" s="2" t="s">
        <v>1396</v>
      </c>
      <c r="B132" s="2" t="s">
        <v>1522</v>
      </c>
      <c r="H132" s="2">
        <v>2276</v>
      </c>
      <c r="I132" s="2">
        <v>100</v>
      </c>
      <c r="J132" s="2" t="s">
        <v>1224</v>
      </c>
      <c r="O132" s="2" t="s">
        <v>825</v>
      </c>
      <c r="P132" s="2" t="s">
        <v>823</v>
      </c>
      <c r="Q132" s="1"/>
    </row>
    <row r="133" spans="1:17" x14ac:dyDescent="0.2">
      <c r="A133" s="2" t="s">
        <v>1396</v>
      </c>
      <c r="B133" s="2" t="s">
        <v>1523</v>
      </c>
      <c r="H133" s="2">
        <v>2276</v>
      </c>
      <c r="I133" s="2">
        <v>100</v>
      </c>
      <c r="J133" s="2" t="s">
        <v>1225</v>
      </c>
      <c r="O133" s="2" t="s">
        <v>826</v>
      </c>
      <c r="P133" s="2" t="s">
        <v>823</v>
      </c>
      <c r="Q133" s="1"/>
    </row>
    <row r="134" spans="1:17" x14ac:dyDescent="0.2">
      <c r="A134" s="2" t="s">
        <v>1396</v>
      </c>
      <c r="B134" s="2" t="s">
        <v>1524</v>
      </c>
      <c r="H134" s="2">
        <v>2276</v>
      </c>
      <c r="I134" s="2">
        <v>100</v>
      </c>
      <c r="J134" s="2" t="s">
        <v>1226</v>
      </c>
      <c r="O134" s="2" t="s">
        <v>828</v>
      </c>
      <c r="P134" s="2" t="s">
        <v>827</v>
      </c>
      <c r="Q134" s="1"/>
    </row>
    <row r="135" spans="1:17" x14ac:dyDescent="0.2">
      <c r="A135" s="2" t="s">
        <v>1396</v>
      </c>
      <c r="B135" s="2" t="s">
        <v>1525</v>
      </c>
      <c r="H135" s="2">
        <v>2276</v>
      </c>
      <c r="I135" s="2">
        <v>100</v>
      </c>
      <c r="J135" s="2" t="s">
        <v>1227</v>
      </c>
      <c r="O135" s="2" t="s">
        <v>830</v>
      </c>
      <c r="P135" s="2" t="s">
        <v>829</v>
      </c>
      <c r="Q135" s="1"/>
    </row>
    <row r="136" spans="1:17" x14ac:dyDescent="0.2">
      <c r="A136" s="2" t="s">
        <v>1396</v>
      </c>
      <c r="B136" s="2" t="s">
        <v>1526</v>
      </c>
      <c r="H136" s="2">
        <v>2276</v>
      </c>
      <c r="I136" s="2">
        <v>100</v>
      </c>
      <c r="J136" s="2" t="s">
        <v>1228</v>
      </c>
      <c r="O136" s="2" t="s">
        <v>832</v>
      </c>
      <c r="P136" s="2" t="s">
        <v>831</v>
      </c>
      <c r="Q136" s="1"/>
    </row>
    <row r="137" spans="1:17" x14ac:dyDescent="0.2">
      <c r="A137" s="2" t="s">
        <v>1396</v>
      </c>
      <c r="B137" s="2" t="s">
        <v>1527</v>
      </c>
      <c r="H137" s="2">
        <v>2276</v>
      </c>
      <c r="I137" s="2">
        <v>100</v>
      </c>
      <c r="J137" s="2" t="s">
        <v>1229</v>
      </c>
      <c r="O137" s="2" t="s">
        <v>834</v>
      </c>
      <c r="P137" s="2" t="s">
        <v>833</v>
      </c>
      <c r="Q137" s="1"/>
    </row>
    <row r="138" spans="1:17" x14ac:dyDescent="0.2">
      <c r="A138" s="2" t="s">
        <v>1396</v>
      </c>
      <c r="B138" s="2" t="s">
        <v>1528</v>
      </c>
      <c r="H138" s="2">
        <v>2276</v>
      </c>
      <c r="I138" s="2">
        <v>100</v>
      </c>
      <c r="J138" s="2" t="s">
        <v>1230</v>
      </c>
      <c r="O138" s="2" t="s">
        <v>836</v>
      </c>
      <c r="P138" s="2" t="s">
        <v>835</v>
      </c>
      <c r="Q138" s="1"/>
    </row>
    <row r="139" spans="1:17" x14ac:dyDescent="0.2">
      <c r="A139" s="2" t="s">
        <v>1396</v>
      </c>
      <c r="B139" s="2" t="s">
        <v>1529</v>
      </c>
      <c r="H139" s="2">
        <v>2276</v>
      </c>
      <c r="I139" s="2">
        <v>100</v>
      </c>
      <c r="J139" s="2" t="s">
        <v>1231</v>
      </c>
      <c r="O139" s="2" t="s">
        <v>838</v>
      </c>
      <c r="P139" s="2" t="s">
        <v>837</v>
      </c>
      <c r="Q139" s="1"/>
    </row>
    <row r="140" spans="1:17" x14ac:dyDescent="0.2">
      <c r="A140" s="2" t="s">
        <v>1396</v>
      </c>
      <c r="B140" s="2" t="s">
        <v>1530</v>
      </c>
      <c r="H140" s="2">
        <v>2276</v>
      </c>
      <c r="I140" s="2">
        <v>100</v>
      </c>
      <c r="J140" s="2" t="s">
        <v>1232</v>
      </c>
      <c r="O140" s="2" t="s">
        <v>840</v>
      </c>
      <c r="P140" s="2" t="s">
        <v>839</v>
      </c>
      <c r="Q140" s="1"/>
    </row>
    <row r="141" spans="1:17" x14ac:dyDescent="0.2">
      <c r="A141" s="2" t="s">
        <v>1396</v>
      </c>
      <c r="B141" s="2" t="s">
        <v>1531</v>
      </c>
      <c r="H141" s="2">
        <v>2276</v>
      </c>
      <c r="I141" s="2">
        <v>100</v>
      </c>
      <c r="J141" s="2" t="s">
        <v>1233</v>
      </c>
      <c r="O141" s="2" t="s">
        <v>841</v>
      </c>
      <c r="P141" s="2" t="s">
        <v>839</v>
      </c>
      <c r="Q141" s="1"/>
    </row>
    <row r="142" spans="1:17" x14ac:dyDescent="0.2">
      <c r="A142" s="2" t="s">
        <v>1396</v>
      </c>
      <c r="B142" s="2" t="s">
        <v>1532</v>
      </c>
      <c r="H142" s="2">
        <v>2276</v>
      </c>
      <c r="I142" s="2">
        <v>100</v>
      </c>
      <c r="J142" s="2" t="s">
        <v>1234</v>
      </c>
      <c r="O142" s="2" t="s">
        <v>843</v>
      </c>
      <c r="P142" s="2" t="s">
        <v>842</v>
      </c>
      <c r="Q142" s="1"/>
    </row>
    <row r="143" spans="1:17" x14ac:dyDescent="0.2">
      <c r="A143" s="2" t="s">
        <v>1396</v>
      </c>
      <c r="B143" s="2" t="s">
        <v>1533</v>
      </c>
      <c r="H143" s="2">
        <v>2276</v>
      </c>
      <c r="I143" s="2">
        <v>100</v>
      </c>
      <c r="J143" s="2" t="s">
        <v>1235</v>
      </c>
      <c r="O143" s="2" t="s">
        <v>845</v>
      </c>
      <c r="P143" s="2" t="s">
        <v>844</v>
      </c>
      <c r="Q143" s="1"/>
    </row>
    <row r="144" spans="1:17" x14ac:dyDescent="0.2">
      <c r="A144" s="2" t="s">
        <v>1396</v>
      </c>
      <c r="B144" s="2" t="s">
        <v>1534</v>
      </c>
      <c r="H144" s="2">
        <v>2276</v>
      </c>
      <c r="I144" s="2">
        <v>100</v>
      </c>
      <c r="J144" s="2" t="s">
        <v>1236</v>
      </c>
      <c r="O144" s="2" t="s">
        <v>847</v>
      </c>
      <c r="P144" s="2" t="s">
        <v>846</v>
      </c>
      <c r="Q144" s="1"/>
    </row>
    <row r="145" spans="1:17" x14ac:dyDescent="0.2">
      <c r="A145" s="2" t="s">
        <v>1396</v>
      </c>
      <c r="B145" s="2" t="s">
        <v>1535</v>
      </c>
      <c r="H145" s="2">
        <v>2276</v>
      </c>
      <c r="I145" s="2">
        <v>100</v>
      </c>
      <c r="J145" s="2" t="s">
        <v>1237</v>
      </c>
      <c r="O145" s="2" t="s">
        <v>848</v>
      </c>
      <c r="P145" s="2" t="s">
        <v>846</v>
      </c>
      <c r="Q145" s="1"/>
    </row>
    <row r="146" spans="1:17" x14ac:dyDescent="0.2">
      <c r="A146" s="2" t="s">
        <v>1396</v>
      </c>
      <c r="B146" s="2" t="s">
        <v>1536</v>
      </c>
      <c r="H146" s="2">
        <v>2276</v>
      </c>
      <c r="I146" s="2">
        <v>100</v>
      </c>
      <c r="J146" s="2" t="s">
        <v>1238</v>
      </c>
      <c r="O146" s="2" t="s">
        <v>850</v>
      </c>
      <c r="P146" s="2" t="s">
        <v>849</v>
      </c>
      <c r="Q146" s="1"/>
    </row>
    <row r="147" spans="1:17" x14ac:dyDescent="0.2">
      <c r="A147" s="2" t="s">
        <v>1396</v>
      </c>
      <c r="B147" s="2" t="s">
        <v>1537</v>
      </c>
      <c r="H147" s="2">
        <v>2276</v>
      </c>
      <c r="I147" s="2">
        <v>100</v>
      </c>
      <c r="J147" s="2" t="s">
        <v>1239</v>
      </c>
      <c r="O147" s="2" t="s">
        <v>851</v>
      </c>
      <c r="P147" s="2" t="s">
        <v>750</v>
      </c>
      <c r="Q147" s="1"/>
    </row>
    <row r="148" spans="1:17" x14ac:dyDescent="0.2">
      <c r="A148" s="2" t="s">
        <v>1396</v>
      </c>
      <c r="B148" s="2" t="s">
        <v>1538</v>
      </c>
      <c r="H148" s="2">
        <v>2276</v>
      </c>
      <c r="I148" s="2">
        <v>100</v>
      </c>
      <c r="J148" s="2" t="s">
        <v>1240</v>
      </c>
      <c r="O148" s="2" t="s">
        <v>852</v>
      </c>
      <c r="P148" s="2" t="s">
        <v>748</v>
      </c>
      <c r="Q148" s="1"/>
    </row>
    <row r="149" spans="1:17" x14ac:dyDescent="0.2">
      <c r="A149" s="2" t="s">
        <v>1396</v>
      </c>
      <c r="B149" s="2" t="s">
        <v>1539</v>
      </c>
      <c r="H149" s="2">
        <v>2276</v>
      </c>
      <c r="I149" s="2">
        <v>100</v>
      </c>
      <c r="J149" s="2" t="s">
        <v>1241</v>
      </c>
      <c r="O149" s="2" t="s">
        <v>853</v>
      </c>
      <c r="P149" s="2" t="s">
        <v>748</v>
      </c>
      <c r="Q149" s="1"/>
    </row>
    <row r="150" spans="1:17" x14ac:dyDescent="0.2">
      <c r="A150" s="2" t="s">
        <v>1396</v>
      </c>
      <c r="B150" s="2" t="s">
        <v>1540</v>
      </c>
      <c r="H150" s="2">
        <v>2276</v>
      </c>
      <c r="I150" s="2">
        <v>100</v>
      </c>
      <c r="J150" s="2" t="s">
        <v>1242</v>
      </c>
      <c r="O150" s="2" t="s">
        <v>854</v>
      </c>
      <c r="P150" s="2" t="s">
        <v>715</v>
      </c>
      <c r="Q150" s="1"/>
    </row>
    <row r="151" spans="1:17" x14ac:dyDescent="0.2">
      <c r="A151" s="2" t="s">
        <v>1396</v>
      </c>
      <c r="B151" s="2" t="s">
        <v>1541</v>
      </c>
      <c r="H151" s="2">
        <v>2276</v>
      </c>
      <c r="I151" s="2">
        <v>100</v>
      </c>
      <c r="J151" s="2" t="s">
        <v>1243</v>
      </c>
      <c r="O151" s="2" t="s">
        <v>855</v>
      </c>
      <c r="P151" s="2" t="s">
        <v>715</v>
      </c>
      <c r="Q151" s="1"/>
    </row>
    <row r="152" spans="1:17" x14ac:dyDescent="0.2">
      <c r="A152" s="2" t="s">
        <v>1396</v>
      </c>
      <c r="B152" s="2" t="s">
        <v>1542</v>
      </c>
      <c r="H152" s="2">
        <v>2276</v>
      </c>
      <c r="I152" s="2">
        <v>100</v>
      </c>
      <c r="J152" s="2" t="s">
        <v>1244</v>
      </c>
      <c r="O152" s="2" t="s">
        <v>856</v>
      </c>
      <c r="P152" s="2" t="s">
        <v>715</v>
      </c>
      <c r="Q152" s="1"/>
    </row>
    <row r="153" spans="1:17" x14ac:dyDescent="0.2">
      <c r="A153" s="2" t="s">
        <v>1396</v>
      </c>
      <c r="B153" s="2" t="s">
        <v>1542</v>
      </c>
      <c r="H153" s="2">
        <v>2276</v>
      </c>
      <c r="I153" s="2">
        <v>100</v>
      </c>
      <c r="J153" s="2" t="s">
        <v>1245</v>
      </c>
      <c r="O153" s="2" t="s">
        <v>857</v>
      </c>
      <c r="P153" s="2" t="s">
        <v>715</v>
      </c>
      <c r="Q153" s="1"/>
    </row>
    <row r="154" spans="1:17" x14ac:dyDescent="0.2">
      <c r="A154" s="2" t="s">
        <v>1396</v>
      </c>
      <c r="B154" s="2" t="s">
        <v>1543</v>
      </c>
      <c r="H154" s="2">
        <v>2276</v>
      </c>
      <c r="I154" s="2">
        <v>100</v>
      </c>
      <c r="J154" s="2" t="s">
        <v>1246</v>
      </c>
      <c r="O154" s="2" t="s">
        <v>858</v>
      </c>
      <c r="P154" s="2" t="s">
        <v>715</v>
      </c>
      <c r="Q154" s="1"/>
    </row>
    <row r="155" spans="1:17" x14ac:dyDescent="0.2">
      <c r="A155" s="2" t="s">
        <v>1396</v>
      </c>
      <c r="B155" s="2" t="s">
        <v>1544</v>
      </c>
      <c r="H155" s="2">
        <v>2276</v>
      </c>
      <c r="I155" s="2">
        <v>100</v>
      </c>
      <c r="J155" s="2" t="s">
        <v>1247</v>
      </c>
      <c r="O155" s="2" t="s">
        <v>859</v>
      </c>
      <c r="P155" s="2" t="s">
        <v>715</v>
      </c>
      <c r="Q155" s="1"/>
    </row>
    <row r="156" spans="1:17" x14ac:dyDescent="0.2">
      <c r="A156" s="2" t="s">
        <v>1396</v>
      </c>
      <c r="B156" s="2" t="s">
        <v>1545</v>
      </c>
      <c r="H156" s="2">
        <v>2276</v>
      </c>
      <c r="I156" s="2">
        <v>100</v>
      </c>
      <c r="J156" s="2" t="s">
        <v>1163</v>
      </c>
      <c r="O156" s="2" t="s">
        <v>860</v>
      </c>
      <c r="P156" s="2" t="s">
        <v>715</v>
      </c>
      <c r="Q156" s="1"/>
    </row>
    <row r="157" spans="1:17" x14ac:dyDescent="0.2">
      <c r="A157" s="2" t="s">
        <v>1396</v>
      </c>
      <c r="B157" s="2" t="s">
        <v>1546</v>
      </c>
      <c r="H157" s="2">
        <v>2276</v>
      </c>
      <c r="I157" s="2">
        <v>100</v>
      </c>
      <c r="J157" s="2" t="s">
        <v>1248</v>
      </c>
      <c r="O157" s="2" t="s">
        <v>861</v>
      </c>
      <c r="P157" s="2" t="s">
        <v>715</v>
      </c>
      <c r="Q157" s="1"/>
    </row>
    <row r="158" spans="1:17" x14ac:dyDescent="0.2">
      <c r="A158" s="2" t="s">
        <v>1396</v>
      </c>
      <c r="B158" s="2" t="s">
        <v>1547</v>
      </c>
      <c r="H158" s="2">
        <v>2276</v>
      </c>
      <c r="I158" s="2">
        <v>100</v>
      </c>
      <c r="J158" s="2" t="s">
        <v>1249</v>
      </c>
      <c r="O158" s="2" t="s">
        <v>862</v>
      </c>
      <c r="P158" s="2" t="s">
        <v>715</v>
      </c>
      <c r="Q158" s="1"/>
    </row>
    <row r="159" spans="1:17" x14ac:dyDescent="0.2">
      <c r="A159" s="2" t="s">
        <v>1396</v>
      </c>
      <c r="B159" s="2" t="s">
        <v>1548</v>
      </c>
      <c r="H159" s="2">
        <v>2276</v>
      </c>
      <c r="I159" s="2">
        <v>100</v>
      </c>
      <c r="J159" s="2" t="s">
        <v>1250</v>
      </c>
      <c r="O159" s="2" t="s">
        <v>863</v>
      </c>
      <c r="P159" s="2" t="s">
        <v>715</v>
      </c>
      <c r="Q159" s="1"/>
    </row>
    <row r="160" spans="1:17" x14ac:dyDescent="0.2">
      <c r="A160" s="2" t="s">
        <v>1396</v>
      </c>
      <c r="B160" s="2" t="s">
        <v>1549</v>
      </c>
      <c r="H160" s="2">
        <v>2276</v>
      </c>
      <c r="I160" s="2">
        <v>100</v>
      </c>
      <c r="J160" s="2" t="s">
        <v>1251</v>
      </c>
      <c r="O160" s="2" t="s">
        <v>864</v>
      </c>
      <c r="P160" s="2" t="s">
        <v>715</v>
      </c>
      <c r="Q160" s="1"/>
    </row>
    <row r="161" spans="1:17" x14ac:dyDescent="0.2">
      <c r="A161" s="2" t="s">
        <v>1396</v>
      </c>
      <c r="B161" s="2" t="s">
        <v>1550</v>
      </c>
      <c r="H161" s="2">
        <v>2276</v>
      </c>
      <c r="I161" s="2">
        <v>100</v>
      </c>
      <c r="J161" s="2" t="s">
        <v>1252</v>
      </c>
      <c r="O161" s="2" t="s">
        <v>865</v>
      </c>
      <c r="P161" s="2" t="s">
        <v>715</v>
      </c>
      <c r="Q161" s="1"/>
    </row>
    <row r="162" spans="1:17" x14ac:dyDescent="0.2">
      <c r="A162" s="2" t="s">
        <v>1396</v>
      </c>
      <c r="B162" s="2" t="s">
        <v>1551</v>
      </c>
      <c r="H162" s="2">
        <v>2276</v>
      </c>
      <c r="I162" s="2">
        <v>100</v>
      </c>
      <c r="J162" s="2" t="s">
        <v>1253</v>
      </c>
      <c r="O162" s="2" t="s">
        <v>866</v>
      </c>
      <c r="P162" s="2" t="s">
        <v>715</v>
      </c>
      <c r="Q162" s="1"/>
    </row>
    <row r="163" spans="1:17" x14ac:dyDescent="0.2">
      <c r="A163" s="2" t="s">
        <v>1396</v>
      </c>
      <c r="B163" s="2" t="s">
        <v>1552</v>
      </c>
      <c r="H163" s="2">
        <v>2276</v>
      </c>
      <c r="I163" s="2">
        <v>100</v>
      </c>
      <c r="J163" s="2" t="s">
        <v>1254</v>
      </c>
      <c r="O163" s="2" t="s">
        <v>867</v>
      </c>
      <c r="P163" s="2" t="s">
        <v>715</v>
      </c>
      <c r="Q163" s="1"/>
    </row>
    <row r="164" spans="1:17" x14ac:dyDescent="0.2">
      <c r="A164" s="2" t="s">
        <v>1396</v>
      </c>
      <c r="B164" s="2" t="s">
        <v>1553</v>
      </c>
      <c r="H164" s="2">
        <v>2276</v>
      </c>
      <c r="I164" s="2">
        <v>100</v>
      </c>
      <c r="J164" s="2" t="s">
        <v>1255</v>
      </c>
      <c r="O164" s="2" t="s">
        <v>868</v>
      </c>
      <c r="P164" s="2" t="s">
        <v>720</v>
      </c>
      <c r="Q164" s="1"/>
    </row>
    <row r="165" spans="1:17" x14ac:dyDescent="0.2">
      <c r="A165" s="2" t="s">
        <v>1396</v>
      </c>
      <c r="B165" s="2" t="s">
        <v>1554</v>
      </c>
      <c r="H165" s="2">
        <v>2276</v>
      </c>
      <c r="I165" s="2">
        <v>100</v>
      </c>
      <c r="J165" s="2" t="s">
        <v>1256</v>
      </c>
      <c r="O165" s="2" t="s">
        <v>869</v>
      </c>
      <c r="P165" s="2" t="s">
        <v>720</v>
      </c>
      <c r="Q165" s="1"/>
    </row>
    <row r="166" spans="1:17" x14ac:dyDescent="0.2">
      <c r="A166" s="2" t="s">
        <v>1396</v>
      </c>
      <c r="B166" s="2" t="s">
        <v>1555</v>
      </c>
      <c r="H166" s="2">
        <v>2276</v>
      </c>
      <c r="I166" s="2">
        <v>100</v>
      </c>
      <c r="J166" s="2" t="s">
        <v>1257</v>
      </c>
      <c r="O166" s="2" t="s">
        <v>870</v>
      </c>
      <c r="P166" s="2" t="s">
        <v>720</v>
      </c>
      <c r="Q166" s="1"/>
    </row>
    <row r="167" spans="1:17" x14ac:dyDescent="0.2">
      <c r="A167" s="2" t="s">
        <v>1396</v>
      </c>
      <c r="B167" s="2" t="s">
        <v>1556</v>
      </c>
      <c r="H167" s="2">
        <v>2276</v>
      </c>
      <c r="I167" s="2">
        <v>100</v>
      </c>
      <c r="J167" s="2" t="s">
        <v>1258</v>
      </c>
      <c r="O167" s="2" t="s">
        <v>871</v>
      </c>
      <c r="P167" s="2" t="s">
        <v>720</v>
      </c>
      <c r="Q167" s="1"/>
    </row>
    <row r="168" spans="1:17" x14ac:dyDescent="0.2">
      <c r="A168" s="2" t="s">
        <v>1396</v>
      </c>
      <c r="B168" s="2" t="s">
        <v>1557</v>
      </c>
      <c r="H168" s="2">
        <v>2276</v>
      </c>
      <c r="I168" s="2">
        <v>100</v>
      </c>
      <c r="J168" s="2" t="s">
        <v>1259</v>
      </c>
      <c r="O168" s="2" t="s">
        <v>872</v>
      </c>
      <c r="P168" s="2" t="s">
        <v>720</v>
      </c>
      <c r="Q168" s="1"/>
    </row>
    <row r="169" spans="1:17" x14ac:dyDescent="0.2">
      <c r="A169" s="2" t="s">
        <v>1396</v>
      </c>
      <c r="B169" s="2" t="s">
        <v>1558</v>
      </c>
      <c r="H169" s="2">
        <v>2276</v>
      </c>
      <c r="I169" s="2">
        <v>100</v>
      </c>
      <c r="J169" s="2" t="s">
        <v>1260</v>
      </c>
      <c r="O169" s="2" t="s">
        <v>873</v>
      </c>
      <c r="P169" s="2" t="s">
        <v>720</v>
      </c>
      <c r="Q169" s="1"/>
    </row>
    <row r="170" spans="1:17" x14ac:dyDescent="0.2">
      <c r="A170" s="2" t="s">
        <v>1396</v>
      </c>
      <c r="B170" s="2" t="s">
        <v>1559</v>
      </c>
      <c r="H170" s="2">
        <v>2276</v>
      </c>
      <c r="I170" s="2">
        <v>100</v>
      </c>
      <c r="J170" s="2" t="s">
        <v>1261</v>
      </c>
      <c r="O170" s="2" t="s">
        <v>874</v>
      </c>
      <c r="P170" s="2" t="s">
        <v>720</v>
      </c>
      <c r="Q170" s="1"/>
    </row>
    <row r="171" spans="1:17" x14ac:dyDescent="0.2">
      <c r="A171" s="2" t="s">
        <v>1396</v>
      </c>
      <c r="B171" s="2" t="s">
        <v>1560</v>
      </c>
      <c r="H171" s="2">
        <v>2276</v>
      </c>
      <c r="I171" s="2">
        <v>100</v>
      </c>
      <c r="J171" s="2" t="s">
        <v>1262</v>
      </c>
      <c r="O171" s="2" t="s">
        <v>875</v>
      </c>
      <c r="P171" s="2" t="s">
        <v>720</v>
      </c>
      <c r="Q171" s="1"/>
    </row>
    <row r="172" spans="1:17" x14ac:dyDescent="0.2">
      <c r="A172" s="2" t="s">
        <v>1396</v>
      </c>
      <c r="B172" s="2" t="s">
        <v>1561</v>
      </c>
      <c r="H172" s="2">
        <v>2276</v>
      </c>
      <c r="I172" s="2">
        <v>100</v>
      </c>
      <c r="J172" s="2" t="s">
        <v>1263</v>
      </c>
      <c r="O172" s="2" t="s">
        <v>876</v>
      </c>
      <c r="P172" s="2" t="s">
        <v>715</v>
      </c>
      <c r="Q172" s="1"/>
    </row>
    <row r="173" spans="1:17" x14ac:dyDescent="0.2">
      <c r="A173" s="2" t="s">
        <v>1396</v>
      </c>
      <c r="B173" s="2" t="s">
        <v>1562</v>
      </c>
      <c r="H173" s="2">
        <v>2276</v>
      </c>
      <c r="I173" s="2">
        <v>100</v>
      </c>
      <c r="J173" s="2" t="s">
        <v>1264</v>
      </c>
      <c r="O173" s="2" t="s">
        <v>877</v>
      </c>
      <c r="P173" s="2" t="s">
        <v>715</v>
      </c>
      <c r="Q173" s="1"/>
    </row>
    <row r="174" spans="1:17" x14ac:dyDescent="0.2">
      <c r="A174" s="2" t="s">
        <v>1396</v>
      </c>
      <c r="B174" s="2" t="s">
        <v>1563</v>
      </c>
      <c r="H174" s="2">
        <v>2276</v>
      </c>
      <c r="I174" s="2">
        <v>100</v>
      </c>
      <c r="J174" s="2" t="s">
        <v>1265</v>
      </c>
      <c r="O174" s="2" t="s">
        <v>878</v>
      </c>
      <c r="P174" s="2" t="s">
        <v>748</v>
      </c>
      <c r="Q174" s="1"/>
    </row>
    <row r="175" spans="1:17" x14ac:dyDescent="0.2">
      <c r="A175" s="2" t="s">
        <v>1396</v>
      </c>
      <c r="B175" s="2" t="s">
        <v>1564</v>
      </c>
      <c r="H175" s="2">
        <v>2276</v>
      </c>
      <c r="I175" s="2">
        <v>100</v>
      </c>
      <c r="J175" s="2" t="s">
        <v>1266</v>
      </c>
      <c r="O175" s="2" t="s">
        <v>879</v>
      </c>
      <c r="P175" s="2" t="s">
        <v>750</v>
      </c>
      <c r="Q175" s="1"/>
    </row>
    <row r="176" spans="1:17" x14ac:dyDescent="0.2">
      <c r="A176" s="2" t="s">
        <v>1396</v>
      </c>
      <c r="B176" s="2" t="s">
        <v>1565</v>
      </c>
      <c r="H176" s="2">
        <v>2276</v>
      </c>
      <c r="I176" s="2">
        <v>100</v>
      </c>
      <c r="J176" s="2" t="s">
        <v>1267</v>
      </c>
      <c r="O176" s="2" t="s">
        <v>880</v>
      </c>
      <c r="P176" s="2" t="s">
        <v>750</v>
      </c>
      <c r="Q176" s="1"/>
    </row>
    <row r="177" spans="1:17" x14ac:dyDescent="0.2">
      <c r="A177" s="2" t="s">
        <v>1396</v>
      </c>
      <c r="B177" s="2" t="s">
        <v>1566</v>
      </c>
      <c r="H177" s="2">
        <v>2276</v>
      </c>
      <c r="I177" s="2">
        <v>100</v>
      </c>
      <c r="J177" s="2" t="s">
        <v>1268</v>
      </c>
      <c r="O177" s="2" t="s">
        <v>881</v>
      </c>
      <c r="P177" s="2" t="s">
        <v>752</v>
      </c>
      <c r="Q177" s="1"/>
    </row>
    <row r="178" spans="1:17" x14ac:dyDescent="0.2">
      <c r="A178" s="2" t="s">
        <v>1396</v>
      </c>
      <c r="B178" s="2" t="s">
        <v>1567</v>
      </c>
      <c r="H178" s="2">
        <v>2276</v>
      </c>
      <c r="I178" s="2">
        <v>100</v>
      </c>
      <c r="J178" s="2" t="s">
        <v>1269</v>
      </c>
      <c r="O178" s="2" t="s">
        <v>883</v>
      </c>
      <c r="P178" s="2" t="s">
        <v>882</v>
      </c>
      <c r="Q178" s="1"/>
    </row>
    <row r="179" spans="1:17" x14ac:dyDescent="0.2">
      <c r="A179" s="2" t="s">
        <v>1396</v>
      </c>
      <c r="B179" s="2" t="s">
        <v>1568</v>
      </c>
      <c r="H179" s="2">
        <v>2276</v>
      </c>
      <c r="I179" s="2">
        <v>100</v>
      </c>
      <c r="J179" s="2" t="s">
        <v>1270</v>
      </c>
      <c r="O179" s="2" t="s">
        <v>884</v>
      </c>
      <c r="P179" s="2" t="s">
        <v>756</v>
      </c>
      <c r="Q179" s="1"/>
    </row>
    <row r="180" spans="1:17" x14ac:dyDescent="0.2">
      <c r="A180" s="2" t="s">
        <v>1396</v>
      </c>
      <c r="B180" s="2" t="s">
        <v>1569</v>
      </c>
      <c r="H180" s="2">
        <v>2276</v>
      </c>
      <c r="I180" s="2">
        <v>100</v>
      </c>
      <c r="J180" s="2" t="s">
        <v>1271</v>
      </c>
      <c r="O180" s="2" t="s">
        <v>886</v>
      </c>
      <c r="P180" s="2" t="s">
        <v>885</v>
      </c>
      <c r="Q180" s="1"/>
    </row>
    <row r="181" spans="1:17" x14ac:dyDescent="0.2">
      <c r="A181" s="2" t="s">
        <v>1396</v>
      </c>
      <c r="B181" s="2" t="s">
        <v>1570</v>
      </c>
      <c r="H181" s="2">
        <v>2276</v>
      </c>
      <c r="I181" s="2">
        <v>100</v>
      </c>
      <c r="J181" s="2" t="s">
        <v>1272</v>
      </c>
      <c r="O181" s="2" t="s">
        <v>759</v>
      </c>
      <c r="P181" s="2" t="s">
        <v>885</v>
      </c>
      <c r="Q181" s="1"/>
    </row>
    <row r="182" spans="1:17" x14ac:dyDescent="0.2">
      <c r="A182" s="2" t="s">
        <v>1396</v>
      </c>
      <c r="B182" s="2" t="s">
        <v>1571</v>
      </c>
      <c r="H182" s="2">
        <v>2276</v>
      </c>
      <c r="I182" s="2">
        <v>100</v>
      </c>
      <c r="J182" s="2" t="s">
        <v>1273</v>
      </c>
      <c r="O182" s="2" t="s">
        <v>761</v>
      </c>
      <c r="P182" s="2" t="s">
        <v>762</v>
      </c>
      <c r="Q182" s="1"/>
    </row>
    <row r="183" spans="1:17" x14ac:dyDescent="0.2">
      <c r="A183" s="2" t="s">
        <v>1396</v>
      </c>
      <c r="B183" s="2" t="s">
        <v>1572</v>
      </c>
      <c r="H183" s="2">
        <v>2276</v>
      </c>
      <c r="I183" s="2">
        <v>100</v>
      </c>
      <c r="J183" s="2" t="s">
        <v>1274</v>
      </c>
      <c r="O183" s="2" t="s">
        <v>887</v>
      </c>
      <c r="P183" s="2" t="s">
        <v>764</v>
      </c>
      <c r="Q183" s="1"/>
    </row>
    <row r="184" spans="1:17" x14ac:dyDescent="0.2">
      <c r="A184" s="2" t="s">
        <v>1396</v>
      </c>
      <c r="B184" s="2" t="s">
        <v>1573</v>
      </c>
      <c r="H184" s="2">
        <v>2276</v>
      </c>
      <c r="I184" s="2">
        <v>100</v>
      </c>
      <c r="J184" s="2" t="s">
        <v>1275</v>
      </c>
      <c r="O184" s="2" t="s">
        <v>888</v>
      </c>
      <c r="P184" s="2" t="s">
        <v>766</v>
      </c>
      <c r="Q184" s="1"/>
    </row>
    <row r="185" spans="1:17" x14ac:dyDescent="0.2">
      <c r="A185" s="2" t="s">
        <v>1396</v>
      </c>
      <c r="B185" s="2" t="s">
        <v>1574</v>
      </c>
      <c r="H185" s="2">
        <v>2276</v>
      </c>
      <c r="I185" s="2">
        <v>100</v>
      </c>
      <c r="J185" s="2" t="s">
        <v>1276</v>
      </c>
      <c r="O185" s="2" t="s">
        <v>889</v>
      </c>
      <c r="P185" s="2" t="s">
        <v>768</v>
      </c>
      <c r="Q185" s="1"/>
    </row>
    <row r="186" spans="1:17" x14ac:dyDescent="0.2">
      <c r="A186" s="2" t="s">
        <v>1396</v>
      </c>
      <c r="B186" s="2" t="s">
        <v>1575</v>
      </c>
      <c r="H186" s="2">
        <v>2276</v>
      </c>
      <c r="I186" s="2">
        <v>100</v>
      </c>
      <c r="J186" s="2" t="s">
        <v>1277</v>
      </c>
      <c r="O186" s="2" t="s">
        <v>890</v>
      </c>
      <c r="P186" s="2" t="s">
        <v>772</v>
      </c>
      <c r="Q186" s="1"/>
    </row>
    <row r="187" spans="1:17" x14ac:dyDescent="0.2">
      <c r="A187" s="2" t="s">
        <v>1396</v>
      </c>
      <c r="B187" s="2" t="s">
        <v>1576</v>
      </c>
      <c r="H187" s="2">
        <v>2276</v>
      </c>
      <c r="I187" s="2">
        <v>100</v>
      </c>
      <c r="J187" s="2" t="s">
        <v>1278</v>
      </c>
      <c r="O187" s="2" t="s">
        <v>891</v>
      </c>
      <c r="P187" s="2" t="s">
        <v>774</v>
      </c>
      <c r="Q187" s="1"/>
    </row>
    <row r="188" spans="1:17" x14ac:dyDescent="0.2">
      <c r="A188" s="2" t="s">
        <v>1396</v>
      </c>
      <c r="B188" s="2" t="s">
        <v>1577</v>
      </c>
      <c r="H188" s="2">
        <v>2276</v>
      </c>
      <c r="I188" s="2">
        <v>100</v>
      </c>
      <c r="J188" s="2" t="s">
        <v>1279</v>
      </c>
      <c r="O188" s="2" t="s">
        <v>893</v>
      </c>
      <c r="P188" s="2" t="s">
        <v>892</v>
      </c>
      <c r="Q188" s="1"/>
    </row>
    <row r="189" spans="1:17" x14ac:dyDescent="0.2">
      <c r="A189" s="2" t="s">
        <v>1396</v>
      </c>
      <c r="B189" s="2" t="s">
        <v>1578</v>
      </c>
      <c r="H189" s="2">
        <v>2276</v>
      </c>
      <c r="I189" s="2">
        <v>100</v>
      </c>
      <c r="J189" s="2" t="s">
        <v>1280</v>
      </c>
      <c r="O189" s="2" t="s">
        <v>775</v>
      </c>
      <c r="P189" s="2" t="s">
        <v>894</v>
      </c>
      <c r="Q189" s="1"/>
    </row>
    <row r="190" spans="1:17" x14ac:dyDescent="0.2">
      <c r="A190" s="2" t="s">
        <v>1396</v>
      </c>
      <c r="B190" s="2" t="s">
        <v>1579</v>
      </c>
      <c r="H190" s="2">
        <v>2276</v>
      </c>
      <c r="I190" s="2">
        <v>100</v>
      </c>
      <c r="J190" s="2" t="s">
        <v>1281</v>
      </c>
      <c r="O190" s="2" t="s">
        <v>776</v>
      </c>
      <c r="P190" s="2" t="s">
        <v>894</v>
      </c>
      <c r="Q190" s="1"/>
    </row>
    <row r="191" spans="1:17" x14ac:dyDescent="0.2">
      <c r="A191" s="2" t="s">
        <v>1396</v>
      </c>
      <c r="B191" s="2" t="s">
        <v>1580</v>
      </c>
      <c r="H191" s="2">
        <v>2276</v>
      </c>
      <c r="I191" s="2">
        <v>100</v>
      </c>
      <c r="J191" s="2" t="s">
        <v>1282</v>
      </c>
      <c r="O191" s="2" t="s">
        <v>895</v>
      </c>
      <c r="P191" s="2" t="s">
        <v>707</v>
      </c>
      <c r="Q191" s="1"/>
    </row>
    <row r="192" spans="1:17" x14ac:dyDescent="0.2">
      <c r="A192" s="2" t="s">
        <v>1396</v>
      </c>
      <c r="B192" s="2" t="s">
        <v>1581</v>
      </c>
      <c r="H192" s="2">
        <v>2276</v>
      </c>
      <c r="I192" s="2">
        <v>100</v>
      </c>
      <c r="J192" s="2" t="s">
        <v>1283</v>
      </c>
      <c r="O192" s="2" t="s">
        <v>896</v>
      </c>
      <c r="P192" s="2" t="s">
        <v>700</v>
      </c>
      <c r="Q192" s="1"/>
    </row>
    <row r="193" spans="1:17" x14ac:dyDescent="0.2">
      <c r="A193" s="2" t="s">
        <v>1396</v>
      </c>
      <c r="B193" s="2" t="s">
        <v>1582</v>
      </c>
      <c r="H193" s="2">
        <v>2276</v>
      </c>
      <c r="I193" s="2">
        <v>100</v>
      </c>
      <c r="J193" s="2" t="s">
        <v>1284</v>
      </c>
      <c r="O193" s="2" t="s">
        <v>898</v>
      </c>
      <c r="P193" s="2" t="s">
        <v>897</v>
      </c>
      <c r="Q193" s="1"/>
    </row>
    <row r="194" spans="1:17" x14ac:dyDescent="0.2">
      <c r="A194" s="2" t="s">
        <v>1396</v>
      </c>
      <c r="B194" s="2" t="s">
        <v>1583</v>
      </c>
      <c r="H194" s="2">
        <v>2276</v>
      </c>
      <c r="I194" s="2">
        <v>100</v>
      </c>
      <c r="J194" s="2" t="s">
        <v>1285</v>
      </c>
      <c r="O194" s="2" t="s">
        <v>900</v>
      </c>
      <c r="P194" s="2" t="s">
        <v>899</v>
      </c>
      <c r="Q194" s="1"/>
    </row>
    <row r="195" spans="1:17" x14ac:dyDescent="0.2">
      <c r="A195" s="2" t="s">
        <v>1396</v>
      </c>
      <c r="B195" s="2" t="s">
        <v>1584</v>
      </c>
      <c r="H195" s="2">
        <v>2276</v>
      </c>
      <c r="I195" s="2">
        <v>100</v>
      </c>
      <c r="J195" s="2" t="s">
        <v>1286</v>
      </c>
      <c r="O195" s="2" t="s">
        <v>902</v>
      </c>
      <c r="P195" s="2" t="s">
        <v>901</v>
      </c>
      <c r="Q195" s="1"/>
    </row>
    <row r="196" spans="1:17" x14ac:dyDescent="0.2">
      <c r="A196" s="2" t="s">
        <v>1396</v>
      </c>
      <c r="B196" s="2" t="s">
        <v>1585</v>
      </c>
      <c r="H196" s="2">
        <v>2276</v>
      </c>
      <c r="I196" s="2">
        <v>100</v>
      </c>
      <c r="J196" s="2" t="s">
        <v>1287</v>
      </c>
      <c r="O196" s="2" t="s">
        <v>904</v>
      </c>
      <c r="P196" s="2" t="s">
        <v>903</v>
      </c>
      <c r="Q196" s="1"/>
    </row>
    <row r="197" spans="1:17" x14ac:dyDescent="0.2">
      <c r="A197" s="2" t="s">
        <v>1396</v>
      </c>
      <c r="B197" s="2" t="s">
        <v>1586</v>
      </c>
      <c r="H197" s="2">
        <v>2276</v>
      </c>
      <c r="I197" s="2">
        <v>100</v>
      </c>
      <c r="J197" s="2" t="s">
        <v>1288</v>
      </c>
      <c r="O197" s="2" t="s">
        <v>906</v>
      </c>
      <c r="P197" s="2" t="s">
        <v>905</v>
      </c>
      <c r="Q197" s="1"/>
    </row>
    <row r="198" spans="1:17" x14ac:dyDescent="0.2">
      <c r="A198" s="2" t="s">
        <v>1396</v>
      </c>
      <c r="B198" s="2" t="s">
        <v>1587</v>
      </c>
      <c r="H198" s="2">
        <v>2276</v>
      </c>
      <c r="I198" s="2">
        <v>100</v>
      </c>
      <c r="J198" s="2" t="s">
        <v>1289</v>
      </c>
      <c r="O198" s="2" t="s">
        <v>908</v>
      </c>
      <c r="P198" s="2" t="s">
        <v>907</v>
      </c>
      <c r="Q198" s="1"/>
    </row>
    <row r="199" spans="1:17" x14ac:dyDescent="0.2">
      <c r="A199" s="2" t="s">
        <v>1396</v>
      </c>
      <c r="B199" s="2" t="s">
        <v>1588</v>
      </c>
      <c r="H199" s="2">
        <v>2276</v>
      </c>
      <c r="I199" s="2">
        <v>100</v>
      </c>
      <c r="J199" s="2" t="s">
        <v>1290</v>
      </c>
      <c r="O199" s="2" t="s">
        <v>910</v>
      </c>
      <c r="P199" s="2" t="s">
        <v>909</v>
      </c>
      <c r="Q199" s="1"/>
    </row>
    <row r="200" spans="1:17" x14ac:dyDescent="0.2">
      <c r="A200" s="2" t="s">
        <v>1396</v>
      </c>
      <c r="B200" s="2" t="s">
        <v>1589</v>
      </c>
      <c r="H200" s="2">
        <v>2276</v>
      </c>
      <c r="I200" s="2">
        <v>100</v>
      </c>
      <c r="J200" s="2" t="s">
        <v>1291</v>
      </c>
      <c r="O200" s="2" t="s">
        <v>912</v>
      </c>
      <c r="P200" s="2" t="s">
        <v>911</v>
      </c>
      <c r="Q200" s="1"/>
    </row>
    <row r="201" spans="1:17" x14ac:dyDescent="0.2">
      <c r="A201" s="2" t="s">
        <v>1396</v>
      </c>
      <c r="B201" s="2" t="s">
        <v>1590</v>
      </c>
      <c r="H201" s="2">
        <v>2276</v>
      </c>
      <c r="I201" s="2">
        <v>100</v>
      </c>
      <c r="J201" s="2" t="s">
        <v>1292</v>
      </c>
      <c r="O201" s="2" t="s">
        <v>914</v>
      </c>
      <c r="P201" s="2" t="s">
        <v>913</v>
      </c>
      <c r="Q201" s="1"/>
    </row>
    <row r="202" spans="1:17" x14ac:dyDescent="0.2">
      <c r="A202" s="2" t="s">
        <v>1396</v>
      </c>
      <c r="B202" s="2" t="s">
        <v>1591</v>
      </c>
      <c r="H202" s="2">
        <v>2276</v>
      </c>
      <c r="I202" s="2">
        <v>100</v>
      </c>
      <c r="J202" s="2" t="s">
        <v>1293</v>
      </c>
      <c r="O202" s="2" t="s">
        <v>916</v>
      </c>
      <c r="P202" s="2" t="s">
        <v>915</v>
      </c>
      <c r="Q202" s="1"/>
    </row>
    <row r="203" spans="1:17" x14ac:dyDescent="0.2">
      <c r="A203" s="2" t="s">
        <v>1396</v>
      </c>
      <c r="B203" s="2" t="s">
        <v>1592</v>
      </c>
      <c r="H203" s="2">
        <v>2276</v>
      </c>
      <c r="I203" s="2">
        <v>100</v>
      </c>
      <c r="J203" s="2" t="s">
        <v>1294</v>
      </c>
      <c r="O203" s="2" t="s">
        <v>918</v>
      </c>
      <c r="P203" s="2" t="s">
        <v>917</v>
      </c>
      <c r="Q203" s="1"/>
    </row>
    <row r="204" spans="1:17" x14ac:dyDescent="0.2">
      <c r="A204" s="2" t="s">
        <v>1396</v>
      </c>
      <c r="B204" s="2" t="s">
        <v>1593</v>
      </c>
      <c r="H204" s="2">
        <v>2276</v>
      </c>
      <c r="I204" s="2">
        <v>100</v>
      </c>
      <c r="J204" s="2" t="s">
        <v>1295</v>
      </c>
      <c r="O204" s="2" t="s">
        <v>919</v>
      </c>
      <c r="P204" s="2" t="s">
        <v>667</v>
      </c>
      <c r="Q204" s="1"/>
    </row>
    <row r="205" spans="1:17" x14ac:dyDescent="0.2">
      <c r="A205" s="2" t="s">
        <v>1396</v>
      </c>
      <c r="B205" s="2" t="s">
        <v>1594</v>
      </c>
      <c r="H205" s="2">
        <v>2276</v>
      </c>
      <c r="I205" s="2">
        <v>100</v>
      </c>
      <c r="J205" s="2" t="s">
        <v>1296</v>
      </c>
      <c r="O205" s="2" t="s">
        <v>920</v>
      </c>
      <c r="P205" s="2" t="s">
        <v>662</v>
      </c>
      <c r="Q205" s="1"/>
    </row>
    <row r="206" spans="1:17" x14ac:dyDescent="0.2">
      <c r="A206" s="2" t="s">
        <v>1396</v>
      </c>
      <c r="B206" s="2" t="s">
        <v>1595</v>
      </c>
      <c r="H206" s="2">
        <v>2276</v>
      </c>
      <c r="I206" s="2">
        <v>100</v>
      </c>
      <c r="J206" s="2" t="s">
        <v>1297</v>
      </c>
      <c r="O206" s="2" t="s">
        <v>921</v>
      </c>
      <c r="P206" s="2" t="s">
        <v>657</v>
      </c>
      <c r="Q206" s="1"/>
    </row>
    <row r="207" spans="1:17" x14ac:dyDescent="0.2">
      <c r="A207" s="2" t="s">
        <v>1396</v>
      </c>
      <c r="B207" s="2" t="s">
        <v>1596</v>
      </c>
      <c r="H207" s="2">
        <v>2276</v>
      </c>
      <c r="I207" s="2">
        <v>100</v>
      </c>
      <c r="J207" s="2" t="s">
        <v>1298</v>
      </c>
      <c r="O207" s="2" t="s">
        <v>923</v>
      </c>
      <c r="P207" s="2" t="s">
        <v>922</v>
      </c>
      <c r="Q207" s="1"/>
    </row>
    <row r="208" spans="1:17" x14ac:dyDescent="0.2">
      <c r="A208" s="2" t="s">
        <v>1396</v>
      </c>
      <c r="B208" s="2" t="s">
        <v>1597</v>
      </c>
      <c r="H208" s="2">
        <v>2276</v>
      </c>
      <c r="I208" s="2">
        <v>100</v>
      </c>
      <c r="J208" s="2" t="s">
        <v>1299</v>
      </c>
      <c r="O208" s="2" t="s">
        <v>925</v>
      </c>
      <c r="P208" s="2" t="s">
        <v>924</v>
      </c>
      <c r="Q208" s="1"/>
    </row>
    <row r="209" spans="1:17" x14ac:dyDescent="0.2">
      <c r="A209" s="2" t="s">
        <v>1396</v>
      </c>
      <c r="B209" s="2" t="s">
        <v>1598</v>
      </c>
      <c r="H209" s="2">
        <v>2276</v>
      </c>
      <c r="I209" s="2">
        <v>100</v>
      </c>
      <c r="J209" s="2" t="s">
        <v>1300</v>
      </c>
      <c r="O209" s="2" t="s">
        <v>927</v>
      </c>
      <c r="P209" s="2" t="s">
        <v>926</v>
      </c>
      <c r="Q209" s="1"/>
    </row>
    <row r="210" spans="1:17" x14ac:dyDescent="0.2">
      <c r="A210" s="2" t="s">
        <v>1396</v>
      </c>
      <c r="B210" s="2" t="s">
        <v>1599</v>
      </c>
      <c r="H210" s="2">
        <v>2276</v>
      </c>
      <c r="I210" s="2">
        <v>100</v>
      </c>
      <c r="J210" s="2" t="s">
        <v>1301</v>
      </c>
      <c r="O210" s="2" t="s">
        <v>929</v>
      </c>
      <c r="P210" s="2" t="s">
        <v>928</v>
      </c>
      <c r="Q210" s="1"/>
    </row>
    <row r="211" spans="1:17" x14ac:dyDescent="0.2">
      <c r="A211" s="2" t="s">
        <v>1396</v>
      </c>
      <c r="B211" s="2" t="s">
        <v>1600</v>
      </c>
      <c r="H211" s="2">
        <v>2276</v>
      </c>
      <c r="I211" s="2">
        <v>100</v>
      </c>
      <c r="J211" s="2" t="s">
        <v>1302</v>
      </c>
      <c r="O211" s="2" t="s">
        <v>931</v>
      </c>
      <c r="P211" s="2" t="s">
        <v>930</v>
      </c>
      <c r="Q211" s="1"/>
    </row>
    <row r="212" spans="1:17" x14ac:dyDescent="0.2">
      <c r="A212" s="2" t="s">
        <v>1396</v>
      </c>
      <c r="B212" s="2" t="s">
        <v>1601</v>
      </c>
      <c r="H212" s="2">
        <v>2276</v>
      </c>
      <c r="I212" s="2">
        <v>100</v>
      </c>
      <c r="J212" s="2" t="s">
        <v>1303</v>
      </c>
      <c r="O212" s="2" t="s">
        <v>933</v>
      </c>
      <c r="P212" s="2" t="s">
        <v>932</v>
      </c>
      <c r="Q212" s="1"/>
    </row>
    <row r="213" spans="1:17" x14ac:dyDescent="0.2">
      <c r="A213" s="2" t="s">
        <v>1396</v>
      </c>
      <c r="B213" s="2" t="s">
        <v>1602</v>
      </c>
      <c r="H213" s="2">
        <v>2276</v>
      </c>
      <c r="I213" s="2">
        <v>100</v>
      </c>
      <c r="J213" s="2" t="s">
        <v>1304</v>
      </c>
      <c r="O213" s="2" t="s">
        <v>935</v>
      </c>
      <c r="P213" s="2" t="s">
        <v>934</v>
      </c>
      <c r="Q213" s="1"/>
    </row>
    <row r="214" spans="1:17" x14ac:dyDescent="0.2">
      <c r="A214" s="2" t="s">
        <v>1396</v>
      </c>
      <c r="B214" s="2" t="s">
        <v>1603</v>
      </c>
      <c r="H214" s="2">
        <v>2276</v>
      </c>
      <c r="I214" s="2">
        <v>100</v>
      </c>
      <c r="J214" s="2" t="s">
        <v>1305</v>
      </c>
      <c r="O214" s="2" t="s">
        <v>937</v>
      </c>
      <c r="P214" s="2" t="s">
        <v>936</v>
      </c>
      <c r="Q214" s="1"/>
    </row>
    <row r="215" spans="1:17" x14ac:dyDescent="0.2">
      <c r="A215" s="2" t="s">
        <v>1396</v>
      </c>
      <c r="B215" s="2" t="s">
        <v>1604</v>
      </c>
      <c r="H215" s="2">
        <v>2276</v>
      </c>
      <c r="I215" s="2">
        <v>100</v>
      </c>
      <c r="J215" s="2" t="s">
        <v>1306</v>
      </c>
      <c r="O215" s="2" t="s">
        <v>939</v>
      </c>
      <c r="P215" s="2" t="s">
        <v>938</v>
      </c>
      <c r="Q215" s="1"/>
    </row>
    <row r="216" spans="1:17" x14ac:dyDescent="0.2">
      <c r="A216" s="2" t="s">
        <v>1396</v>
      </c>
      <c r="B216" s="2" t="s">
        <v>1605</v>
      </c>
      <c r="H216" s="2">
        <v>2276</v>
      </c>
      <c r="I216" s="2">
        <v>100</v>
      </c>
      <c r="J216" s="2" t="s">
        <v>1307</v>
      </c>
      <c r="O216" s="2" t="s">
        <v>941</v>
      </c>
      <c r="P216" s="2" t="s">
        <v>940</v>
      </c>
      <c r="Q216" s="1"/>
    </row>
    <row r="217" spans="1:17" x14ac:dyDescent="0.2">
      <c r="A217" s="2" t="s">
        <v>1396</v>
      </c>
      <c r="B217" s="2" t="s">
        <v>1606</v>
      </c>
      <c r="H217" s="2">
        <v>2276</v>
      </c>
      <c r="I217" s="2">
        <v>100</v>
      </c>
      <c r="J217" s="2" t="s">
        <v>1308</v>
      </c>
      <c r="O217" s="2" t="s">
        <v>943</v>
      </c>
      <c r="P217" s="2" t="s">
        <v>942</v>
      </c>
      <c r="Q217" s="1"/>
    </row>
    <row r="218" spans="1:17" x14ac:dyDescent="0.2">
      <c r="A218" s="2" t="s">
        <v>1396</v>
      </c>
      <c r="B218" s="2" t="s">
        <v>1607</v>
      </c>
      <c r="H218" s="2">
        <v>2276</v>
      </c>
      <c r="I218" s="2">
        <v>100</v>
      </c>
      <c r="J218" s="2" t="s">
        <v>1309</v>
      </c>
      <c r="O218" s="2" t="s">
        <v>945</v>
      </c>
      <c r="P218" s="2" t="s">
        <v>944</v>
      </c>
      <c r="Q218" s="1"/>
    </row>
    <row r="219" spans="1:17" x14ac:dyDescent="0.2">
      <c r="A219" s="2" t="s">
        <v>1396</v>
      </c>
      <c r="B219" s="2" t="s">
        <v>1608</v>
      </c>
      <c r="H219" s="2">
        <v>2276</v>
      </c>
      <c r="I219" s="2">
        <v>100</v>
      </c>
      <c r="J219" s="2" t="s">
        <v>1310</v>
      </c>
      <c r="O219" s="2" t="s">
        <v>947</v>
      </c>
      <c r="P219" s="2" t="s">
        <v>946</v>
      </c>
      <c r="Q219" s="1"/>
    </row>
    <row r="220" spans="1:17" x14ac:dyDescent="0.2">
      <c r="A220" s="2" t="s">
        <v>1396</v>
      </c>
      <c r="B220" s="2" t="s">
        <v>1609</v>
      </c>
      <c r="H220" s="2">
        <v>2276</v>
      </c>
      <c r="I220" s="2">
        <v>100</v>
      </c>
      <c r="J220" s="2" t="s">
        <v>1311</v>
      </c>
      <c r="O220" s="2" t="s">
        <v>949</v>
      </c>
      <c r="P220" s="2" t="s">
        <v>948</v>
      </c>
      <c r="Q220" s="1"/>
    </row>
    <row r="221" spans="1:17" x14ac:dyDescent="0.2">
      <c r="A221" s="2" t="s">
        <v>1396</v>
      </c>
      <c r="B221" s="2" t="s">
        <v>1610</v>
      </c>
      <c r="H221" s="2">
        <v>2276</v>
      </c>
      <c r="I221" s="2">
        <v>100</v>
      </c>
      <c r="J221" s="2" t="s">
        <v>1312</v>
      </c>
      <c r="O221" s="2" t="s">
        <v>951</v>
      </c>
      <c r="P221" s="2" t="s">
        <v>950</v>
      </c>
      <c r="Q221" s="1"/>
    </row>
    <row r="222" spans="1:17" x14ac:dyDescent="0.2">
      <c r="A222" s="2" t="s">
        <v>1396</v>
      </c>
      <c r="B222" s="2" t="s">
        <v>1611</v>
      </c>
      <c r="H222" s="2">
        <v>2276</v>
      </c>
      <c r="I222" s="2">
        <v>100</v>
      </c>
      <c r="J222" s="2" t="s">
        <v>1313</v>
      </c>
      <c r="O222" s="2" t="s">
        <v>953</v>
      </c>
      <c r="P222" s="2" t="s">
        <v>952</v>
      </c>
      <c r="Q222" s="1"/>
    </row>
    <row r="223" spans="1:17" x14ac:dyDescent="0.2">
      <c r="A223" s="2" t="s">
        <v>1396</v>
      </c>
      <c r="B223" s="2" t="s">
        <v>1612</v>
      </c>
      <c r="H223" s="2">
        <v>2276</v>
      </c>
      <c r="I223" s="2">
        <v>100</v>
      </c>
      <c r="J223" s="2" t="s">
        <v>1314</v>
      </c>
      <c r="O223" s="2" t="s">
        <v>955</v>
      </c>
      <c r="P223" s="2" t="s">
        <v>954</v>
      </c>
      <c r="Q223" s="1"/>
    </row>
    <row r="224" spans="1:17" x14ac:dyDescent="0.2">
      <c r="A224" s="2" t="s">
        <v>1396</v>
      </c>
      <c r="B224" s="2" t="s">
        <v>1613</v>
      </c>
      <c r="H224" s="2">
        <v>2276</v>
      </c>
      <c r="I224" s="2">
        <v>100</v>
      </c>
      <c r="J224" s="2" t="s">
        <v>1315</v>
      </c>
      <c r="O224" s="2" t="s">
        <v>957</v>
      </c>
      <c r="P224" s="2" t="s">
        <v>956</v>
      </c>
      <c r="Q224" s="1"/>
    </row>
    <row r="225" spans="1:17" x14ac:dyDescent="0.2">
      <c r="A225" s="2" t="s">
        <v>1396</v>
      </c>
      <c r="B225" s="2" t="s">
        <v>1614</v>
      </c>
      <c r="H225" s="2">
        <v>2276</v>
      </c>
      <c r="I225" s="2">
        <v>100</v>
      </c>
      <c r="J225" s="2" t="s">
        <v>1316</v>
      </c>
      <c r="O225" s="2" t="s">
        <v>959</v>
      </c>
      <c r="P225" s="2" t="s">
        <v>958</v>
      </c>
      <c r="Q225" s="1"/>
    </row>
    <row r="226" spans="1:17" x14ac:dyDescent="0.2">
      <c r="A226" s="2" t="s">
        <v>1396</v>
      </c>
      <c r="B226" s="2" t="s">
        <v>1615</v>
      </c>
      <c r="H226" s="2">
        <v>2276</v>
      </c>
      <c r="I226" s="2">
        <v>100</v>
      </c>
      <c r="J226" s="2" t="s">
        <v>1317</v>
      </c>
      <c r="O226" s="2" t="s">
        <v>961</v>
      </c>
      <c r="P226" s="2" t="s">
        <v>960</v>
      </c>
      <c r="Q226" s="1"/>
    </row>
    <row r="227" spans="1:17" x14ac:dyDescent="0.2">
      <c r="A227" s="2" t="s">
        <v>1396</v>
      </c>
      <c r="B227" s="2" t="s">
        <v>1616</v>
      </c>
      <c r="H227" s="2">
        <v>2276</v>
      </c>
      <c r="I227" s="2">
        <v>100</v>
      </c>
      <c r="J227" s="2" t="s">
        <v>1318</v>
      </c>
      <c r="O227" s="2" t="s">
        <v>963</v>
      </c>
      <c r="P227" s="2" t="s">
        <v>962</v>
      </c>
      <c r="Q227" s="1"/>
    </row>
    <row r="228" spans="1:17" x14ac:dyDescent="0.2">
      <c r="A228" s="2" t="s">
        <v>1396</v>
      </c>
      <c r="B228" s="2" t="s">
        <v>1617</v>
      </c>
      <c r="H228" s="2">
        <v>2276</v>
      </c>
      <c r="I228" s="2">
        <v>100</v>
      </c>
      <c r="J228" s="2" t="s">
        <v>1319</v>
      </c>
      <c r="O228" s="2" t="s">
        <v>965</v>
      </c>
      <c r="P228" s="2" t="s">
        <v>964</v>
      </c>
      <c r="Q228" s="1"/>
    </row>
    <row r="229" spans="1:17" x14ac:dyDescent="0.2">
      <c r="A229" s="2" t="s">
        <v>1396</v>
      </c>
      <c r="B229" s="2" t="s">
        <v>1618</v>
      </c>
      <c r="H229" s="2">
        <v>2276</v>
      </c>
      <c r="I229" s="2">
        <v>100</v>
      </c>
      <c r="J229" s="2" t="s">
        <v>1320</v>
      </c>
      <c r="O229" s="2" t="s">
        <v>967</v>
      </c>
      <c r="P229" s="2" t="s">
        <v>966</v>
      </c>
      <c r="Q229" s="1"/>
    </row>
    <row r="230" spans="1:17" x14ac:dyDescent="0.2">
      <c r="A230" s="2" t="s">
        <v>1396</v>
      </c>
      <c r="B230" s="2" t="s">
        <v>1619</v>
      </c>
      <c r="H230" s="2">
        <v>2276</v>
      </c>
      <c r="I230" s="2">
        <v>100</v>
      </c>
      <c r="J230" s="2" t="s">
        <v>1321</v>
      </c>
      <c r="O230" s="2" t="s">
        <v>969</v>
      </c>
      <c r="P230" s="2" t="s">
        <v>968</v>
      </c>
      <c r="Q230" s="1"/>
    </row>
    <row r="231" spans="1:17" x14ac:dyDescent="0.2">
      <c r="A231" s="2" t="s">
        <v>1396</v>
      </c>
      <c r="B231" s="2" t="s">
        <v>1620</v>
      </c>
      <c r="H231" s="2">
        <v>2276</v>
      </c>
      <c r="I231" s="2">
        <v>100</v>
      </c>
      <c r="J231" s="2" t="s">
        <v>1322</v>
      </c>
      <c r="O231" s="2" t="s">
        <v>971</v>
      </c>
      <c r="P231" s="2" t="s">
        <v>970</v>
      </c>
      <c r="Q231" s="1"/>
    </row>
    <row r="232" spans="1:17" x14ac:dyDescent="0.2">
      <c r="A232" s="2" t="s">
        <v>1396</v>
      </c>
      <c r="B232" s="2" t="s">
        <v>1621</v>
      </c>
      <c r="H232" s="2">
        <v>2276</v>
      </c>
      <c r="I232" s="2">
        <v>100</v>
      </c>
      <c r="J232" s="2" t="s">
        <v>1323</v>
      </c>
      <c r="O232" s="2" t="s">
        <v>973</v>
      </c>
      <c r="P232" s="2" t="s">
        <v>972</v>
      </c>
      <c r="Q232" s="1"/>
    </row>
    <row r="233" spans="1:17" x14ac:dyDescent="0.2">
      <c r="A233" s="2" t="s">
        <v>1396</v>
      </c>
      <c r="B233" s="2" t="s">
        <v>1622</v>
      </c>
      <c r="H233" s="2">
        <v>2276</v>
      </c>
      <c r="I233" s="2">
        <v>100</v>
      </c>
      <c r="J233" s="2" t="s">
        <v>1324</v>
      </c>
      <c r="O233" s="2" t="s">
        <v>975</v>
      </c>
      <c r="P233" s="2" t="s">
        <v>974</v>
      </c>
      <c r="Q233" s="1"/>
    </row>
    <row r="234" spans="1:17" x14ac:dyDescent="0.2">
      <c r="A234" s="2" t="s">
        <v>1396</v>
      </c>
      <c r="B234" s="2" t="s">
        <v>1623</v>
      </c>
      <c r="H234" s="2">
        <v>2276</v>
      </c>
      <c r="I234" s="2">
        <v>100</v>
      </c>
      <c r="J234" s="2" t="s">
        <v>1325</v>
      </c>
      <c r="O234" s="2" t="s">
        <v>977</v>
      </c>
      <c r="P234" s="2" t="s">
        <v>976</v>
      </c>
      <c r="Q234" s="1"/>
    </row>
    <row r="235" spans="1:17" x14ac:dyDescent="0.2">
      <c r="A235" s="2" t="s">
        <v>1396</v>
      </c>
      <c r="B235" s="2" t="s">
        <v>1624</v>
      </c>
      <c r="H235" s="2">
        <v>2276</v>
      </c>
      <c r="I235" s="2">
        <v>100</v>
      </c>
      <c r="J235" s="2" t="s">
        <v>1326</v>
      </c>
      <c r="O235" s="2" t="s">
        <v>979</v>
      </c>
      <c r="P235" s="2" t="s">
        <v>978</v>
      </c>
      <c r="Q235" s="1"/>
    </row>
    <row r="236" spans="1:17" x14ac:dyDescent="0.2">
      <c r="A236" s="2" t="s">
        <v>1396</v>
      </c>
      <c r="B236" s="2" t="s">
        <v>1625</v>
      </c>
      <c r="H236" s="2">
        <v>2276</v>
      </c>
      <c r="I236" s="2">
        <v>100</v>
      </c>
      <c r="J236" s="2" t="s">
        <v>1327</v>
      </c>
      <c r="O236" s="2" t="s">
        <v>981</v>
      </c>
      <c r="P236" s="2" t="s">
        <v>980</v>
      </c>
      <c r="Q236" s="1"/>
    </row>
    <row r="237" spans="1:17" x14ac:dyDescent="0.2">
      <c r="A237" s="2" t="s">
        <v>1396</v>
      </c>
      <c r="B237" s="2" t="s">
        <v>1626</v>
      </c>
      <c r="H237" s="2">
        <v>2276</v>
      </c>
      <c r="I237" s="2">
        <v>100</v>
      </c>
      <c r="J237" s="2" t="s">
        <v>1328</v>
      </c>
      <c r="O237" s="2" t="s">
        <v>983</v>
      </c>
      <c r="P237" s="2" t="s">
        <v>982</v>
      </c>
      <c r="Q237" s="1"/>
    </row>
    <row r="238" spans="1:17" x14ac:dyDescent="0.2">
      <c r="A238" s="2" t="s">
        <v>1396</v>
      </c>
      <c r="B238" s="2" t="s">
        <v>1627</v>
      </c>
      <c r="H238" s="2">
        <v>2276</v>
      </c>
      <c r="I238" s="2">
        <v>100</v>
      </c>
      <c r="J238" s="2" t="s">
        <v>1329</v>
      </c>
      <c r="O238" s="2" t="s">
        <v>985</v>
      </c>
      <c r="P238" s="2" t="s">
        <v>984</v>
      </c>
      <c r="Q238" s="1"/>
    </row>
    <row r="239" spans="1:17" x14ac:dyDescent="0.2">
      <c r="A239" s="2" t="s">
        <v>1396</v>
      </c>
      <c r="B239" s="2" t="s">
        <v>1628</v>
      </c>
      <c r="H239" s="2">
        <v>2276</v>
      </c>
      <c r="I239" s="2">
        <v>100</v>
      </c>
      <c r="J239" s="2" t="s">
        <v>1330</v>
      </c>
      <c r="O239" s="2" t="s">
        <v>987</v>
      </c>
      <c r="P239" s="2" t="s">
        <v>986</v>
      </c>
      <c r="Q239" s="1"/>
    </row>
    <row r="240" spans="1:17" x14ac:dyDescent="0.2">
      <c r="A240" s="2" t="s">
        <v>1396</v>
      </c>
      <c r="B240" s="2" t="s">
        <v>1629</v>
      </c>
      <c r="H240" s="2">
        <v>2276</v>
      </c>
      <c r="I240" s="2">
        <v>100</v>
      </c>
      <c r="J240" s="2" t="s">
        <v>1331</v>
      </c>
      <c r="O240" s="2" t="s">
        <v>989</v>
      </c>
      <c r="P240" s="2" t="s">
        <v>988</v>
      </c>
      <c r="Q240" s="1"/>
    </row>
    <row r="241" spans="1:17" x14ac:dyDescent="0.2">
      <c r="A241" s="2" t="s">
        <v>1396</v>
      </c>
      <c r="B241" s="2" t="s">
        <v>1630</v>
      </c>
      <c r="H241" s="2">
        <v>2276</v>
      </c>
      <c r="I241" s="2">
        <v>100</v>
      </c>
      <c r="J241" s="2" t="s">
        <v>1332</v>
      </c>
      <c r="O241" s="2" t="s">
        <v>991</v>
      </c>
      <c r="P241" s="2" t="s">
        <v>990</v>
      </c>
      <c r="Q241" s="1"/>
    </row>
    <row r="242" spans="1:17" x14ac:dyDescent="0.2">
      <c r="A242" s="2" t="s">
        <v>1396</v>
      </c>
      <c r="B242" s="2" t="s">
        <v>1631</v>
      </c>
      <c r="H242" s="2">
        <v>2276</v>
      </c>
      <c r="I242" s="2">
        <v>100</v>
      </c>
      <c r="J242" s="2" t="s">
        <v>1333</v>
      </c>
      <c r="O242" s="2" t="s">
        <v>993</v>
      </c>
      <c r="P242" s="2" t="s">
        <v>992</v>
      </c>
      <c r="Q242" s="1"/>
    </row>
    <row r="243" spans="1:17" x14ac:dyDescent="0.2">
      <c r="A243" s="2" t="s">
        <v>1396</v>
      </c>
      <c r="B243" s="2" t="s">
        <v>1632</v>
      </c>
      <c r="H243" s="2">
        <v>2276</v>
      </c>
      <c r="I243" s="2">
        <v>100</v>
      </c>
      <c r="J243" s="2" t="s">
        <v>1334</v>
      </c>
      <c r="O243" s="2" t="s">
        <v>995</v>
      </c>
      <c r="P243" s="2" t="s">
        <v>994</v>
      </c>
      <c r="Q243" s="1"/>
    </row>
    <row r="244" spans="1:17" x14ac:dyDescent="0.2">
      <c r="A244" s="2" t="s">
        <v>1396</v>
      </c>
      <c r="B244" s="2" t="s">
        <v>1633</v>
      </c>
      <c r="H244" s="2">
        <v>2276</v>
      </c>
      <c r="I244" s="2">
        <v>100</v>
      </c>
      <c r="J244" s="2" t="s">
        <v>1335</v>
      </c>
      <c r="O244" s="2" t="s">
        <v>997</v>
      </c>
      <c r="P244" s="2" t="s">
        <v>996</v>
      </c>
      <c r="Q244" s="1"/>
    </row>
    <row r="245" spans="1:17" x14ac:dyDescent="0.2">
      <c r="A245" s="2" t="s">
        <v>1396</v>
      </c>
      <c r="B245" s="2" t="s">
        <v>1634</v>
      </c>
      <c r="H245" s="2">
        <v>2276</v>
      </c>
      <c r="I245" s="2">
        <v>100</v>
      </c>
      <c r="J245" s="2" t="s">
        <v>1336</v>
      </c>
      <c r="O245" s="2" t="s">
        <v>999</v>
      </c>
      <c r="P245" s="2" t="s">
        <v>998</v>
      </c>
      <c r="Q245" s="1"/>
    </row>
    <row r="246" spans="1:17" x14ac:dyDescent="0.2">
      <c r="A246" s="2" t="s">
        <v>1396</v>
      </c>
      <c r="B246" s="2" t="s">
        <v>1635</v>
      </c>
      <c r="H246" s="2">
        <v>2276</v>
      </c>
      <c r="I246" s="2">
        <v>100</v>
      </c>
      <c r="J246" s="2" t="s">
        <v>1337</v>
      </c>
      <c r="O246" s="2" t="s">
        <v>1001</v>
      </c>
      <c r="P246" s="2" t="s">
        <v>1000</v>
      </c>
      <c r="Q246" s="1"/>
    </row>
    <row r="247" spans="1:17" x14ac:dyDescent="0.2">
      <c r="A247" s="2" t="s">
        <v>1396</v>
      </c>
      <c r="B247" s="2" t="s">
        <v>1636</v>
      </c>
      <c r="H247" s="2">
        <v>2276</v>
      </c>
      <c r="I247" s="2">
        <v>100</v>
      </c>
      <c r="J247" s="2" t="s">
        <v>1338</v>
      </c>
      <c r="O247" s="2" t="s">
        <v>1003</v>
      </c>
      <c r="P247" s="2" t="s">
        <v>1002</v>
      </c>
      <c r="Q247" s="1"/>
    </row>
    <row r="248" spans="1:17" x14ac:dyDescent="0.2">
      <c r="A248" s="2" t="s">
        <v>1396</v>
      </c>
      <c r="B248" s="2" t="s">
        <v>1637</v>
      </c>
      <c r="H248" s="2">
        <v>2276</v>
      </c>
      <c r="I248" s="2">
        <v>100</v>
      </c>
      <c r="J248" s="2" t="s">
        <v>1339</v>
      </c>
      <c r="O248" s="2" t="s">
        <v>1005</v>
      </c>
      <c r="P248" s="2" t="s">
        <v>1004</v>
      </c>
      <c r="Q248" s="1"/>
    </row>
    <row r="249" spans="1:17" x14ac:dyDescent="0.2">
      <c r="A249" s="2" t="s">
        <v>1396</v>
      </c>
      <c r="B249" s="2" t="s">
        <v>1638</v>
      </c>
      <c r="H249" s="2">
        <v>2276</v>
      </c>
      <c r="I249" s="2">
        <v>100</v>
      </c>
      <c r="J249" s="2" t="s">
        <v>1340</v>
      </c>
      <c r="O249" s="2" t="s">
        <v>1007</v>
      </c>
      <c r="P249" s="2" t="s">
        <v>1006</v>
      </c>
      <c r="Q249" s="1"/>
    </row>
    <row r="250" spans="1:17" x14ac:dyDescent="0.2">
      <c r="A250" s="2" t="s">
        <v>1396</v>
      </c>
      <c r="B250" s="2" t="s">
        <v>1639</v>
      </c>
      <c r="H250" s="2">
        <v>2276</v>
      </c>
      <c r="I250" s="2">
        <v>100</v>
      </c>
      <c r="J250" s="2" t="s">
        <v>1341</v>
      </c>
      <c r="O250" s="2" t="s">
        <v>1009</v>
      </c>
      <c r="P250" s="2" t="s">
        <v>1008</v>
      </c>
      <c r="Q250" s="1"/>
    </row>
    <row r="251" spans="1:17" x14ac:dyDescent="0.2">
      <c r="A251" s="2" t="s">
        <v>1396</v>
      </c>
      <c r="B251" s="2" t="s">
        <v>1640</v>
      </c>
      <c r="H251" s="2">
        <v>2276</v>
      </c>
      <c r="I251" s="2">
        <v>100</v>
      </c>
      <c r="J251" s="2" t="s">
        <v>1342</v>
      </c>
      <c r="O251" s="2" t="s">
        <v>1011</v>
      </c>
      <c r="P251" s="2" t="s">
        <v>1010</v>
      </c>
      <c r="Q251" s="1"/>
    </row>
    <row r="252" spans="1:17" x14ac:dyDescent="0.2">
      <c r="A252" s="2" t="s">
        <v>1396</v>
      </c>
      <c r="B252" s="2" t="s">
        <v>1641</v>
      </c>
      <c r="H252" s="2">
        <v>2276</v>
      </c>
      <c r="I252" s="2">
        <v>100</v>
      </c>
      <c r="J252" s="2" t="s">
        <v>1343</v>
      </c>
      <c r="O252" s="2" t="s">
        <v>1013</v>
      </c>
      <c r="P252" s="2" t="s">
        <v>1012</v>
      </c>
      <c r="Q252" s="1"/>
    </row>
    <row r="253" spans="1:17" x14ac:dyDescent="0.2">
      <c r="A253" s="2" t="s">
        <v>1396</v>
      </c>
      <c r="B253" s="2" t="s">
        <v>1642</v>
      </c>
      <c r="H253" s="2">
        <v>2276</v>
      </c>
      <c r="I253" s="2">
        <v>100</v>
      </c>
      <c r="J253" s="2" t="s">
        <v>1344</v>
      </c>
      <c r="O253" s="2" t="s">
        <v>1015</v>
      </c>
      <c r="P253" s="2" t="s">
        <v>1014</v>
      </c>
      <c r="Q253" s="1"/>
    </row>
    <row r="254" spans="1:17" x14ac:dyDescent="0.2">
      <c r="A254" s="2" t="s">
        <v>1396</v>
      </c>
      <c r="B254" s="2" t="s">
        <v>1643</v>
      </c>
      <c r="H254" s="2">
        <v>2276</v>
      </c>
      <c r="I254" s="2">
        <v>100</v>
      </c>
      <c r="J254" s="2" t="s">
        <v>1345</v>
      </c>
      <c r="O254" s="2" t="s">
        <v>1017</v>
      </c>
      <c r="P254" s="2" t="s">
        <v>1016</v>
      </c>
      <c r="Q254" s="1"/>
    </row>
    <row r="255" spans="1:17" x14ac:dyDescent="0.2">
      <c r="A255" s="2" t="s">
        <v>1396</v>
      </c>
      <c r="B255" s="2" t="s">
        <v>1644</v>
      </c>
      <c r="H255" s="2">
        <v>2276</v>
      </c>
      <c r="I255" s="2">
        <v>100</v>
      </c>
      <c r="J255" s="2" t="s">
        <v>1346</v>
      </c>
      <c r="O255" s="2" t="s">
        <v>1019</v>
      </c>
      <c r="P255" s="2" t="s">
        <v>1018</v>
      </c>
      <c r="Q255" s="1"/>
    </row>
    <row r="256" spans="1:17" x14ac:dyDescent="0.2">
      <c r="A256" s="2" t="s">
        <v>1396</v>
      </c>
      <c r="B256" s="2" t="s">
        <v>1645</v>
      </c>
      <c r="H256" s="2">
        <v>2276</v>
      </c>
      <c r="I256" s="2">
        <v>100</v>
      </c>
      <c r="J256" s="2" t="s">
        <v>1347</v>
      </c>
      <c r="O256" s="2" t="s">
        <v>1021</v>
      </c>
      <c r="P256" s="2" t="s">
        <v>1020</v>
      </c>
      <c r="Q256" s="1"/>
    </row>
    <row r="257" spans="1:17" x14ac:dyDescent="0.2">
      <c r="A257" s="2" t="s">
        <v>1396</v>
      </c>
      <c r="B257" s="2" t="s">
        <v>1646</v>
      </c>
      <c r="H257" s="2">
        <v>2276</v>
      </c>
      <c r="I257" s="2">
        <v>100</v>
      </c>
      <c r="J257" s="2" t="s">
        <v>1348</v>
      </c>
      <c r="O257" s="2" t="s">
        <v>1023</v>
      </c>
      <c r="P257" s="2" t="s">
        <v>1022</v>
      </c>
      <c r="Q257" s="1"/>
    </row>
    <row r="258" spans="1:17" x14ac:dyDescent="0.2">
      <c r="A258" s="2" t="s">
        <v>1396</v>
      </c>
      <c r="B258" s="2" t="s">
        <v>1647</v>
      </c>
      <c r="H258" s="2">
        <v>2276</v>
      </c>
      <c r="I258" s="2">
        <v>100</v>
      </c>
      <c r="J258" s="2" t="s">
        <v>1349</v>
      </c>
      <c r="O258" s="2" t="s">
        <v>1025</v>
      </c>
      <c r="P258" s="2" t="s">
        <v>1024</v>
      </c>
      <c r="Q258" s="1"/>
    </row>
    <row r="259" spans="1:17" x14ac:dyDescent="0.2">
      <c r="A259" s="2" t="s">
        <v>1396</v>
      </c>
      <c r="B259" s="2" t="s">
        <v>1648</v>
      </c>
      <c r="H259" s="2">
        <v>2276</v>
      </c>
      <c r="I259" s="2">
        <v>100</v>
      </c>
      <c r="J259" s="2" t="s">
        <v>1350</v>
      </c>
      <c r="O259" s="2" t="s">
        <v>1027</v>
      </c>
      <c r="P259" s="2" t="s">
        <v>1026</v>
      </c>
      <c r="Q259" s="1"/>
    </row>
    <row r="260" spans="1:17" x14ac:dyDescent="0.2">
      <c r="A260" s="2" t="s">
        <v>1396</v>
      </c>
      <c r="B260" s="2" t="s">
        <v>1649</v>
      </c>
      <c r="H260" s="2">
        <v>2276</v>
      </c>
      <c r="I260" s="2">
        <v>100</v>
      </c>
      <c r="J260" s="2" t="s">
        <v>1351</v>
      </c>
      <c r="O260" s="2" t="s">
        <v>1029</v>
      </c>
      <c r="P260" s="2" t="s">
        <v>1028</v>
      </c>
      <c r="Q260" s="1"/>
    </row>
    <row r="261" spans="1:17" x14ac:dyDescent="0.2">
      <c r="A261" s="2" t="s">
        <v>1396</v>
      </c>
      <c r="B261" s="2" t="s">
        <v>1650</v>
      </c>
      <c r="H261" s="2">
        <v>2276</v>
      </c>
      <c r="I261" s="2">
        <v>100</v>
      </c>
      <c r="J261" s="2" t="s">
        <v>1352</v>
      </c>
      <c r="O261" s="2" t="s">
        <v>1031</v>
      </c>
      <c r="P261" s="2" t="s">
        <v>1030</v>
      </c>
      <c r="Q261" s="1"/>
    </row>
    <row r="262" spans="1:17" x14ac:dyDescent="0.2">
      <c r="A262" s="2" t="s">
        <v>1396</v>
      </c>
      <c r="B262" s="2" t="s">
        <v>1651</v>
      </c>
      <c r="H262" s="2">
        <v>2276</v>
      </c>
      <c r="I262" s="2">
        <v>100</v>
      </c>
      <c r="J262" s="2" t="s">
        <v>1353</v>
      </c>
      <c r="O262" s="2" t="s">
        <v>779</v>
      </c>
      <c r="P262" s="2" t="s">
        <v>1032</v>
      </c>
      <c r="Q262" s="1"/>
    </row>
    <row r="263" spans="1:17" x14ac:dyDescent="0.2">
      <c r="A263" s="2" t="s">
        <v>1396</v>
      </c>
      <c r="B263" s="2" t="s">
        <v>1652</v>
      </c>
      <c r="H263" s="2">
        <v>2276</v>
      </c>
      <c r="I263" s="2">
        <v>100</v>
      </c>
      <c r="J263" s="2" t="s">
        <v>1354</v>
      </c>
      <c r="O263" s="2" t="s">
        <v>1034</v>
      </c>
      <c r="P263" s="2" t="s">
        <v>1033</v>
      </c>
      <c r="Q263" s="1"/>
    </row>
    <row r="264" spans="1:17" x14ac:dyDescent="0.2">
      <c r="A264" s="2" t="s">
        <v>1396</v>
      </c>
      <c r="B264" s="2" t="s">
        <v>1653</v>
      </c>
      <c r="H264" s="2">
        <v>2276</v>
      </c>
      <c r="I264" s="2">
        <v>100</v>
      </c>
      <c r="J264" s="2" t="s">
        <v>1355</v>
      </c>
      <c r="O264" s="2" t="s">
        <v>781</v>
      </c>
      <c r="P264" s="2" t="s">
        <v>1035</v>
      </c>
      <c r="Q264" s="1"/>
    </row>
    <row r="265" spans="1:17" x14ac:dyDescent="0.2">
      <c r="A265" s="2" t="s">
        <v>1396</v>
      </c>
      <c r="B265" s="2" t="s">
        <v>1654</v>
      </c>
      <c r="H265" s="2">
        <v>2276</v>
      </c>
      <c r="I265" s="2">
        <v>100</v>
      </c>
      <c r="J265" s="2" t="s">
        <v>1356</v>
      </c>
      <c r="O265" s="2" t="s">
        <v>783</v>
      </c>
      <c r="P265" s="2" t="s">
        <v>1036</v>
      </c>
      <c r="Q265" s="1"/>
    </row>
    <row r="266" spans="1:17" x14ac:dyDescent="0.2">
      <c r="A266" s="2" t="s">
        <v>1396</v>
      </c>
      <c r="B266" s="2" t="s">
        <v>1655</v>
      </c>
      <c r="H266" s="2">
        <v>2276</v>
      </c>
      <c r="I266" s="2">
        <v>100</v>
      </c>
      <c r="J266" s="2" t="s">
        <v>1357</v>
      </c>
      <c r="O266" s="2" t="s">
        <v>785</v>
      </c>
      <c r="P266" s="2" t="s">
        <v>1037</v>
      </c>
      <c r="Q266" s="1"/>
    </row>
    <row r="267" spans="1:17" x14ac:dyDescent="0.2">
      <c r="A267" s="2" t="s">
        <v>1396</v>
      </c>
      <c r="B267" s="2" t="s">
        <v>1656</v>
      </c>
      <c r="H267" s="2">
        <v>2276</v>
      </c>
      <c r="I267" s="2">
        <v>100</v>
      </c>
      <c r="J267" s="2" t="s">
        <v>1358</v>
      </c>
      <c r="O267" s="2" t="s">
        <v>788</v>
      </c>
      <c r="P267" s="2" t="s">
        <v>1038</v>
      </c>
      <c r="Q267" s="1"/>
    </row>
    <row r="268" spans="1:17" x14ac:dyDescent="0.2">
      <c r="A268" s="2" t="s">
        <v>1396</v>
      </c>
      <c r="B268" s="2" t="s">
        <v>1657</v>
      </c>
      <c r="H268" s="2">
        <v>2276</v>
      </c>
      <c r="I268" s="2">
        <v>100</v>
      </c>
      <c r="J268" s="2" t="s">
        <v>1359</v>
      </c>
      <c r="O268" s="2" t="s">
        <v>788</v>
      </c>
      <c r="P268" s="2" t="s">
        <v>1039</v>
      </c>
      <c r="Q268" s="1"/>
    </row>
    <row r="269" spans="1:17" x14ac:dyDescent="0.2">
      <c r="A269" s="2" t="s">
        <v>1396</v>
      </c>
      <c r="B269" s="2" t="s">
        <v>1658</v>
      </c>
      <c r="H269" s="2">
        <v>2276</v>
      </c>
      <c r="I269" s="2">
        <v>100</v>
      </c>
      <c r="J269" s="2" t="s">
        <v>1360</v>
      </c>
      <c r="O269" s="2" t="s">
        <v>792</v>
      </c>
      <c r="P269" s="2" t="s">
        <v>1040</v>
      </c>
      <c r="Q269" s="1"/>
    </row>
    <row r="270" spans="1:17" x14ac:dyDescent="0.2">
      <c r="A270" s="2" t="s">
        <v>1396</v>
      </c>
      <c r="B270" s="2" t="s">
        <v>1659</v>
      </c>
      <c r="H270" s="2">
        <v>2276</v>
      </c>
      <c r="I270" s="2">
        <v>100</v>
      </c>
      <c r="J270" s="2" t="s">
        <v>1361</v>
      </c>
      <c r="O270" s="2" t="s">
        <v>1042</v>
      </c>
      <c r="P270" s="2" t="s">
        <v>1041</v>
      </c>
      <c r="Q270" s="1"/>
    </row>
    <row r="271" spans="1:17" x14ac:dyDescent="0.2">
      <c r="A271" s="2" t="s">
        <v>1396</v>
      </c>
      <c r="B271" s="2" t="s">
        <v>1660</v>
      </c>
      <c r="H271" s="2">
        <v>2276</v>
      </c>
      <c r="I271" s="2">
        <v>100</v>
      </c>
      <c r="J271" s="2" t="s">
        <v>1362</v>
      </c>
      <c r="O271" s="2" t="s">
        <v>1044</v>
      </c>
      <c r="P271" s="2" t="s">
        <v>1043</v>
      </c>
      <c r="Q271" s="1"/>
    </row>
    <row r="272" spans="1:17" x14ac:dyDescent="0.2">
      <c r="A272" s="2" t="s">
        <v>1396</v>
      </c>
      <c r="B272" s="2" t="s">
        <v>1661</v>
      </c>
      <c r="H272" s="2">
        <v>2276</v>
      </c>
      <c r="I272" s="2">
        <v>100</v>
      </c>
      <c r="J272" s="2" t="s">
        <v>1363</v>
      </c>
      <c r="O272" s="2" t="s">
        <v>1046</v>
      </c>
      <c r="P272" s="2" t="s">
        <v>1045</v>
      </c>
      <c r="Q272" s="1"/>
    </row>
    <row r="273" spans="1:17" x14ac:dyDescent="0.2">
      <c r="A273" s="2" t="s">
        <v>1396</v>
      </c>
      <c r="B273" s="2" t="s">
        <v>1662</v>
      </c>
      <c r="H273" s="2">
        <v>2276</v>
      </c>
      <c r="I273" s="2">
        <v>100</v>
      </c>
      <c r="J273" s="2" t="s">
        <v>1364</v>
      </c>
      <c r="O273" s="2" t="s">
        <v>1048</v>
      </c>
      <c r="P273" s="2" t="s">
        <v>1047</v>
      </c>
      <c r="Q273" s="1"/>
    </row>
    <row r="274" spans="1:17" x14ac:dyDescent="0.2">
      <c r="A274" s="2" t="s">
        <v>1396</v>
      </c>
      <c r="B274" s="2" t="s">
        <v>1663</v>
      </c>
      <c r="H274" s="2">
        <v>2276</v>
      </c>
      <c r="I274" s="2">
        <v>100</v>
      </c>
      <c r="J274" s="2" t="s">
        <v>1365</v>
      </c>
      <c r="O274" s="2" t="s">
        <v>1049</v>
      </c>
      <c r="P274" s="2" t="s">
        <v>803</v>
      </c>
      <c r="Q274" s="1"/>
    </row>
    <row r="275" spans="1:17" x14ac:dyDescent="0.2">
      <c r="A275" s="2" t="s">
        <v>1396</v>
      </c>
      <c r="B275" s="2" t="s">
        <v>1664</v>
      </c>
      <c r="H275" s="2">
        <v>2276</v>
      </c>
      <c r="I275" s="2">
        <v>100</v>
      </c>
      <c r="J275" s="2" t="s">
        <v>1366</v>
      </c>
      <c r="O275" s="2" t="s">
        <v>1051</v>
      </c>
      <c r="P275" s="2" t="s">
        <v>1050</v>
      </c>
      <c r="Q275" s="1"/>
    </row>
    <row r="276" spans="1:17" x14ac:dyDescent="0.2">
      <c r="A276" s="2" t="s">
        <v>1396</v>
      </c>
      <c r="B276" s="2" t="s">
        <v>1665</v>
      </c>
      <c r="H276" s="2">
        <v>2276</v>
      </c>
      <c r="I276" s="2">
        <v>100</v>
      </c>
      <c r="J276" s="2" t="s">
        <v>1367</v>
      </c>
      <c r="O276" s="2" t="s">
        <v>1053</v>
      </c>
      <c r="P276" s="2" t="s">
        <v>1052</v>
      </c>
      <c r="Q276" s="1"/>
    </row>
    <row r="277" spans="1:17" x14ac:dyDescent="0.2">
      <c r="A277" s="2" t="s">
        <v>1396</v>
      </c>
      <c r="B277" s="2" t="s">
        <v>1666</v>
      </c>
      <c r="H277" s="2">
        <v>2276</v>
      </c>
      <c r="I277" s="2">
        <v>100</v>
      </c>
      <c r="J277" s="2" t="s">
        <v>1368</v>
      </c>
      <c r="O277" s="2" t="s">
        <v>1054</v>
      </c>
      <c r="P277" s="2" t="s">
        <v>1050</v>
      </c>
      <c r="Q277" s="1"/>
    </row>
    <row r="278" spans="1:17" x14ac:dyDescent="0.2">
      <c r="A278" s="2" t="s">
        <v>1396</v>
      </c>
      <c r="B278" s="2" t="s">
        <v>1667</v>
      </c>
      <c r="H278" s="2">
        <v>2276</v>
      </c>
      <c r="I278" s="2">
        <v>100</v>
      </c>
      <c r="J278" s="2" t="s">
        <v>1369</v>
      </c>
      <c r="O278" s="2" t="s">
        <v>1055</v>
      </c>
      <c r="P278" s="2" t="s">
        <v>1050</v>
      </c>
      <c r="Q278" s="1"/>
    </row>
    <row r="279" spans="1:17" x14ac:dyDescent="0.2">
      <c r="A279" s="2" t="s">
        <v>1396</v>
      </c>
      <c r="B279" s="2" t="s">
        <v>1668</v>
      </c>
      <c r="H279" s="2">
        <v>2276</v>
      </c>
      <c r="I279" s="2">
        <v>100</v>
      </c>
      <c r="J279" s="2" t="s">
        <v>1370</v>
      </c>
      <c r="O279" s="2" t="s">
        <v>1057</v>
      </c>
      <c r="P279" s="2" t="s">
        <v>1056</v>
      </c>
      <c r="Q279" s="1"/>
    </row>
    <row r="280" spans="1:17" x14ac:dyDescent="0.2">
      <c r="A280" s="2" t="s">
        <v>1396</v>
      </c>
      <c r="B280" s="2" t="s">
        <v>1669</v>
      </c>
      <c r="H280" s="2">
        <v>2276</v>
      </c>
      <c r="I280" s="2">
        <v>100</v>
      </c>
      <c r="J280" s="2" t="s">
        <v>1371</v>
      </c>
      <c r="O280" s="2" t="s">
        <v>1058</v>
      </c>
      <c r="P280" s="2" t="s">
        <v>811</v>
      </c>
      <c r="Q280" s="1"/>
    </row>
    <row r="281" spans="1:17" x14ac:dyDescent="0.2">
      <c r="A281" s="2" t="s">
        <v>1396</v>
      </c>
      <c r="B281" s="2" t="s">
        <v>1670</v>
      </c>
      <c r="H281" s="2">
        <v>2276</v>
      </c>
      <c r="I281" s="2">
        <v>100</v>
      </c>
      <c r="J281" s="2" t="s">
        <v>1372</v>
      </c>
      <c r="O281" s="2" t="s">
        <v>1060</v>
      </c>
      <c r="P281" s="2" t="s">
        <v>1059</v>
      </c>
      <c r="Q281" s="1"/>
    </row>
    <row r="282" spans="1:17" x14ac:dyDescent="0.2">
      <c r="A282" s="2" t="s">
        <v>1396</v>
      </c>
      <c r="B282" s="2" t="s">
        <v>1671</v>
      </c>
      <c r="H282" s="2">
        <v>2276</v>
      </c>
      <c r="I282" s="2">
        <v>100</v>
      </c>
      <c r="J282" s="2" t="s">
        <v>1373</v>
      </c>
      <c r="O282" s="2" t="s">
        <v>1062</v>
      </c>
      <c r="P282" s="2" t="s">
        <v>1061</v>
      </c>
      <c r="Q282" s="1"/>
    </row>
    <row r="283" spans="1:17" x14ac:dyDescent="0.2">
      <c r="A283" s="2" t="s">
        <v>1396</v>
      </c>
      <c r="B283" s="2" t="s">
        <v>1672</v>
      </c>
      <c r="H283" s="2">
        <v>2276</v>
      </c>
      <c r="I283" s="2">
        <v>100</v>
      </c>
      <c r="J283" s="2" t="s">
        <v>1374</v>
      </c>
      <c r="O283" s="2" t="s">
        <v>1064</v>
      </c>
      <c r="P283" s="2" t="s">
        <v>1063</v>
      </c>
      <c r="Q283" s="1"/>
    </row>
    <row r="284" spans="1:17" x14ac:dyDescent="0.2">
      <c r="A284" s="2" t="s">
        <v>1396</v>
      </c>
      <c r="B284" s="2" t="s">
        <v>1673</v>
      </c>
      <c r="H284" s="2">
        <v>2276</v>
      </c>
      <c r="I284" s="2">
        <v>100</v>
      </c>
      <c r="J284" s="2" t="s">
        <v>1375</v>
      </c>
      <c r="O284" s="2" t="s">
        <v>1066</v>
      </c>
      <c r="P284" s="2" t="s">
        <v>1065</v>
      </c>
      <c r="Q284" s="1"/>
    </row>
    <row r="285" spans="1:17" x14ac:dyDescent="0.2">
      <c r="A285" s="2" t="s">
        <v>1396</v>
      </c>
      <c r="B285" s="2" t="s">
        <v>1674</v>
      </c>
      <c r="H285" s="2">
        <v>2276</v>
      </c>
      <c r="I285" s="2">
        <v>100</v>
      </c>
      <c r="J285" s="2" t="s">
        <v>1376</v>
      </c>
      <c r="O285" s="2" t="s">
        <v>1068</v>
      </c>
      <c r="P285" s="2" t="s">
        <v>1067</v>
      </c>
      <c r="Q285" s="1"/>
    </row>
    <row r="286" spans="1:17" x14ac:dyDescent="0.2">
      <c r="A286" s="2" t="s">
        <v>1396</v>
      </c>
      <c r="B286" s="2" t="s">
        <v>1675</v>
      </c>
      <c r="H286" s="2">
        <v>2276</v>
      </c>
      <c r="I286" s="2">
        <v>100</v>
      </c>
      <c r="J286" s="2" t="s">
        <v>1377</v>
      </c>
      <c r="O286" s="2" t="s">
        <v>1070</v>
      </c>
      <c r="P286" s="2" t="s">
        <v>1069</v>
      </c>
      <c r="Q286" s="1"/>
    </row>
    <row r="287" spans="1:17" x14ac:dyDescent="0.2">
      <c r="A287" s="2" t="s">
        <v>1396</v>
      </c>
      <c r="B287" s="2" t="s">
        <v>1676</v>
      </c>
      <c r="H287" s="2">
        <v>2276</v>
      </c>
      <c r="I287" s="2">
        <v>100</v>
      </c>
      <c r="J287" s="2" t="s">
        <v>1378</v>
      </c>
      <c r="O287" s="2" t="s">
        <v>1072</v>
      </c>
      <c r="P287" s="2" t="s">
        <v>1071</v>
      </c>
      <c r="Q287" s="1"/>
    </row>
    <row r="288" spans="1:17" x14ac:dyDescent="0.2">
      <c r="A288" s="2" t="s">
        <v>1396</v>
      </c>
      <c r="B288" s="2" t="s">
        <v>1677</v>
      </c>
      <c r="H288" s="2">
        <v>2276</v>
      </c>
      <c r="I288" s="2">
        <v>100</v>
      </c>
      <c r="J288" s="2" t="s">
        <v>1379</v>
      </c>
      <c r="O288" s="2" t="s">
        <v>1074</v>
      </c>
      <c r="P288" s="2" t="s">
        <v>1073</v>
      </c>
      <c r="Q288" s="1"/>
    </row>
    <row r="289" spans="1:17" x14ac:dyDescent="0.2">
      <c r="A289" s="2" t="s">
        <v>1396</v>
      </c>
      <c r="B289" s="2" t="s">
        <v>1678</v>
      </c>
      <c r="H289" s="2">
        <v>2276</v>
      </c>
      <c r="I289" s="2">
        <v>100</v>
      </c>
      <c r="J289" s="2" t="s">
        <v>1380</v>
      </c>
      <c r="O289" s="2" t="s">
        <v>1076</v>
      </c>
      <c r="P289" s="2" t="s">
        <v>1075</v>
      </c>
      <c r="Q289" s="1"/>
    </row>
    <row r="290" spans="1:17" x14ac:dyDescent="0.2">
      <c r="A290" s="2" t="s">
        <v>1396</v>
      </c>
      <c r="B290" s="2" t="s">
        <v>1679</v>
      </c>
      <c r="H290" s="2">
        <v>2276</v>
      </c>
      <c r="I290" s="2">
        <v>100</v>
      </c>
      <c r="J290" s="2" t="s">
        <v>1381</v>
      </c>
      <c r="O290" s="2" t="s">
        <v>1078</v>
      </c>
      <c r="P290" s="2" t="s">
        <v>1077</v>
      </c>
      <c r="Q290" s="1"/>
    </row>
    <row r="291" spans="1:17" x14ac:dyDescent="0.2">
      <c r="A291" s="2" t="s">
        <v>1396</v>
      </c>
      <c r="B291" s="2" t="s">
        <v>1680</v>
      </c>
      <c r="H291" s="2">
        <v>2276</v>
      </c>
      <c r="I291" s="2">
        <v>100</v>
      </c>
      <c r="J291" s="2" t="s">
        <v>1382</v>
      </c>
      <c r="O291" s="2" t="s">
        <v>1080</v>
      </c>
      <c r="P291" s="2" t="s">
        <v>1079</v>
      </c>
      <c r="Q291" s="1"/>
    </row>
    <row r="292" spans="1:17" x14ac:dyDescent="0.2">
      <c r="A292" s="2" t="s">
        <v>1396</v>
      </c>
      <c r="B292" s="2" t="s">
        <v>1681</v>
      </c>
      <c r="H292" s="2">
        <v>2276</v>
      </c>
      <c r="I292" s="2">
        <v>100</v>
      </c>
      <c r="J292" s="2" t="s">
        <v>1383</v>
      </c>
      <c r="O292" s="2" t="s">
        <v>1082</v>
      </c>
      <c r="P292" s="2" t="s">
        <v>1081</v>
      </c>
      <c r="Q292" s="1"/>
    </row>
    <row r="293" spans="1:17" x14ac:dyDescent="0.2">
      <c r="A293" s="2" t="s">
        <v>1396</v>
      </c>
      <c r="B293" s="2" t="s">
        <v>1682</v>
      </c>
      <c r="H293" s="2">
        <v>2276</v>
      </c>
      <c r="I293" s="2">
        <v>100</v>
      </c>
      <c r="J293" s="2" t="s">
        <v>1384</v>
      </c>
      <c r="O293" s="2" t="s">
        <v>1084</v>
      </c>
      <c r="P293" s="2" t="s">
        <v>1083</v>
      </c>
      <c r="Q293" s="1"/>
    </row>
    <row r="294" spans="1:17" x14ac:dyDescent="0.2">
      <c r="A294" s="2" t="s">
        <v>1396</v>
      </c>
      <c r="B294" s="2" t="s">
        <v>1683</v>
      </c>
      <c r="H294" s="2">
        <v>2276</v>
      </c>
      <c r="I294" s="2">
        <v>100</v>
      </c>
      <c r="J294" s="2" t="s">
        <v>1385</v>
      </c>
      <c r="O294" s="2" t="s">
        <v>1086</v>
      </c>
      <c r="P294" s="2" t="s">
        <v>1085</v>
      </c>
      <c r="Q294" s="1"/>
    </row>
    <row r="295" spans="1:17" x14ac:dyDescent="0.2">
      <c r="A295" s="2" t="s">
        <v>1396</v>
      </c>
      <c r="B295" s="2" t="s">
        <v>1684</v>
      </c>
      <c r="H295" s="2">
        <v>2276</v>
      </c>
      <c r="I295" s="2">
        <v>100</v>
      </c>
      <c r="J295" s="2" t="s">
        <v>1386</v>
      </c>
      <c r="O295" s="2" t="s">
        <v>1088</v>
      </c>
      <c r="P295" s="2" t="s">
        <v>1087</v>
      </c>
      <c r="Q295" s="1"/>
    </row>
    <row r="296" spans="1:17" x14ac:dyDescent="0.2">
      <c r="A296" s="2" t="s">
        <v>1396</v>
      </c>
      <c r="B296" s="2" t="s">
        <v>1685</v>
      </c>
      <c r="H296" s="2">
        <v>2276</v>
      </c>
      <c r="I296" s="2">
        <v>100</v>
      </c>
      <c r="J296" s="2" t="s">
        <v>1387</v>
      </c>
      <c r="O296" s="2" t="s">
        <v>1090</v>
      </c>
      <c r="P296" s="2" t="s">
        <v>1089</v>
      </c>
      <c r="Q296" s="1"/>
    </row>
    <row r="297" spans="1:17" x14ac:dyDescent="0.2">
      <c r="A297" s="2" t="s">
        <v>1396</v>
      </c>
      <c r="B297" s="2" t="s">
        <v>1686</v>
      </c>
      <c r="H297" s="2">
        <v>2276</v>
      </c>
      <c r="I297" s="2">
        <v>100</v>
      </c>
      <c r="J297" s="2" t="s">
        <v>1388</v>
      </c>
      <c r="O297" s="2" t="s">
        <v>1092</v>
      </c>
      <c r="P297" s="2" t="s">
        <v>1091</v>
      </c>
      <c r="Q297" s="1"/>
    </row>
    <row r="298" spans="1:17" x14ac:dyDescent="0.2">
      <c r="A298" s="2" t="s">
        <v>1396</v>
      </c>
      <c r="B298" s="2" t="s">
        <v>1687</v>
      </c>
      <c r="H298" s="2">
        <v>2276</v>
      </c>
      <c r="I298" s="2">
        <v>100</v>
      </c>
      <c r="J298" s="2" t="s">
        <v>1389</v>
      </c>
      <c r="O298" s="2" t="s">
        <v>1094</v>
      </c>
      <c r="P298" s="2" t="s">
        <v>1093</v>
      </c>
      <c r="Q298" s="1"/>
    </row>
    <row r="299" spans="1:17" x14ac:dyDescent="0.2">
      <c r="A299" s="2" t="s">
        <v>1396</v>
      </c>
      <c r="B299" s="2" t="s">
        <v>1688</v>
      </c>
      <c r="H299" s="2">
        <v>2276</v>
      </c>
      <c r="I299" s="2">
        <v>100</v>
      </c>
      <c r="J299" s="2" t="s">
        <v>1390</v>
      </c>
      <c r="O299" s="2" t="s">
        <v>1096</v>
      </c>
      <c r="P299" s="2" t="s">
        <v>1095</v>
      </c>
      <c r="Q2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9"/>
  <sheetViews>
    <sheetView workbookViewId="0">
      <selection activeCell="I1" sqref="I1:M1048576"/>
    </sheetView>
  </sheetViews>
  <sheetFormatPr defaultRowHeight="14.25" x14ac:dyDescent="0.2"/>
  <cols>
    <col min="1" max="1" width="36.25" customWidth="1"/>
    <col min="7" max="16" width="9" style="1"/>
  </cols>
  <sheetData>
    <row r="1" spans="1:16" x14ac:dyDescent="0.2">
      <c r="A1" t="s">
        <v>0</v>
      </c>
      <c r="B1" t="s">
        <v>1</v>
      </c>
      <c r="C1" t="s">
        <v>2</v>
      </c>
    </row>
    <row r="2" spans="1:16" x14ac:dyDescent="0.2">
      <c r="A2" t="s">
        <v>3</v>
      </c>
      <c r="B2" t="s">
        <v>4</v>
      </c>
      <c r="G2" s="1" t="str">
        <f>MID(A2,8,8)</f>
        <v>104.5496</v>
      </c>
      <c r="H2" s="1" t="str">
        <f>MID(A2,18,8)</f>
        <v xml:space="preserve"> 17.3153</v>
      </c>
      <c r="K2" s="1" t="str">
        <f>MID(B2,1,3)</f>
        <v>MD1</v>
      </c>
      <c r="M2" s="1" t="str">
        <f>MID(B2,5,2)</f>
        <v>DB</v>
      </c>
      <c r="N2" s="1">
        <v>2276</v>
      </c>
      <c r="O2" s="1">
        <v>100</v>
      </c>
      <c r="P2" s="1" t="str">
        <f>MID(B2,18,5)</f>
        <v>0+030</v>
      </c>
    </row>
    <row r="3" spans="1:16" x14ac:dyDescent="0.2">
      <c r="A3" t="s">
        <v>5</v>
      </c>
      <c r="B3" t="s">
        <v>6</v>
      </c>
      <c r="G3" s="1" t="str">
        <f t="shared" ref="G3:G66" si="0">MID(A3,8,8)</f>
        <v>104.5496</v>
      </c>
      <c r="H3" s="1" t="str">
        <f t="shared" ref="H3:H66" si="1">MID(A3,18,8)</f>
        <v xml:space="preserve"> 17.3150</v>
      </c>
      <c r="K3" s="1" t="str">
        <f>MID(B3,1,3)</f>
        <v>MD2</v>
      </c>
      <c r="M3" s="1" t="str">
        <f>MID(B3,5,2)</f>
        <v>DB</v>
      </c>
      <c r="N3" s="1">
        <v>2276</v>
      </c>
      <c r="O3" s="1">
        <v>100</v>
      </c>
      <c r="P3" s="1" t="str">
        <f t="shared" ref="P3:P14" si="2">MID(B3,18,5)</f>
        <v>0+060</v>
      </c>
    </row>
    <row r="4" spans="1:16" x14ac:dyDescent="0.2">
      <c r="A4" t="s">
        <v>7</v>
      </c>
      <c r="B4" t="s">
        <v>8</v>
      </c>
      <c r="G4" s="1" t="str">
        <f t="shared" si="0"/>
        <v>104.5496</v>
      </c>
      <c r="H4" s="1" t="str">
        <f>MID(A4,18,7)</f>
        <v>17.3147</v>
      </c>
      <c r="K4" s="1" t="str">
        <f>MID(B4,1,3)</f>
        <v>MD3</v>
      </c>
      <c r="M4" s="1" t="str">
        <f>MID(B4,5,2)</f>
        <v>DB</v>
      </c>
      <c r="N4" s="1">
        <v>2276</v>
      </c>
      <c r="O4" s="1">
        <v>100</v>
      </c>
      <c r="P4" s="1" t="str">
        <f t="shared" si="2"/>
        <v>0+090</v>
      </c>
    </row>
    <row r="5" spans="1:16" x14ac:dyDescent="0.2">
      <c r="A5" t="s">
        <v>9</v>
      </c>
      <c r="B5" t="s">
        <v>10</v>
      </c>
      <c r="G5" s="1" t="str">
        <f t="shared" si="0"/>
        <v>104.5496</v>
      </c>
      <c r="H5" s="1" t="str">
        <f t="shared" si="1"/>
        <v xml:space="preserve"> 17.3143</v>
      </c>
      <c r="J5" s="1" t="str">
        <f>MID(B5,1,3)</f>
        <v>LT1</v>
      </c>
      <c r="L5" s="1" t="str">
        <f t="shared" ref="L5:L14" si="3">MID(B5,5,2)</f>
        <v>SG</v>
      </c>
      <c r="N5" s="1">
        <v>2276</v>
      </c>
      <c r="O5" s="1">
        <v>100</v>
      </c>
      <c r="P5" s="1" t="str">
        <f t="shared" si="2"/>
        <v>0+138</v>
      </c>
    </row>
    <row r="6" spans="1:16" x14ac:dyDescent="0.2">
      <c r="A6" t="s">
        <v>11</v>
      </c>
      <c r="B6" t="s">
        <v>12</v>
      </c>
      <c r="G6" s="1" t="str">
        <f t="shared" si="0"/>
        <v>104.5495</v>
      </c>
      <c r="H6" s="1" t="str">
        <f t="shared" si="1"/>
        <v xml:space="preserve"> 17.3144</v>
      </c>
      <c r="I6" s="1" t="str">
        <f t="shared" ref="I6:I14" si="4">MID(B6,1,3)</f>
        <v>RT1</v>
      </c>
      <c r="L6" s="1" t="str">
        <f t="shared" si="3"/>
        <v>SG</v>
      </c>
      <c r="N6" s="1">
        <v>2276</v>
      </c>
      <c r="O6" s="1">
        <v>100</v>
      </c>
      <c r="P6" s="1" t="str">
        <f t="shared" si="2"/>
        <v>0+142</v>
      </c>
    </row>
    <row r="7" spans="1:16" x14ac:dyDescent="0.2">
      <c r="A7" t="s">
        <v>13</v>
      </c>
      <c r="B7" t="s">
        <v>14</v>
      </c>
      <c r="G7" s="1" t="str">
        <f t="shared" si="0"/>
        <v>104.5359</v>
      </c>
      <c r="H7" s="1" t="str">
        <f>MID(A7,18,7)</f>
        <v>17.2528</v>
      </c>
      <c r="I7" s="1" t="str">
        <f t="shared" si="4"/>
        <v>RT2</v>
      </c>
      <c r="L7" s="1" t="str">
        <f t="shared" si="3"/>
        <v>SG</v>
      </c>
      <c r="N7" s="1">
        <v>2276</v>
      </c>
      <c r="O7" s="1">
        <v>100</v>
      </c>
      <c r="P7" s="1" t="str">
        <f t="shared" si="2"/>
        <v>7+365</v>
      </c>
    </row>
    <row r="8" spans="1:16" x14ac:dyDescent="0.2">
      <c r="A8" t="s">
        <v>15</v>
      </c>
      <c r="B8" t="s">
        <v>16</v>
      </c>
      <c r="G8" s="1" t="str">
        <f t="shared" si="0"/>
        <v>104.5359</v>
      </c>
      <c r="H8" s="1" t="str">
        <f t="shared" si="1"/>
        <v xml:space="preserve"> 17.2525</v>
      </c>
      <c r="I8" s="1" t="str">
        <f t="shared" si="4"/>
        <v>RT3</v>
      </c>
      <c r="L8" s="1" t="str">
        <f t="shared" si="3"/>
        <v>SG</v>
      </c>
      <c r="N8" s="1">
        <v>2276</v>
      </c>
      <c r="O8" s="1">
        <v>100</v>
      </c>
      <c r="P8" s="1" t="str">
        <f t="shared" si="2"/>
        <v>7+410</v>
      </c>
    </row>
    <row r="9" spans="1:16" x14ac:dyDescent="0.2">
      <c r="A9" t="s">
        <v>17</v>
      </c>
      <c r="B9" t="s">
        <v>18</v>
      </c>
      <c r="G9" s="1" t="str">
        <f t="shared" si="0"/>
        <v>104.5358</v>
      </c>
      <c r="H9" s="1" t="str">
        <f>MID(A9,18,7)</f>
        <v>17.2521</v>
      </c>
      <c r="I9" s="1" t="str">
        <f t="shared" si="4"/>
        <v>RT4</v>
      </c>
      <c r="L9" s="1" t="str">
        <f t="shared" si="3"/>
        <v>SG</v>
      </c>
      <c r="N9" s="1">
        <v>2276</v>
      </c>
      <c r="O9" s="1">
        <v>100</v>
      </c>
      <c r="P9" s="1" t="str">
        <f t="shared" si="2"/>
        <v>7+455</v>
      </c>
    </row>
    <row r="10" spans="1:16" x14ac:dyDescent="0.2">
      <c r="A10" t="s">
        <v>19</v>
      </c>
      <c r="B10" t="s">
        <v>20</v>
      </c>
      <c r="G10" s="1" t="str">
        <f t="shared" si="0"/>
        <v>104.5358</v>
      </c>
      <c r="H10" s="1" t="str">
        <f t="shared" si="1"/>
        <v xml:space="preserve"> 17.2518</v>
      </c>
      <c r="I10" s="1" t="str">
        <f t="shared" si="4"/>
        <v>RT5</v>
      </c>
      <c r="L10" s="1" t="str">
        <f t="shared" si="3"/>
        <v>SG</v>
      </c>
      <c r="N10" s="1">
        <v>2276</v>
      </c>
      <c r="O10" s="1">
        <v>100</v>
      </c>
      <c r="P10" s="1" t="str">
        <f t="shared" si="2"/>
        <v>7+500</v>
      </c>
    </row>
    <row r="11" spans="1:16" x14ac:dyDescent="0.2">
      <c r="A11" t="s">
        <v>21</v>
      </c>
      <c r="B11" t="s">
        <v>22</v>
      </c>
      <c r="G11" s="1" t="str">
        <f t="shared" si="0"/>
        <v>104.5357</v>
      </c>
      <c r="H11" s="1" t="str">
        <f t="shared" si="1"/>
        <v xml:space="preserve"> 17.2515</v>
      </c>
      <c r="I11" s="1" t="str">
        <f t="shared" si="4"/>
        <v>RT6</v>
      </c>
      <c r="L11" s="1" t="str">
        <f t="shared" si="3"/>
        <v>SG</v>
      </c>
      <c r="N11" s="1">
        <v>2276</v>
      </c>
      <c r="O11" s="1">
        <v>100</v>
      </c>
      <c r="P11" s="1" t="str">
        <f t="shared" si="2"/>
        <v>7+545</v>
      </c>
    </row>
    <row r="12" spans="1:16" x14ac:dyDescent="0.2">
      <c r="A12" t="s">
        <v>23</v>
      </c>
      <c r="B12" t="s">
        <v>24</v>
      </c>
      <c r="G12" s="1" t="str">
        <f t="shared" si="0"/>
        <v>104.5357</v>
      </c>
      <c r="H12" s="1" t="str">
        <f t="shared" si="1"/>
        <v xml:space="preserve"> 17.2511</v>
      </c>
      <c r="I12" s="1" t="str">
        <f t="shared" si="4"/>
        <v>RT7</v>
      </c>
      <c r="L12" s="1" t="str">
        <f t="shared" si="3"/>
        <v>SG</v>
      </c>
      <c r="N12" s="1">
        <v>2276</v>
      </c>
      <c r="O12" s="1">
        <v>100</v>
      </c>
      <c r="P12" s="1" t="str">
        <f t="shared" si="2"/>
        <v>7+590</v>
      </c>
    </row>
    <row r="13" spans="1:16" x14ac:dyDescent="0.2">
      <c r="A13" t="s">
        <v>25</v>
      </c>
      <c r="B13" t="s">
        <v>26</v>
      </c>
      <c r="G13" s="1" t="str">
        <f t="shared" si="0"/>
        <v>104.5356</v>
      </c>
      <c r="H13" s="1" t="str">
        <f t="shared" si="1"/>
        <v xml:space="preserve"> 17.2507</v>
      </c>
      <c r="I13" s="1" t="str">
        <f t="shared" si="4"/>
        <v>RT8</v>
      </c>
      <c r="L13" s="1" t="str">
        <f t="shared" si="3"/>
        <v>SG</v>
      </c>
      <c r="N13" s="1">
        <v>2276</v>
      </c>
      <c r="O13" s="1">
        <v>100</v>
      </c>
      <c r="P13" s="1" t="str">
        <f t="shared" si="2"/>
        <v>7+635</v>
      </c>
    </row>
    <row r="14" spans="1:16" x14ac:dyDescent="0.2">
      <c r="A14" t="s">
        <v>27</v>
      </c>
      <c r="B14" t="s">
        <v>28</v>
      </c>
      <c r="G14" s="1" t="str">
        <f t="shared" si="0"/>
        <v>104.5355</v>
      </c>
      <c r="H14" s="1" t="str">
        <f t="shared" si="1"/>
        <v xml:space="preserve"> 17.2503</v>
      </c>
      <c r="I14" s="1" t="str">
        <f t="shared" si="4"/>
        <v>RT9</v>
      </c>
      <c r="L14" s="1" t="str">
        <f t="shared" si="3"/>
        <v>SG</v>
      </c>
      <c r="N14" s="1">
        <v>2276</v>
      </c>
      <c r="O14" s="1">
        <v>100</v>
      </c>
      <c r="P14" s="1" t="str">
        <f t="shared" si="2"/>
        <v>7+680</v>
      </c>
    </row>
    <row r="15" spans="1:16" x14ac:dyDescent="0.2">
      <c r="A15" t="s">
        <v>29</v>
      </c>
      <c r="B15" t="s">
        <v>30</v>
      </c>
      <c r="G15" s="1" t="str">
        <f t="shared" si="0"/>
        <v>104.5354</v>
      </c>
      <c r="H15" s="1" t="str">
        <f t="shared" si="1"/>
        <v xml:space="preserve"> 17.2499</v>
      </c>
      <c r="I15" s="1" t="str">
        <f t="shared" ref="I15:I46" si="5">MID(B15,1,4)</f>
        <v>RT10</v>
      </c>
      <c r="L15" s="1" t="str">
        <f>MID(B15,6,2)</f>
        <v>SG</v>
      </c>
      <c r="N15" s="1">
        <v>2276</v>
      </c>
      <c r="O15" s="1">
        <v>100</v>
      </c>
      <c r="P15" s="1" t="str">
        <f>MID(B15,19,5)</f>
        <v>7+725</v>
      </c>
    </row>
    <row r="16" spans="1:16" x14ac:dyDescent="0.2">
      <c r="A16" t="s">
        <v>31</v>
      </c>
      <c r="B16" t="s">
        <v>32</v>
      </c>
      <c r="G16" s="1" t="str">
        <f t="shared" si="0"/>
        <v>104.5353</v>
      </c>
      <c r="H16" s="1" t="str">
        <f t="shared" si="1"/>
        <v xml:space="preserve"> 17.2495</v>
      </c>
      <c r="I16" s="1" t="str">
        <f t="shared" si="5"/>
        <v>RT11</v>
      </c>
      <c r="L16" s="1" t="str">
        <f t="shared" ref="L16:L79" si="6">MID(B16,6,2)</f>
        <v>SG</v>
      </c>
      <c r="N16" s="1">
        <v>2276</v>
      </c>
      <c r="O16" s="1">
        <v>100</v>
      </c>
      <c r="P16" s="1" t="str">
        <f t="shared" ref="P16:P40" si="7">MID(B16,19,5)</f>
        <v>7+770</v>
      </c>
    </row>
    <row r="17" spans="1:16" x14ac:dyDescent="0.2">
      <c r="A17" t="s">
        <v>33</v>
      </c>
      <c r="B17" t="s">
        <v>34</v>
      </c>
      <c r="G17" s="1" t="str">
        <f t="shared" si="0"/>
        <v>104.5352</v>
      </c>
      <c r="H17" s="1" t="str">
        <f t="shared" si="1"/>
        <v xml:space="preserve"> 17.2491</v>
      </c>
      <c r="I17" s="1" t="str">
        <f t="shared" si="5"/>
        <v>RT12</v>
      </c>
      <c r="L17" s="1" t="str">
        <f t="shared" si="6"/>
        <v>SG</v>
      </c>
      <c r="N17" s="1">
        <v>2276</v>
      </c>
      <c r="O17" s="1">
        <v>100</v>
      </c>
      <c r="P17" s="1" t="str">
        <f t="shared" si="7"/>
        <v>7+815</v>
      </c>
    </row>
    <row r="18" spans="1:16" x14ac:dyDescent="0.2">
      <c r="A18" t="s">
        <v>35</v>
      </c>
      <c r="B18" t="s">
        <v>36</v>
      </c>
      <c r="G18" s="1" t="str">
        <f t="shared" si="0"/>
        <v>104.5351</v>
      </c>
      <c r="H18" s="1" t="str">
        <f t="shared" si="1"/>
        <v xml:space="preserve"> 17.2488</v>
      </c>
      <c r="I18" s="1" t="str">
        <f t="shared" si="5"/>
        <v>RT13</v>
      </c>
      <c r="L18" s="1" t="str">
        <f t="shared" si="6"/>
        <v>SG</v>
      </c>
      <c r="N18" s="1">
        <v>2276</v>
      </c>
      <c r="O18" s="1">
        <v>100</v>
      </c>
      <c r="P18" s="1" t="str">
        <f t="shared" si="7"/>
        <v>7+860</v>
      </c>
    </row>
    <row r="19" spans="1:16" x14ac:dyDescent="0.2">
      <c r="A19" t="s">
        <v>37</v>
      </c>
      <c r="B19" t="s">
        <v>38</v>
      </c>
      <c r="G19" s="1" t="str">
        <f t="shared" si="0"/>
        <v>104.5350</v>
      </c>
      <c r="H19" s="1" t="str">
        <f t="shared" si="1"/>
        <v xml:space="preserve"> 17.2483</v>
      </c>
      <c r="I19" s="1" t="str">
        <f t="shared" si="5"/>
        <v>RT14</v>
      </c>
      <c r="L19" s="1" t="str">
        <f t="shared" si="6"/>
        <v>SG</v>
      </c>
      <c r="N19" s="1">
        <v>2276</v>
      </c>
      <c r="O19" s="1">
        <v>100</v>
      </c>
      <c r="P19" s="1" t="str">
        <f t="shared" si="7"/>
        <v>7+905</v>
      </c>
    </row>
    <row r="20" spans="1:16" x14ac:dyDescent="0.2">
      <c r="A20" t="s">
        <v>39</v>
      </c>
      <c r="B20" t="s">
        <v>40</v>
      </c>
      <c r="G20" s="1" t="str">
        <f t="shared" si="0"/>
        <v>104.5349</v>
      </c>
      <c r="H20" s="1" t="str">
        <f t="shared" si="1"/>
        <v xml:space="preserve"> 17.2479</v>
      </c>
      <c r="I20" s="1" t="str">
        <f t="shared" si="5"/>
        <v>RT15</v>
      </c>
      <c r="L20" s="1" t="str">
        <f t="shared" si="6"/>
        <v>SG</v>
      </c>
      <c r="N20" s="1">
        <v>2276</v>
      </c>
      <c r="O20" s="1">
        <v>100</v>
      </c>
      <c r="P20" s="1" t="str">
        <f t="shared" si="7"/>
        <v>7+950</v>
      </c>
    </row>
    <row r="21" spans="1:16" x14ac:dyDescent="0.2">
      <c r="A21" t="s">
        <v>41</v>
      </c>
      <c r="B21" t="s">
        <v>42</v>
      </c>
      <c r="G21" s="1" t="str">
        <f t="shared" si="0"/>
        <v>104.5347</v>
      </c>
      <c r="H21" s="1" t="str">
        <f t="shared" si="1"/>
        <v xml:space="preserve"> 17.2475</v>
      </c>
      <c r="I21" s="1" t="str">
        <f t="shared" si="5"/>
        <v>RT16</v>
      </c>
      <c r="L21" s="1" t="str">
        <f t="shared" si="6"/>
        <v>SG</v>
      </c>
      <c r="N21" s="1">
        <v>2276</v>
      </c>
      <c r="O21" s="1">
        <v>100</v>
      </c>
      <c r="P21" s="1" t="str">
        <f t="shared" si="7"/>
        <v>7+995</v>
      </c>
    </row>
    <row r="22" spans="1:16" x14ac:dyDescent="0.2">
      <c r="A22" t="s">
        <v>43</v>
      </c>
      <c r="B22" t="s">
        <v>44</v>
      </c>
      <c r="G22" s="1" t="str">
        <f t="shared" si="0"/>
        <v>104.5346</v>
      </c>
      <c r="H22" s="1" t="str">
        <f t="shared" si="1"/>
        <v xml:space="preserve"> 17.2472</v>
      </c>
      <c r="I22" s="1" t="str">
        <f t="shared" si="5"/>
        <v>RT17</v>
      </c>
      <c r="L22" s="1" t="str">
        <f t="shared" si="6"/>
        <v>SG</v>
      </c>
      <c r="N22" s="1">
        <v>2276</v>
      </c>
      <c r="O22" s="1">
        <v>100</v>
      </c>
      <c r="P22" s="1" t="str">
        <f t="shared" si="7"/>
        <v>8+040</v>
      </c>
    </row>
    <row r="23" spans="1:16" x14ac:dyDescent="0.2">
      <c r="A23" t="s">
        <v>45</v>
      </c>
      <c r="B23" t="s">
        <v>46</v>
      </c>
      <c r="G23" s="1" t="str">
        <f t="shared" si="0"/>
        <v>104.5345</v>
      </c>
      <c r="H23" s="1" t="str">
        <f t="shared" si="1"/>
        <v xml:space="preserve"> 17.2468</v>
      </c>
      <c r="I23" s="1" t="str">
        <f t="shared" si="5"/>
        <v>RT18</v>
      </c>
      <c r="L23" s="1" t="str">
        <f t="shared" si="6"/>
        <v>SG</v>
      </c>
      <c r="N23" s="1">
        <v>2276</v>
      </c>
      <c r="O23" s="1">
        <v>100</v>
      </c>
      <c r="P23" s="1" t="str">
        <f t="shared" si="7"/>
        <v>8+085</v>
      </c>
    </row>
    <row r="24" spans="1:16" x14ac:dyDescent="0.2">
      <c r="A24" t="s">
        <v>47</v>
      </c>
      <c r="B24" t="s">
        <v>48</v>
      </c>
      <c r="G24" s="1" t="str">
        <f t="shared" si="0"/>
        <v>104.5344</v>
      </c>
      <c r="H24" s="1" t="str">
        <f t="shared" si="1"/>
        <v xml:space="preserve"> 17.2464</v>
      </c>
      <c r="I24" s="1" t="str">
        <f t="shared" si="5"/>
        <v>RT19</v>
      </c>
      <c r="L24" s="1" t="str">
        <f t="shared" si="6"/>
        <v>SG</v>
      </c>
      <c r="N24" s="1">
        <v>2276</v>
      </c>
      <c r="O24" s="1">
        <v>100</v>
      </c>
      <c r="P24" s="1" t="str">
        <f t="shared" si="7"/>
        <v>8+130</v>
      </c>
    </row>
    <row r="25" spans="1:16" x14ac:dyDescent="0.2">
      <c r="A25" t="s">
        <v>49</v>
      </c>
      <c r="B25" t="s">
        <v>50</v>
      </c>
      <c r="G25" s="1" t="str">
        <f t="shared" si="0"/>
        <v>104.5343</v>
      </c>
      <c r="H25" s="1" t="str">
        <f t="shared" si="1"/>
        <v xml:space="preserve"> 17.2460</v>
      </c>
      <c r="I25" s="1" t="str">
        <f t="shared" si="5"/>
        <v>RT20</v>
      </c>
      <c r="L25" s="1" t="str">
        <f t="shared" si="6"/>
        <v>SG</v>
      </c>
      <c r="N25" s="1">
        <v>2276</v>
      </c>
      <c r="O25" s="1">
        <v>100</v>
      </c>
      <c r="P25" s="1" t="str">
        <f t="shared" si="7"/>
        <v>8+175</v>
      </c>
    </row>
    <row r="26" spans="1:16" x14ac:dyDescent="0.2">
      <c r="A26" t="s">
        <v>51</v>
      </c>
      <c r="B26" t="s">
        <v>52</v>
      </c>
      <c r="G26" s="1" t="str">
        <f t="shared" si="0"/>
        <v>104.5341</v>
      </c>
      <c r="H26" s="1" t="str">
        <f t="shared" si="1"/>
        <v xml:space="preserve"> 17.2457</v>
      </c>
      <c r="I26" s="1" t="str">
        <f t="shared" si="5"/>
        <v>RT21</v>
      </c>
      <c r="L26" s="1" t="str">
        <f t="shared" si="6"/>
        <v>SG</v>
      </c>
      <c r="N26" s="1">
        <v>2276</v>
      </c>
      <c r="O26" s="1">
        <v>100</v>
      </c>
      <c r="P26" s="1" t="str">
        <f t="shared" si="7"/>
        <v>8+220</v>
      </c>
    </row>
    <row r="27" spans="1:16" x14ac:dyDescent="0.2">
      <c r="A27" t="s">
        <v>53</v>
      </c>
      <c r="B27" t="s">
        <v>54</v>
      </c>
      <c r="G27" s="1" t="str">
        <f t="shared" si="0"/>
        <v>104.5341</v>
      </c>
      <c r="H27" s="1" t="str">
        <f t="shared" si="1"/>
        <v xml:space="preserve"> 17.2455</v>
      </c>
      <c r="I27" s="1" t="str">
        <f t="shared" si="5"/>
        <v>RT22</v>
      </c>
      <c r="L27" s="1" t="str">
        <f t="shared" si="6"/>
        <v>SG</v>
      </c>
      <c r="N27" s="1">
        <v>2276</v>
      </c>
      <c r="O27" s="1">
        <v>100</v>
      </c>
      <c r="P27" s="1" t="str">
        <f t="shared" si="7"/>
        <v>8+265</v>
      </c>
    </row>
    <row r="28" spans="1:16" x14ac:dyDescent="0.2">
      <c r="A28" t="s">
        <v>55</v>
      </c>
      <c r="B28" t="s">
        <v>56</v>
      </c>
      <c r="G28" s="1" t="str">
        <f t="shared" si="0"/>
        <v>104.5339</v>
      </c>
      <c r="H28" s="1" t="str">
        <f t="shared" si="1"/>
        <v xml:space="preserve"> 17.2452</v>
      </c>
      <c r="I28" s="1" t="str">
        <f t="shared" si="5"/>
        <v>RT23</v>
      </c>
      <c r="L28" s="1" t="str">
        <f t="shared" si="6"/>
        <v>SG</v>
      </c>
      <c r="N28" s="1">
        <v>2276</v>
      </c>
      <c r="O28" s="1">
        <v>100</v>
      </c>
      <c r="P28" s="1" t="str">
        <f t="shared" si="7"/>
        <v>8+310</v>
      </c>
    </row>
    <row r="29" spans="1:16" x14ac:dyDescent="0.2">
      <c r="A29" t="s">
        <v>57</v>
      </c>
      <c r="B29" t="s">
        <v>58</v>
      </c>
      <c r="G29" s="1" t="str">
        <f t="shared" si="0"/>
        <v>104.5338</v>
      </c>
      <c r="H29" s="1" t="str">
        <f t="shared" si="1"/>
        <v xml:space="preserve"> 17.2448</v>
      </c>
      <c r="I29" s="1" t="str">
        <f t="shared" si="5"/>
        <v>RT24</v>
      </c>
      <c r="L29" s="1" t="str">
        <f t="shared" si="6"/>
        <v>SG</v>
      </c>
      <c r="N29" s="1">
        <v>2276</v>
      </c>
      <c r="O29" s="1">
        <v>100</v>
      </c>
      <c r="P29" s="1" t="str">
        <f t="shared" si="7"/>
        <v>8+355</v>
      </c>
    </row>
    <row r="30" spans="1:16" x14ac:dyDescent="0.2">
      <c r="A30" t="s">
        <v>59</v>
      </c>
      <c r="B30" t="s">
        <v>60</v>
      </c>
      <c r="G30" s="1" t="str">
        <f t="shared" si="0"/>
        <v>104.5337</v>
      </c>
      <c r="H30" s="1" t="str">
        <f t="shared" si="1"/>
        <v xml:space="preserve"> 17.2445</v>
      </c>
      <c r="I30" s="1" t="str">
        <f t="shared" si="5"/>
        <v>RT25</v>
      </c>
      <c r="L30" s="1" t="str">
        <f t="shared" si="6"/>
        <v>SG</v>
      </c>
      <c r="N30" s="1">
        <v>2276</v>
      </c>
      <c r="O30" s="1">
        <v>100</v>
      </c>
      <c r="P30" s="1" t="str">
        <f t="shared" si="7"/>
        <v>8+400</v>
      </c>
    </row>
    <row r="31" spans="1:16" x14ac:dyDescent="0.2">
      <c r="A31" t="s">
        <v>61</v>
      </c>
      <c r="B31" t="s">
        <v>62</v>
      </c>
      <c r="G31" s="1" t="str">
        <f t="shared" si="0"/>
        <v>104.5337</v>
      </c>
      <c r="H31" s="1" t="str">
        <f t="shared" si="1"/>
        <v xml:space="preserve"> 17.2442</v>
      </c>
      <c r="I31" s="1" t="str">
        <f t="shared" si="5"/>
        <v>RT26</v>
      </c>
      <c r="L31" s="1" t="str">
        <f t="shared" si="6"/>
        <v>SG</v>
      </c>
      <c r="N31" s="1">
        <v>2276</v>
      </c>
      <c r="O31" s="1">
        <v>100</v>
      </c>
      <c r="P31" s="1" t="str">
        <f t="shared" si="7"/>
        <v>8+445</v>
      </c>
    </row>
    <row r="32" spans="1:16" x14ac:dyDescent="0.2">
      <c r="A32" t="s">
        <v>63</v>
      </c>
      <c r="B32" t="s">
        <v>64</v>
      </c>
      <c r="G32" s="1" t="str">
        <f t="shared" si="0"/>
        <v>104.5336</v>
      </c>
      <c r="H32" s="1" t="str">
        <f t="shared" si="1"/>
        <v xml:space="preserve"> 17.2439</v>
      </c>
      <c r="I32" s="1" t="str">
        <f t="shared" si="5"/>
        <v>RT27</v>
      </c>
      <c r="L32" s="1" t="str">
        <f t="shared" si="6"/>
        <v>SG</v>
      </c>
      <c r="N32" s="1">
        <v>2276</v>
      </c>
      <c r="O32" s="1">
        <v>100</v>
      </c>
      <c r="P32" s="1" t="str">
        <f t="shared" si="7"/>
        <v>8+490</v>
      </c>
    </row>
    <row r="33" spans="1:16" x14ac:dyDescent="0.2">
      <c r="A33" t="s">
        <v>65</v>
      </c>
      <c r="B33" t="s">
        <v>66</v>
      </c>
      <c r="G33" s="1" t="str">
        <f t="shared" si="0"/>
        <v>104.5335</v>
      </c>
      <c r="H33" s="1" t="str">
        <f t="shared" si="1"/>
        <v xml:space="preserve"> 17.2436</v>
      </c>
      <c r="I33" s="1" t="str">
        <f t="shared" si="5"/>
        <v>RT28</v>
      </c>
      <c r="L33" s="1" t="str">
        <f t="shared" si="6"/>
        <v>SG</v>
      </c>
      <c r="N33" s="1">
        <v>2276</v>
      </c>
      <c r="O33" s="1">
        <v>100</v>
      </c>
      <c r="P33" s="1" t="str">
        <f t="shared" si="7"/>
        <v>8+535</v>
      </c>
    </row>
    <row r="34" spans="1:16" x14ac:dyDescent="0.2">
      <c r="A34" t="s">
        <v>67</v>
      </c>
      <c r="B34" t="s">
        <v>68</v>
      </c>
      <c r="G34" s="1" t="str">
        <f t="shared" si="0"/>
        <v>104.5335</v>
      </c>
      <c r="H34" s="1" t="str">
        <f t="shared" si="1"/>
        <v xml:space="preserve"> 17.2432</v>
      </c>
      <c r="I34" s="1" t="str">
        <f t="shared" si="5"/>
        <v>RT29</v>
      </c>
      <c r="L34" s="1" t="str">
        <f t="shared" si="6"/>
        <v>SG</v>
      </c>
      <c r="N34" s="1">
        <v>2276</v>
      </c>
      <c r="O34" s="1">
        <v>100</v>
      </c>
      <c r="P34" s="1" t="str">
        <f t="shared" si="7"/>
        <v>8+580</v>
      </c>
    </row>
    <row r="35" spans="1:16" x14ac:dyDescent="0.2">
      <c r="A35" t="s">
        <v>69</v>
      </c>
      <c r="B35" t="s">
        <v>70</v>
      </c>
      <c r="G35" s="1" t="str">
        <f t="shared" si="0"/>
        <v>104.5335</v>
      </c>
      <c r="H35" s="1" t="str">
        <f t="shared" si="1"/>
        <v xml:space="preserve"> 17.2429</v>
      </c>
      <c r="I35" s="1" t="str">
        <f t="shared" si="5"/>
        <v>RT30</v>
      </c>
      <c r="L35" s="1" t="str">
        <f t="shared" si="6"/>
        <v>SG</v>
      </c>
      <c r="N35" s="1">
        <v>2276</v>
      </c>
      <c r="O35" s="1">
        <v>100</v>
      </c>
      <c r="P35" s="1" t="str">
        <f t="shared" si="7"/>
        <v>8+625</v>
      </c>
    </row>
    <row r="36" spans="1:16" x14ac:dyDescent="0.2">
      <c r="A36" t="s">
        <v>71</v>
      </c>
      <c r="B36" t="s">
        <v>72</v>
      </c>
      <c r="G36" s="1" t="str">
        <f t="shared" si="0"/>
        <v>104.5336</v>
      </c>
      <c r="H36" s="1" t="str">
        <f t="shared" si="1"/>
        <v xml:space="preserve"> 17.2426</v>
      </c>
      <c r="I36" s="1" t="str">
        <f t="shared" si="5"/>
        <v>RT31</v>
      </c>
      <c r="L36" s="1" t="str">
        <f t="shared" si="6"/>
        <v>SG</v>
      </c>
      <c r="N36" s="1">
        <v>2276</v>
      </c>
      <c r="O36" s="1">
        <v>100</v>
      </c>
      <c r="P36" s="1" t="str">
        <f t="shared" si="7"/>
        <v>8+670</v>
      </c>
    </row>
    <row r="37" spans="1:16" x14ac:dyDescent="0.2">
      <c r="A37" t="s">
        <v>73</v>
      </c>
      <c r="B37" t="s">
        <v>74</v>
      </c>
      <c r="G37" s="1" t="str">
        <f t="shared" si="0"/>
        <v>104.5337</v>
      </c>
      <c r="H37" s="1" t="str">
        <f t="shared" si="1"/>
        <v xml:space="preserve"> 17.2420</v>
      </c>
      <c r="I37" s="1" t="str">
        <f t="shared" si="5"/>
        <v>RT32</v>
      </c>
      <c r="L37" s="1" t="str">
        <f t="shared" si="6"/>
        <v>SG</v>
      </c>
      <c r="N37" s="1">
        <v>2276</v>
      </c>
      <c r="O37" s="1">
        <v>100</v>
      </c>
      <c r="P37" s="1" t="str">
        <f t="shared" si="7"/>
        <v>8+715</v>
      </c>
    </row>
    <row r="38" spans="1:16" x14ac:dyDescent="0.2">
      <c r="A38" t="s">
        <v>75</v>
      </c>
      <c r="B38" t="s">
        <v>76</v>
      </c>
      <c r="G38" s="1" t="str">
        <f t="shared" si="0"/>
        <v>104.5337</v>
      </c>
      <c r="H38" s="1" t="str">
        <f t="shared" si="1"/>
        <v xml:space="preserve"> 17.2416</v>
      </c>
      <c r="I38" s="1" t="str">
        <f t="shared" si="5"/>
        <v>RT33</v>
      </c>
      <c r="L38" s="1" t="str">
        <f t="shared" si="6"/>
        <v>SG</v>
      </c>
      <c r="N38" s="1">
        <v>2276</v>
      </c>
      <c r="O38" s="1">
        <v>100</v>
      </c>
      <c r="P38" s="1" t="str">
        <f t="shared" si="7"/>
        <v>8+760</v>
      </c>
    </row>
    <row r="39" spans="1:16" x14ac:dyDescent="0.2">
      <c r="A39" t="s">
        <v>77</v>
      </c>
      <c r="B39" t="s">
        <v>78</v>
      </c>
      <c r="G39" s="1" t="str">
        <f t="shared" si="0"/>
        <v>104.5338</v>
      </c>
      <c r="H39" s="1" t="str">
        <f t="shared" si="1"/>
        <v xml:space="preserve"> 17.2412</v>
      </c>
      <c r="I39" s="1" t="str">
        <f t="shared" si="5"/>
        <v>RT34</v>
      </c>
      <c r="L39" s="1" t="str">
        <f t="shared" si="6"/>
        <v>SG</v>
      </c>
      <c r="N39" s="1">
        <v>2276</v>
      </c>
      <c r="O39" s="1">
        <v>100</v>
      </c>
      <c r="P39" s="1" t="str">
        <f t="shared" si="7"/>
        <v>8+805</v>
      </c>
    </row>
    <row r="40" spans="1:16" x14ac:dyDescent="0.2">
      <c r="A40" t="s">
        <v>79</v>
      </c>
      <c r="B40" t="s">
        <v>80</v>
      </c>
      <c r="G40" s="1" t="str">
        <f t="shared" si="0"/>
        <v>104.5338</v>
      </c>
      <c r="H40" s="1" t="str">
        <f>MID(A40,18,7)</f>
        <v>17.2409</v>
      </c>
      <c r="I40" s="1" t="str">
        <f t="shared" si="5"/>
        <v>RT35</v>
      </c>
      <c r="L40" s="1" t="str">
        <f t="shared" si="6"/>
        <v>SG</v>
      </c>
      <c r="N40" s="1">
        <v>2276</v>
      </c>
      <c r="O40" s="1">
        <v>100</v>
      </c>
      <c r="P40" s="1" t="str">
        <f t="shared" si="7"/>
        <v>8+850</v>
      </c>
    </row>
    <row r="41" spans="1:16" x14ac:dyDescent="0.2">
      <c r="A41" t="s">
        <v>81</v>
      </c>
      <c r="B41" t="s">
        <v>82</v>
      </c>
      <c r="G41" s="1" t="str">
        <f t="shared" si="0"/>
        <v>104.5297</v>
      </c>
      <c r="H41" s="1" t="str">
        <f t="shared" si="1"/>
        <v xml:space="preserve"> 17.2245</v>
      </c>
      <c r="I41" s="1" t="str">
        <f t="shared" si="5"/>
        <v>RT36</v>
      </c>
      <c r="L41" s="1" t="str">
        <f t="shared" si="6"/>
        <v>SG</v>
      </c>
      <c r="N41" s="1">
        <v>2276</v>
      </c>
      <c r="O41" s="1">
        <v>100</v>
      </c>
      <c r="P41" s="1" t="str">
        <f>MID(B41,19,6)</f>
        <v>10+625</v>
      </c>
    </row>
    <row r="42" spans="1:16" x14ac:dyDescent="0.2">
      <c r="A42" t="s">
        <v>83</v>
      </c>
      <c r="B42" t="s">
        <v>84</v>
      </c>
      <c r="G42" s="1" t="str">
        <f t="shared" si="0"/>
        <v>104.5297</v>
      </c>
      <c r="H42" s="1" t="str">
        <f t="shared" si="1"/>
        <v xml:space="preserve"> 17.2249</v>
      </c>
      <c r="I42" s="1" t="str">
        <f t="shared" si="5"/>
        <v>RT37</v>
      </c>
      <c r="L42" s="1" t="str">
        <f t="shared" si="6"/>
        <v>SG</v>
      </c>
      <c r="N42" s="1">
        <v>2276</v>
      </c>
      <c r="O42" s="1">
        <v>100</v>
      </c>
      <c r="P42" s="1" t="str">
        <f t="shared" ref="P42:P103" si="8">MID(B42,19,6)</f>
        <v>10+670</v>
      </c>
    </row>
    <row r="43" spans="1:16" x14ac:dyDescent="0.2">
      <c r="A43" t="s">
        <v>85</v>
      </c>
      <c r="B43" t="s">
        <v>86</v>
      </c>
      <c r="G43" s="1" t="str">
        <f t="shared" si="0"/>
        <v>104.5296</v>
      </c>
      <c r="H43" s="1" t="str">
        <f t="shared" si="1"/>
        <v xml:space="preserve"> 17.2241</v>
      </c>
      <c r="I43" s="1" t="str">
        <f t="shared" si="5"/>
        <v>RT38</v>
      </c>
      <c r="L43" s="1" t="str">
        <f t="shared" si="6"/>
        <v>SG</v>
      </c>
      <c r="N43" s="1">
        <v>2276</v>
      </c>
      <c r="O43" s="1">
        <v>100</v>
      </c>
      <c r="P43" s="1" t="str">
        <f t="shared" si="8"/>
        <v>10+715</v>
      </c>
    </row>
    <row r="44" spans="1:16" x14ac:dyDescent="0.2">
      <c r="A44" t="s">
        <v>87</v>
      </c>
      <c r="B44" t="s">
        <v>88</v>
      </c>
      <c r="G44" s="1" t="str">
        <f t="shared" si="0"/>
        <v>104.5295</v>
      </c>
      <c r="H44" s="1" t="str">
        <f t="shared" si="1"/>
        <v xml:space="preserve"> 17.2238</v>
      </c>
      <c r="I44" s="1" t="str">
        <f t="shared" si="5"/>
        <v>RT39</v>
      </c>
      <c r="L44" s="1" t="str">
        <f t="shared" si="6"/>
        <v>SG</v>
      </c>
      <c r="N44" s="1">
        <v>2276</v>
      </c>
      <c r="O44" s="1">
        <v>100</v>
      </c>
      <c r="P44" s="1" t="str">
        <f t="shared" si="8"/>
        <v>10+760</v>
      </c>
    </row>
    <row r="45" spans="1:16" x14ac:dyDescent="0.2">
      <c r="A45" t="s">
        <v>89</v>
      </c>
      <c r="B45" t="s">
        <v>90</v>
      </c>
      <c r="G45" s="1" t="str">
        <f t="shared" si="0"/>
        <v>104.5294</v>
      </c>
      <c r="H45" s="1" t="str">
        <f t="shared" si="1"/>
        <v xml:space="preserve"> 17.2234</v>
      </c>
      <c r="I45" s="1" t="str">
        <f t="shared" si="5"/>
        <v>RT40</v>
      </c>
      <c r="L45" s="1" t="str">
        <f t="shared" si="6"/>
        <v>SG</v>
      </c>
      <c r="N45" s="1">
        <v>2276</v>
      </c>
      <c r="O45" s="1">
        <v>100</v>
      </c>
      <c r="P45" s="1" t="str">
        <f t="shared" si="8"/>
        <v>10+805</v>
      </c>
    </row>
    <row r="46" spans="1:16" x14ac:dyDescent="0.2">
      <c r="A46" t="s">
        <v>91</v>
      </c>
      <c r="B46" t="s">
        <v>92</v>
      </c>
      <c r="G46" s="1" t="str">
        <f t="shared" si="0"/>
        <v>104.5294</v>
      </c>
      <c r="H46" s="1" t="str">
        <f t="shared" si="1"/>
        <v xml:space="preserve"> 17.2232</v>
      </c>
      <c r="I46" s="1" t="str">
        <f t="shared" si="5"/>
        <v>RT41</v>
      </c>
      <c r="L46" s="1" t="str">
        <f t="shared" si="6"/>
        <v>SG</v>
      </c>
      <c r="N46" s="1">
        <v>2276</v>
      </c>
      <c r="O46" s="1">
        <v>100</v>
      </c>
      <c r="P46" s="1" t="str">
        <f t="shared" si="8"/>
        <v>10+850</v>
      </c>
    </row>
    <row r="47" spans="1:16" x14ac:dyDescent="0.2">
      <c r="A47" t="s">
        <v>93</v>
      </c>
      <c r="B47" t="s">
        <v>94</v>
      </c>
      <c r="G47" s="1" t="str">
        <f t="shared" si="0"/>
        <v>104.5294</v>
      </c>
      <c r="H47" s="1" t="str">
        <f t="shared" si="1"/>
        <v xml:space="preserve"> 17.2229</v>
      </c>
      <c r="I47" s="1" t="str">
        <f t="shared" ref="I47:I78" si="9">MID(B47,1,4)</f>
        <v>RT42</v>
      </c>
      <c r="L47" s="1" t="str">
        <f t="shared" si="6"/>
        <v>SG</v>
      </c>
      <c r="N47" s="1">
        <v>2276</v>
      </c>
      <c r="O47" s="1">
        <v>100</v>
      </c>
      <c r="P47" s="1" t="str">
        <f t="shared" si="8"/>
        <v>10+895</v>
      </c>
    </row>
    <row r="48" spans="1:16" x14ac:dyDescent="0.2">
      <c r="A48" t="s">
        <v>95</v>
      </c>
      <c r="B48" t="s">
        <v>96</v>
      </c>
      <c r="G48" s="1" t="str">
        <f t="shared" si="0"/>
        <v>104.5293</v>
      </c>
      <c r="H48" s="1" t="str">
        <f t="shared" si="1"/>
        <v xml:space="preserve"> 17.2226</v>
      </c>
      <c r="I48" s="1" t="str">
        <f t="shared" si="9"/>
        <v>RT42</v>
      </c>
      <c r="L48" s="1" t="str">
        <f t="shared" si="6"/>
        <v>SG</v>
      </c>
      <c r="N48" s="1">
        <v>2276</v>
      </c>
      <c r="O48" s="1">
        <v>100</v>
      </c>
      <c r="P48" s="1" t="str">
        <f t="shared" si="8"/>
        <v>10+940</v>
      </c>
    </row>
    <row r="49" spans="1:16" x14ac:dyDescent="0.2">
      <c r="A49" t="s">
        <v>97</v>
      </c>
      <c r="B49" t="s">
        <v>98</v>
      </c>
      <c r="G49" s="1" t="str">
        <f t="shared" si="0"/>
        <v>104.5292</v>
      </c>
      <c r="H49" s="1" t="str">
        <f t="shared" si="1"/>
        <v xml:space="preserve"> 17.2222</v>
      </c>
      <c r="I49" s="1" t="str">
        <f t="shared" si="9"/>
        <v>RT43</v>
      </c>
      <c r="L49" s="1" t="str">
        <f t="shared" si="6"/>
        <v>SG</v>
      </c>
      <c r="N49" s="1">
        <v>2276</v>
      </c>
      <c r="O49" s="1">
        <v>100</v>
      </c>
      <c r="P49" s="1" t="str">
        <f t="shared" si="8"/>
        <v>10+985</v>
      </c>
    </row>
    <row r="50" spans="1:16" x14ac:dyDescent="0.2">
      <c r="A50" t="s">
        <v>99</v>
      </c>
      <c r="B50" t="s">
        <v>100</v>
      </c>
      <c r="G50" s="1" t="str">
        <f t="shared" si="0"/>
        <v>104.5291</v>
      </c>
      <c r="H50" s="1" t="str">
        <f>MID(A50,18,7)</f>
        <v>17.2220</v>
      </c>
      <c r="I50" s="1" t="str">
        <f t="shared" si="9"/>
        <v>RT44</v>
      </c>
      <c r="L50" s="1" t="str">
        <f t="shared" si="6"/>
        <v>SG</v>
      </c>
      <c r="N50" s="1">
        <v>2276</v>
      </c>
      <c r="O50" s="1">
        <v>100</v>
      </c>
      <c r="P50" s="1" t="str">
        <f t="shared" si="8"/>
        <v>11+030</v>
      </c>
    </row>
    <row r="51" spans="1:16" x14ac:dyDescent="0.2">
      <c r="A51" t="s">
        <v>101</v>
      </c>
      <c r="B51" t="s">
        <v>102</v>
      </c>
      <c r="G51" s="1" t="str">
        <f t="shared" si="0"/>
        <v>104.5291</v>
      </c>
      <c r="H51" s="1" t="str">
        <f t="shared" si="1"/>
        <v xml:space="preserve"> 17.2216</v>
      </c>
      <c r="I51" s="1" t="str">
        <f t="shared" si="9"/>
        <v>RT46</v>
      </c>
      <c r="L51" s="1" t="str">
        <f t="shared" si="6"/>
        <v>SG</v>
      </c>
      <c r="N51" s="1">
        <v>2276</v>
      </c>
      <c r="O51" s="1">
        <v>100</v>
      </c>
      <c r="P51" s="1" t="str">
        <f t="shared" si="8"/>
        <v>11+030</v>
      </c>
    </row>
    <row r="52" spans="1:16" x14ac:dyDescent="0.2">
      <c r="A52" t="s">
        <v>103</v>
      </c>
      <c r="B52" t="s">
        <v>104</v>
      </c>
      <c r="G52" s="1" t="str">
        <f t="shared" si="0"/>
        <v>104.5290</v>
      </c>
      <c r="H52" s="1" t="str">
        <f t="shared" si="1"/>
        <v xml:space="preserve"> 17.2213</v>
      </c>
      <c r="I52" s="1" t="str">
        <f t="shared" si="9"/>
        <v>RT47</v>
      </c>
      <c r="L52" s="1" t="str">
        <f t="shared" si="6"/>
        <v>SG</v>
      </c>
      <c r="N52" s="1">
        <v>2276</v>
      </c>
      <c r="O52" s="1">
        <v>100</v>
      </c>
      <c r="P52" s="1" t="str">
        <f t="shared" si="8"/>
        <v>11+075</v>
      </c>
    </row>
    <row r="53" spans="1:16" x14ac:dyDescent="0.2">
      <c r="A53" t="s">
        <v>105</v>
      </c>
      <c r="B53" t="s">
        <v>106</v>
      </c>
      <c r="G53" s="1" t="str">
        <f t="shared" si="0"/>
        <v>104.5289</v>
      </c>
      <c r="H53" s="1" t="str">
        <f t="shared" si="1"/>
        <v xml:space="preserve"> 17.2210</v>
      </c>
      <c r="I53" s="1" t="str">
        <f t="shared" si="9"/>
        <v>RT48</v>
      </c>
      <c r="L53" s="1" t="str">
        <f t="shared" si="6"/>
        <v>SG</v>
      </c>
      <c r="N53" s="1">
        <v>2276</v>
      </c>
      <c r="O53" s="1">
        <v>100</v>
      </c>
      <c r="P53" s="1" t="str">
        <f t="shared" si="8"/>
        <v>11+120</v>
      </c>
    </row>
    <row r="54" spans="1:16" x14ac:dyDescent="0.2">
      <c r="A54" t="s">
        <v>107</v>
      </c>
      <c r="B54" t="s">
        <v>108</v>
      </c>
      <c r="G54" s="1" t="str">
        <f t="shared" si="0"/>
        <v>104.5288</v>
      </c>
      <c r="H54" s="1" t="str">
        <f t="shared" si="1"/>
        <v xml:space="preserve"> 17.2207</v>
      </c>
      <c r="I54" s="1" t="str">
        <f t="shared" si="9"/>
        <v>RT49</v>
      </c>
      <c r="L54" s="1" t="str">
        <f t="shared" si="6"/>
        <v>SG</v>
      </c>
      <c r="N54" s="1">
        <v>2276</v>
      </c>
      <c r="O54" s="1">
        <v>100</v>
      </c>
      <c r="P54" s="1" t="str">
        <f t="shared" si="8"/>
        <v>11+165</v>
      </c>
    </row>
    <row r="55" spans="1:16" x14ac:dyDescent="0.2">
      <c r="A55" t="s">
        <v>109</v>
      </c>
      <c r="B55" t="s">
        <v>110</v>
      </c>
      <c r="G55" s="1" t="str">
        <f t="shared" si="0"/>
        <v>104.5288</v>
      </c>
      <c r="H55" s="1" t="str">
        <f t="shared" si="1"/>
        <v xml:space="preserve"> 17.2204</v>
      </c>
      <c r="I55" s="1" t="str">
        <f t="shared" si="9"/>
        <v>RT50</v>
      </c>
      <c r="L55" s="1" t="str">
        <f t="shared" si="6"/>
        <v>SG</v>
      </c>
      <c r="N55" s="1">
        <v>2276</v>
      </c>
      <c r="O55" s="1">
        <v>100</v>
      </c>
      <c r="P55" s="1" t="str">
        <f t="shared" si="8"/>
        <v>11+210</v>
      </c>
    </row>
    <row r="56" spans="1:16" x14ac:dyDescent="0.2">
      <c r="A56" t="s">
        <v>111</v>
      </c>
      <c r="B56" t="s">
        <v>112</v>
      </c>
      <c r="G56" s="1" t="str">
        <f t="shared" si="0"/>
        <v>104.5287</v>
      </c>
      <c r="H56" s="1" t="str">
        <f t="shared" si="1"/>
        <v xml:space="preserve"> 17.2201</v>
      </c>
      <c r="I56" s="1" t="str">
        <f t="shared" si="9"/>
        <v>RT51</v>
      </c>
      <c r="L56" s="1" t="str">
        <f t="shared" si="6"/>
        <v>SG</v>
      </c>
      <c r="N56" s="1">
        <v>2276</v>
      </c>
      <c r="O56" s="1">
        <v>100</v>
      </c>
      <c r="P56" s="1" t="str">
        <f t="shared" si="8"/>
        <v>11+255</v>
      </c>
    </row>
    <row r="57" spans="1:16" x14ac:dyDescent="0.2">
      <c r="A57" t="s">
        <v>113</v>
      </c>
      <c r="B57" t="s">
        <v>114</v>
      </c>
      <c r="G57" s="1" t="str">
        <f t="shared" si="0"/>
        <v>104.5286</v>
      </c>
      <c r="H57" s="1" t="str">
        <f t="shared" si="1"/>
        <v xml:space="preserve"> 17.2197</v>
      </c>
      <c r="I57" s="1" t="str">
        <f t="shared" si="9"/>
        <v>RT52</v>
      </c>
      <c r="L57" s="1" t="str">
        <f t="shared" si="6"/>
        <v>SG</v>
      </c>
      <c r="N57" s="1">
        <v>2276</v>
      </c>
      <c r="O57" s="1">
        <v>100</v>
      </c>
      <c r="P57" s="1" t="str">
        <f t="shared" si="8"/>
        <v>11+300</v>
      </c>
    </row>
    <row r="58" spans="1:16" x14ac:dyDescent="0.2">
      <c r="A58" t="s">
        <v>115</v>
      </c>
      <c r="B58" t="s">
        <v>116</v>
      </c>
      <c r="G58" s="1" t="str">
        <f t="shared" si="0"/>
        <v>104.5285</v>
      </c>
      <c r="H58" s="1" t="str">
        <f t="shared" si="1"/>
        <v xml:space="preserve"> 17.2193</v>
      </c>
      <c r="I58" s="1" t="str">
        <f t="shared" si="9"/>
        <v>RT53</v>
      </c>
      <c r="L58" s="1" t="str">
        <f t="shared" si="6"/>
        <v>SG</v>
      </c>
      <c r="N58" s="1">
        <v>2276</v>
      </c>
      <c r="O58" s="1">
        <v>100</v>
      </c>
      <c r="P58" s="1" t="str">
        <f t="shared" si="8"/>
        <v>11+345</v>
      </c>
    </row>
    <row r="59" spans="1:16" x14ac:dyDescent="0.2">
      <c r="A59" t="s">
        <v>117</v>
      </c>
      <c r="B59" t="s">
        <v>118</v>
      </c>
      <c r="G59" s="1" t="str">
        <f t="shared" si="0"/>
        <v>104.5284</v>
      </c>
      <c r="H59" s="1" t="str">
        <f t="shared" si="1"/>
        <v xml:space="preserve"> 17.2188</v>
      </c>
      <c r="I59" s="1" t="str">
        <f t="shared" si="9"/>
        <v>RT54</v>
      </c>
      <c r="L59" s="1" t="str">
        <f t="shared" si="6"/>
        <v>SG</v>
      </c>
      <c r="N59" s="1">
        <v>2276</v>
      </c>
      <c r="O59" s="1">
        <v>100</v>
      </c>
      <c r="P59" s="1" t="str">
        <f t="shared" si="8"/>
        <v>11+435</v>
      </c>
    </row>
    <row r="60" spans="1:16" x14ac:dyDescent="0.2">
      <c r="A60" t="s">
        <v>119</v>
      </c>
      <c r="B60" t="s">
        <v>120</v>
      </c>
      <c r="G60" s="1" t="str">
        <f t="shared" si="0"/>
        <v>104.5283</v>
      </c>
      <c r="H60" s="1" t="str">
        <f t="shared" si="1"/>
        <v xml:space="preserve"> 17.2185</v>
      </c>
      <c r="I60" s="1" t="str">
        <f t="shared" si="9"/>
        <v>RT55</v>
      </c>
      <c r="L60" s="1" t="str">
        <f t="shared" si="6"/>
        <v>SG</v>
      </c>
      <c r="N60" s="1">
        <v>2276</v>
      </c>
      <c r="O60" s="1">
        <v>100</v>
      </c>
      <c r="P60" s="1" t="str">
        <f t="shared" si="8"/>
        <v>11+390</v>
      </c>
    </row>
    <row r="61" spans="1:16" x14ac:dyDescent="0.2">
      <c r="A61" t="s">
        <v>121</v>
      </c>
      <c r="B61" t="s">
        <v>122</v>
      </c>
      <c r="G61" s="1" t="str">
        <f t="shared" si="0"/>
        <v>104.5282</v>
      </c>
      <c r="H61" s="1" t="str">
        <f t="shared" si="1"/>
        <v xml:space="preserve"> 17.2181</v>
      </c>
      <c r="I61" s="1" t="str">
        <f t="shared" si="9"/>
        <v>RT56</v>
      </c>
      <c r="L61" s="1" t="str">
        <f t="shared" si="6"/>
        <v>SG</v>
      </c>
      <c r="N61" s="1">
        <v>2276</v>
      </c>
      <c r="O61" s="1">
        <v>100</v>
      </c>
      <c r="P61" s="1" t="str">
        <f t="shared" si="8"/>
        <v>11+435</v>
      </c>
    </row>
    <row r="62" spans="1:16" x14ac:dyDescent="0.2">
      <c r="A62" t="s">
        <v>123</v>
      </c>
      <c r="B62" t="s">
        <v>124</v>
      </c>
      <c r="G62" s="1" t="str">
        <f t="shared" si="0"/>
        <v>104.5263</v>
      </c>
      <c r="H62" s="1" t="str">
        <f t="shared" si="1"/>
        <v xml:space="preserve"> 17.1991</v>
      </c>
      <c r="I62" s="1" t="str">
        <f t="shared" si="9"/>
        <v>RT57</v>
      </c>
      <c r="L62" s="1" t="str">
        <f t="shared" si="6"/>
        <v>SG</v>
      </c>
      <c r="N62" s="1">
        <v>2276</v>
      </c>
      <c r="O62" s="1">
        <v>100</v>
      </c>
      <c r="P62" s="1" t="str">
        <f t="shared" si="8"/>
        <v>13+525</v>
      </c>
    </row>
    <row r="63" spans="1:16" x14ac:dyDescent="0.2">
      <c r="A63" t="s">
        <v>125</v>
      </c>
      <c r="B63" t="s">
        <v>126</v>
      </c>
      <c r="G63" s="1" t="str">
        <f t="shared" si="0"/>
        <v>104.5263</v>
      </c>
      <c r="H63" s="1" t="str">
        <f t="shared" si="1"/>
        <v xml:space="preserve"> 17.1985</v>
      </c>
      <c r="I63" s="1" t="str">
        <f t="shared" si="9"/>
        <v>RT58</v>
      </c>
      <c r="L63" s="1" t="str">
        <f t="shared" si="6"/>
        <v>SG</v>
      </c>
      <c r="N63" s="1">
        <v>2276</v>
      </c>
      <c r="O63" s="1">
        <v>100</v>
      </c>
      <c r="P63" s="1" t="str">
        <f t="shared" si="8"/>
        <v>13+670</v>
      </c>
    </row>
    <row r="64" spans="1:16" x14ac:dyDescent="0.2">
      <c r="A64" t="s">
        <v>127</v>
      </c>
      <c r="B64" t="s">
        <v>128</v>
      </c>
      <c r="G64" s="1" t="str">
        <f t="shared" si="0"/>
        <v>104.5263</v>
      </c>
      <c r="H64" s="1" t="str">
        <f t="shared" si="1"/>
        <v xml:space="preserve"> 17.1980</v>
      </c>
      <c r="I64" s="1" t="str">
        <f t="shared" si="9"/>
        <v>RT59</v>
      </c>
      <c r="L64" s="1" t="str">
        <f t="shared" si="6"/>
        <v>SG</v>
      </c>
      <c r="N64" s="1">
        <v>2276</v>
      </c>
      <c r="O64" s="1">
        <v>100</v>
      </c>
      <c r="P64" s="1" t="str">
        <f t="shared" si="8"/>
        <v>13+760</v>
      </c>
    </row>
    <row r="65" spans="1:16" x14ac:dyDescent="0.2">
      <c r="A65" t="s">
        <v>129</v>
      </c>
      <c r="B65" t="s">
        <v>130</v>
      </c>
      <c r="G65" s="1" t="str">
        <f t="shared" si="0"/>
        <v>104.5263</v>
      </c>
      <c r="H65" s="1" t="str">
        <f t="shared" si="1"/>
        <v xml:space="preserve"> 17.1975</v>
      </c>
      <c r="I65" s="1" t="str">
        <f t="shared" si="9"/>
        <v>RT60</v>
      </c>
      <c r="L65" s="1" t="str">
        <f t="shared" si="6"/>
        <v>SG</v>
      </c>
      <c r="N65" s="1">
        <v>2276</v>
      </c>
      <c r="O65" s="1">
        <v>100</v>
      </c>
      <c r="P65" s="1" t="str">
        <f t="shared" si="8"/>
        <v>13+805</v>
      </c>
    </row>
    <row r="66" spans="1:16" x14ac:dyDescent="0.2">
      <c r="A66" t="s">
        <v>131</v>
      </c>
      <c r="B66" t="s">
        <v>132</v>
      </c>
      <c r="G66" s="1" t="str">
        <f t="shared" si="0"/>
        <v>104.5262</v>
      </c>
      <c r="H66" s="1" t="str">
        <f t="shared" si="1"/>
        <v xml:space="preserve"> 17.1969</v>
      </c>
      <c r="I66" s="1" t="str">
        <f t="shared" si="9"/>
        <v>RT61</v>
      </c>
      <c r="L66" s="1" t="str">
        <f t="shared" si="6"/>
        <v>SG</v>
      </c>
      <c r="N66" s="1">
        <v>2276</v>
      </c>
      <c r="O66" s="1">
        <v>100</v>
      </c>
      <c r="P66" s="1" t="str">
        <f t="shared" si="8"/>
        <v>13+850</v>
      </c>
    </row>
    <row r="67" spans="1:16" x14ac:dyDescent="0.2">
      <c r="A67" t="s">
        <v>133</v>
      </c>
      <c r="B67" t="s">
        <v>134</v>
      </c>
      <c r="G67" s="1" t="str">
        <f t="shared" ref="G67:G130" si="10">MID(A67,8,8)</f>
        <v>104.5262</v>
      </c>
      <c r="H67" s="1" t="str">
        <f t="shared" ref="H67:H129" si="11">MID(A67,18,8)</f>
        <v xml:space="preserve"> 17.1964</v>
      </c>
      <c r="I67" s="1" t="str">
        <f t="shared" si="9"/>
        <v>RT62</v>
      </c>
      <c r="L67" s="1" t="str">
        <f t="shared" si="6"/>
        <v>SG</v>
      </c>
      <c r="N67" s="1">
        <v>2276</v>
      </c>
      <c r="O67" s="1">
        <v>100</v>
      </c>
      <c r="P67" s="1" t="str">
        <f t="shared" si="8"/>
        <v>13+895</v>
      </c>
    </row>
    <row r="68" spans="1:16" x14ac:dyDescent="0.2">
      <c r="A68" t="s">
        <v>135</v>
      </c>
      <c r="B68" t="s">
        <v>136</v>
      </c>
      <c r="G68" s="1" t="str">
        <f t="shared" si="10"/>
        <v>104.5262</v>
      </c>
      <c r="H68" s="1" t="str">
        <f t="shared" si="11"/>
        <v xml:space="preserve"> 17.1958</v>
      </c>
      <c r="I68" s="1" t="str">
        <f t="shared" si="9"/>
        <v>RT64</v>
      </c>
      <c r="L68" s="1" t="str">
        <f t="shared" si="6"/>
        <v>SG</v>
      </c>
      <c r="N68" s="1">
        <v>2276</v>
      </c>
      <c r="O68" s="1">
        <v>100</v>
      </c>
      <c r="P68" s="1" t="str">
        <f t="shared" si="8"/>
        <v>13+940</v>
      </c>
    </row>
    <row r="69" spans="1:16" x14ac:dyDescent="0.2">
      <c r="A69" t="s">
        <v>137</v>
      </c>
      <c r="B69" t="s">
        <v>138</v>
      </c>
      <c r="G69" s="1" t="str">
        <f t="shared" si="10"/>
        <v>104.5262</v>
      </c>
      <c r="H69" s="1" t="str">
        <f>MID(A69,17,7)</f>
        <v>17.1953</v>
      </c>
      <c r="I69" s="1" t="str">
        <f t="shared" si="9"/>
        <v>RT65</v>
      </c>
      <c r="L69" s="1" t="str">
        <f t="shared" si="6"/>
        <v>SG</v>
      </c>
      <c r="N69" s="1">
        <v>2276</v>
      </c>
      <c r="O69" s="1">
        <v>100</v>
      </c>
      <c r="P69" s="1" t="str">
        <f t="shared" si="8"/>
        <v>13+985</v>
      </c>
    </row>
    <row r="70" spans="1:16" x14ac:dyDescent="0.2">
      <c r="A70" t="s">
        <v>139</v>
      </c>
      <c r="B70" t="s">
        <v>140</v>
      </c>
      <c r="G70" s="1" t="str">
        <f t="shared" si="10"/>
        <v>104.5261</v>
      </c>
      <c r="H70" s="1" t="str">
        <f t="shared" si="11"/>
        <v xml:space="preserve"> 17.1948</v>
      </c>
      <c r="I70" s="1" t="str">
        <f t="shared" si="9"/>
        <v>RT66</v>
      </c>
      <c r="L70" s="1" t="str">
        <f t="shared" si="6"/>
        <v>SG</v>
      </c>
      <c r="N70" s="1">
        <v>2276</v>
      </c>
      <c r="O70" s="1">
        <v>100</v>
      </c>
      <c r="P70" s="1" t="str">
        <f t="shared" si="8"/>
        <v>13+995</v>
      </c>
    </row>
    <row r="71" spans="1:16" x14ac:dyDescent="0.2">
      <c r="A71" t="s">
        <v>141</v>
      </c>
      <c r="B71" t="s">
        <v>142</v>
      </c>
      <c r="G71" s="1" t="str">
        <f t="shared" si="10"/>
        <v>104.5261</v>
      </c>
      <c r="H71" s="1" t="str">
        <f t="shared" si="11"/>
        <v xml:space="preserve"> 17.1943</v>
      </c>
      <c r="I71" s="1" t="str">
        <f t="shared" si="9"/>
        <v>RT67</v>
      </c>
      <c r="L71" s="1" t="str">
        <f t="shared" si="6"/>
        <v>SG</v>
      </c>
      <c r="N71" s="1">
        <v>2276</v>
      </c>
      <c r="O71" s="1">
        <v>100</v>
      </c>
      <c r="P71" s="1" t="str">
        <f t="shared" si="8"/>
        <v>14+030</v>
      </c>
    </row>
    <row r="72" spans="1:16" x14ac:dyDescent="0.2">
      <c r="A72" t="s">
        <v>143</v>
      </c>
      <c r="B72" t="s">
        <v>144</v>
      </c>
      <c r="G72" s="1" t="str">
        <f t="shared" si="10"/>
        <v>104.5261</v>
      </c>
      <c r="H72" s="1" t="str">
        <f t="shared" si="11"/>
        <v xml:space="preserve"> 17.1937</v>
      </c>
      <c r="I72" s="1" t="str">
        <f t="shared" si="9"/>
        <v>RT68</v>
      </c>
      <c r="L72" s="1" t="str">
        <f t="shared" si="6"/>
        <v>SG</v>
      </c>
      <c r="N72" s="1">
        <v>2276</v>
      </c>
      <c r="O72" s="1">
        <v>100</v>
      </c>
      <c r="P72" s="1" t="str">
        <f t="shared" si="8"/>
        <v>14+075</v>
      </c>
    </row>
    <row r="73" spans="1:16" x14ac:dyDescent="0.2">
      <c r="A73" t="s">
        <v>145</v>
      </c>
      <c r="B73" t="s">
        <v>146</v>
      </c>
      <c r="G73" s="1" t="str">
        <f t="shared" si="10"/>
        <v>104.5261</v>
      </c>
      <c r="H73" s="1" t="str">
        <f t="shared" si="11"/>
        <v xml:space="preserve"> 17.1922</v>
      </c>
      <c r="I73" s="1" t="str">
        <f t="shared" si="9"/>
        <v>RT69</v>
      </c>
      <c r="L73" s="1" t="str">
        <f t="shared" si="6"/>
        <v>SG</v>
      </c>
      <c r="N73" s="1">
        <v>2276</v>
      </c>
      <c r="O73" s="1">
        <v>100</v>
      </c>
      <c r="P73" s="1" t="str">
        <f t="shared" si="8"/>
        <v>14+300</v>
      </c>
    </row>
    <row r="74" spans="1:16" x14ac:dyDescent="0.2">
      <c r="A74" t="s">
        <v>147</v>
      </c>
      <c r="B74" t="s">
        <v>148</v>
      </c>
      <c r="G74" s="1" t="str">
        <f t="shared" si="10"/>
        <v>104.5261</v>
      </c>
      <c r="H74" s="1" t="str">
        <f>MID(A74,18,7)</f>
        <v>17.1918</v>
      </c>
      <c r="I74" s="1" t="str">
        <f t="shared" si="9"/>
        <v>RT70</v>
      </c>
      <c r="L74" s="1" t="str">
        <f t="shared" si="6"/>
        <v>SG</v>
      </c>
      <c r="N74" s="1">
        <v>2276</v>
      </c>
      <c r="O74" s="1">
        <v>100</v>
      </c>
      <c r="P74" s="1" t="str">
        <f t="shared" si="8"/>
        <v>14+345</v>
      </c>
    </row>
    <row r="75" spans="1:16" x14ac:dyDescent="0.2">
      <c r="A75" t="s">
        <v>149</v>
      </c>
      <c r="B75" t="s">
        <v>150</v>
      </c>
      <c r="G75" s="1" t="str">
        <f t="shared" si="10"/>
        <v>104.5261</v>
      </c>
      <c r="H75" s="1" t="str">
        <f>MID(A75,18,7)</f>
        <v>17.1912</v>
      </c>
      <c r="I75" s="1" t="str">
        <f t="shared" si="9"/>
        <v>RT71</v>
      </c>
      <c r="L75" s="1" t="str">
        <f t="shared" si="6"/>
        <v>SG</v>
      </c>
      <c r="N75" s="1">
        <v>2276</v>
      </c>
      <c r="O75" s="1">
        <v>100</v>
      </c>
      <c r="P75" s="1" t="str">
        <f t="shared" si="8"/>
        <v>14+120</v>
      </c>
    </row>
    <row r="76" spans="1:16" x14ac:dyDescent="0.2">
      <c r="A76" t="s">
        <v>151</v>
      </c>
      <c r="B76" t="s">
        <v>152</v>
      </c>
      <c r="G76" s="1" t="str">
        <f t="shared" si="10"/>
        <v>104.5261</v>
      </c>
      <c r="H76" s="1" t="str">
        <f t="shared" si="11"/>
        <v xml:space="preserve"> 17.1908</v>
      </c>
      <c r="I76" s="1" t="str">
        <f t="shared" si="9"/>
        <v>RT72</v>
      </c>
      <c r="L76" s="1" t="str">
        <f t="shared" si="6"/>
        <v>SG</v>
      </c>
      <c r="N76" s="1">
        <v>2276</v>
      </c>
      <c r="O76" s="1">
        <v>100</v>
      </c>
      <c r="P76" s="1" t="str">
        <f t="shared" si="8"/>
        <v>14+210</v>
      </c>
    </row>
    <row r="77" spans="1:16" x14ac:dyDescent="0.2">
      <c r="A77" t="s">
        <v>153</v>
      </c>
      <c r="B77" t="s">
        <v>154</v>
      </c>
      <c r="G77" s="1" t="str">
        <f t="shared" si="10"/>
        <v>104.5261</v>
      </c>
      <c r="H77" s="1" t="str">
        <f>MID(A77,18,7)</f>
        <v>17.1902</v>
      </c>
      <c r="I77" s="1" t="str">
        <f t="shared" si="9"/>
        <v>RT73</v>
      </c>
      <c r="L77" s="1" t="str">
        <f t="shared" si="6"/>
        <v>SG</v>
      </c>
      <c r="N77" s="1">
        <v>2276</v>
      </c>
      <c r="O77" s="1">
        <v>100</v>
      </c>
      <c r="P77" s="1" t="str">
        <f t="shared" si="8"/>
        <v>14+255</v>
      </c>
    </row>
    <row r="78" spans="1:16" x14ac:dyDescent="0.2">
      <c r="A78" t="s">
        <v>155</v>
      </c>
      <c r="B78" t="s">
        <v>156</v>
      </c>
      <c r="G78" s="1" t="str">
        <f t="shared" si="10"/>
        <v>104.5261</v>
      </c>
      <c r="H78" s="1" t="str">
        <f t="shared" si="11"/>
        <v xml:space="preserve"> 17.1898</v>
      </c>
      <c r="I78" s="1" t="str">
        <f t="shared" si="9"/>
        <v>RT74</v>
      </c>
      <c r="L78" s="1" t="str">
        <f t="shared" si="6"/>
        <v>SG</v>
      </c>
      <c r="N78" s="1">
        <v>2276</v>
      </c>
      <c r="O78" s="1">
        <v>100</v>
      </c>
      <c r="P78" s="1" t="str">
        <f t="shared" si="8"/>
        <v>14+345</v>
      </c>
    </row>
    <row r="79" spans="1:16" x14ac:dyDescent="0.2">
      <c r="A79" t="s">
        <v>157</v>
      </c>
      <c r="B79" t="s">
        <v>158</v>
      </c>
      <c r="G79" s="1" t="str">
        <f t="shared" si="10"/>
        <v>104.5261</v>
      </c>
      <c r="H79" s="1" t="str">
        <f>MID(A79,17,7)</f>
        <v>17.1893</v>
      </c>
      <c r="I79" s="1" t="str">
        <f t="shared" ref="I79:I103" si="12">MID(B79,1,4)</f>
        <v>RT75</v>
      </c>
      <c r="L79" s="1" t="str">
        <f t="shared" si="6"/>
        <v>SG</v>
      </c>
      <c r="N79" s="1">
        <v>2276</v>
      </c>
      <c r="O79" s="1">
        <v>100</v>
      </c>
      <c r="P79" s="1" t="str">
        <f t="shared" si="8"/>
        <v>14+390</v>
      </c>
    </row>
    <row r="80" spans="1:16" x14ac:dyDescent="0.2">
      <c r="A80" t="s">
        <v>159</v>
      </c>
      <c r="B80" t="s">
        <v>160</v>
      </c>
      <c r="G80" s="1" t="str">
        <f t="shared" si="10"/>
        <v>104.5260</v>
      </c>
      <c r="H80" s="1" t="str">
        <f t="shared" si="11"/>
        <v xml:space="preserve"> 17.1888</v>
      </c>
      <c r="I80" s="1" t="str">
        <f t="shared" si="12"/>
        <v>RT76</v>
      </c>
      <c r="L80" s="1" t="str">
        <f t="shared" ref="L80:L103" si="13">MID(B80,6,2)</f>
        <v>SG</v>
      </c>
      <c r="N80" s="1">
        <v>2276</v>
      </c>
      <c r="O80" s="1">
        <v>100</v>
      </c>
      <c r="P80" s="1" t="str">
        <f t="shared" si="8"/>
        <v>14+435</v>
      </c>
    </row>
    <row r="81" spans="1:16" x14ac:dyDescent="0.2">
      <c r="A81" t="s">
        <v>161</v>
      </c>
      <c r="B81" t="s">
        <v>162</v>
      </c>
      <c r="G81" s="1" t="str">
        <f t="shared" si="10"/>
        <v>104.5260</v>
      </c>
      <c r="H81" s="1" t="str">
        <f t="shared" si="11"/>
        <v xml:space="preserve"> 17.1884</v>
      </c>
      <c r="I81" s="1" t="str">
        <f t="shared" si="12"/>
        <v>RT77</v>
      </c>
      <c r="L81" s="1" t="str">
        <f t="shared" si="13"/>
        <v>SG</v>
      </c>
      <c r="N81" s="1">
        <v>2276</v>
      </c>
      <c r="O81" s="1">
        <v>100</v>
      </c>
      <c r="P81" s="1" t="str">
        <f t="shared" si="8"/>
        <v>14+545</v>
      </c>
    </row>
    <row r="82" spans="1:16" x14ac:dyDescent="0.2">
      <c r="A82" t="s">
        <v>163</v>
      </c>
      <c r="B82" t="s">
        <v>164</v>
      </c>
      <c r="G82" s="1" t="str">
        <f t="shared" si="10"/>
        <v>104.5260</v>
      </c>
      <c r="H82" s="1" t="str">
        <f>MID(A82,18,7)</f>
        <v>17.1879</v>
      </c>
      <c r="I82" s="1" t="str">
        <f t="shared" si="12"/>
        <v>RT78</v>
      </c>
      <c r="L82" s="1" t="str">
        <f t="shared" si="13"/>
        <v>SG</v>
      </c>
      <c r="N82" s="1">
        <v>2276</v>
      </c>
      <c r="O82" s="1">
        <v>100</v>
      </c>
      <c r="P82" s="1" t="str">
        <f t="shared" si="8"/>
        <v>14+570</v>
      </c>
    </row>
    <row r="83" spans="1:16" x14ac:dyDescent="0.2">
      <c r="A83" t="s">
        <v>165</v>
      </c>
      <c r="B83" t="s">
        <v>166</v>
      </c>
      <c r="G83" s="1" t="str">
        <f t="shared" si="10"/>
        <v>104.5260</v>
      </c>
      <c r="H83" s="1" t="str">
        <f t="shared" si="11"/>
        <v xml:space="preserve"> 17.1875</v>
      </c>
      <c r="I83" s="1" t="str">
        <f t="shared" si="12"/>
        <v>RT79</v>
      </c>
      <c r="L83" s="1" t="str">
        <f t="shared" si="13"/>
        <v>SG</v>
      </c>
      <c r="N83" s="1">
        <v>2276</v>
      </c>
      <c r="O83" s="1">
        <v>100</v>
      </c>
      <c r="P83" s="1" t="str">
        <f t="shared" si="8"/>
        <v>14+615</v>
      </c>
    </row>
    <row r="84" spans="1:16" x14ac:dyDescent="0.2">
      <c r="A84" t="s">
        <v>167</v>
      </c>
      <c r="B84" t="s">
        <v>168</v>
      </c>
      <c r="G84" s="1" t="str">
        <f t="shared" si="10"/>
        <v>104.5260</v>
      </c>
      <c r="H84" s="1" t="str">
        <f t="shared" si="11"/>
        <v xml:space="preserve"> 17.1870</v>
      </c>
      <c r="I84" s="1" t="str">
        <f t="shared" si="12"/>
        <v>RT80</v>
      </c>
      <c r="L84" s="1" t="str">
        <f t="shared" si="13"/>
        <v>SG</v>
      </c>
      <c r="N84" s="1">
        <v>2276</v>
      </c>
      <c r="O84" s="1">
        <v>100</v>
      </c>
      <c r="P84" s="1" t="str">
        <f t="shared" si="8"/>
        <v>14+660</v>
      </c>
    </row>
    <row r="85" spans="1:16" x14ac:dyDescent="0.2">
      <c r="A85" t="s">
        <v>169</v>
      </c>
      <c r="B85" t="s">
        <v>170</v>
      </c>
      <c r="G85" s="1" t="str">
        <f t="shared" si="10"/>
        <v>104.5260</v>
      </c>
      <c r="H85" s="1" t="str">
        <f t="shared" si="11"/>
        <v xml:space="preserve"> 17.1865</v>
      </c>
      <c r="I85" s="1" t="str">
        <f t="shared" si="12"/>
        <v>RT81</v>
      </c>
      <c r="L85" s="1" t="str">
        <f t="shared" si="13"/>
        <v>SG</v>
      </c>
      <c r="N85" s="1">
        <v>2276</v>
      </c>
      <c r="O85" s="1">
        <v>100</v>
      </c>
      <c r="P85" s="1" t="str">
        <f t="shared" si="8"/>
        <v>14+705</v>
      </c>
    </row>
    <row r="86" spans="1:16" x14ac:dyDescent="0.2">
      <c r="A86" t="s">
        <v>171</v>
      </c>
      <c r="B86" t="s">
        <v>172</v>
      </c>
      <c r="G86" s="1" t="str">
        <f t="shared" si="10"/>
        <v>104.5260</v>
      </c>
      <c r="H86" s="1" t="str">
        <f t="shared" si="11"/>
        <v xml:space="preserve"> 17.1860</v>
      </c>
      <c r="I86" s="1" t="str">
        <f t="shared" si="12"/>
        <v>RT82</v>
      </c>
      <c r="L86" s="1" t="str">
        <f t="shared" si="13"/>
        <v>SG</v>
      </c>
      <c r="N86" s="1">
        <v>2276</v>
      </c>
      <c r="O86" s="1">
        <v>100</v>
      </c>
      <c r="P86" s="1" t="str">
        <f t="shared" si="8"/>
        <v>14+750</v>
      </c>
    </row>
    <row r="87" spans="1:16" x14ac:dyDescent="0.2">
      <c r="A87" t="s">
        <v>173</v>
      </c>
      <c r="B87" t="s">
        <v>174</v>
      </c>
      <c r="G87" s="1" t="str">
        <f t="shared" si="10"/>
        <v>104.5261</v>
      </c>
      <c r="H87" s="1" t="str">
        <f t="shared" si="11"/>
        <v xml:space="preserve"> 17.1855</v>
      </c>
      <c r="I87" s="1" t="str">
        <f t="shared" si="12"/>
        <v>RT83</v>
      </c>
      <c r="L87" s="1" t="str">
        <f t="shared" si="13"/>
        <v>SG</v>
      </c>
      <c r="N87" s="1">
        <v>2276</v>
      </c>
      <c r="O87" s="1">
        <v>100</v>
      </c>
      <c r="P87" s="1" t="str">
        <f t="shared" si="8"/>
        <v>14+795</v>
      </c>
    </row>
    <row r="88" spans="1:16" x14ac:dyDescent="0.2">
      <c r="A88" t="s">
        <v>175</v>
      </c>
      <c r="B88" t="s">
        <v>176</v>
      </c>
      <c r="G88" s="1" t="str">
        <f t="shared" si="10"/>
        <v>104.5262</v>
      </c>
      <c r="H88" s="1" t="str">
        <f t="shared" si="11"/>
        <v xml:space="preserve"> 17.1851</v>
      </c>
      <c r="I88" s="1" t="str">
        <f t="shared" si="12"/>
        <v>RT84</v>
      </c>
      <c r="L88" s="1" t="str">
        <f t="shared" si="13"/>
        <v>SG</v>
      </c>
      <c r="N88" s="1">
        <v>2276</v>
      </c>
      <c r="O88" s="1">
        <v>100</v>
      </c>
      <c r="P88" s="1" t="str">
        <f t="shared" si="8"/>
        <v>14+840</v>
      </c>
    </row>
    <row r="89" spans="1:16" x14ac:dyDescent="0.2">
      <c r="A89" t="s">
        <v>177</v>
      </c>
      <c r="B89" t="s">
        <v>178</v>
      </c>
      <c r="G89" s="1" t="str">
        <f t="shared" si="10"/>
        <v>104.5262</v>
      </c>
      <c r="H89" s="1" t="str">
        <f t="shared" si="11"/>
        <v xml:space="preserve"> 17.1847</v>
      </c>
      <c r="I89" s="1" t="str">
        <f t="shared" si="12"/>
        <v>RT85</v>
      </c>
      <c r="L89" s="1" t="str">
        <f t="shared" si="13"/>
        <v>SG</v>
      </c>
      <c r="N89" s="1">
        <v>2276</v>
      </c>
      <c r="O89" s="1">
        <v>100</v>
      </c>
      <c r="P89" s="1" t="str">
        <f t="shared" si="8"/>
        <v>14+885</v>
      </c>
    </row>
    <row r="90" spans="1:16" x14ac:dyDescent="0.2">
      <c r="A90" t="s">
        <v>179</v>
      </c>
      <c r="B90" t="s">
        <v>180</v>
      </c>
      <c r="G90" s="1" t="str">
        <f t="shared" si="10"/>
        <v>104.5263</v>
      </c>
      <c r="H90" s="1" t="str">
        <f t="shared" si="11"/>
        <v xml:space="preserve"> 17.1841</v>
      </c>
      <c r="I90" s="1" t="str">
        <f t="shared" si="12"/>
        <v>RT86</v>
      </c>
      <c r="L90" s="1" t="str">
        <f t="shared" si="13"/>
        <v>SG</v>
      </c>
      <c r="N90" s="1">
        <v>2276</v>
      </c>
      <c r="O90" s="1">
        <v>100</v>
      </c>
      <c r="P90" s="1" t="str">
        <f t="shared" si="8"/>
        <v>14+930</v>
      </c>
    </row>
    <row r="91" spans="1:16" x14ac:dyDescent="0.2">
      <c r="A91" t="s">
        <v>181</v>
      </c>
      <c r="B91" t="s">
        <v>182</v>
      </c>
      <c r="G91" s="1" t="str">
        <f t="shared" si="10"/>
        <v>104.5264</v>
      </c>
      <c r="H91" s="1" t="str">
        <f t="shared" si="11"/>
        <v xml:space="preserve"> 17.1837</v>
      </c>
      <c r="I91" s="1" t="str">
        <f t="shared" si="12"/>
        <v>RT87</v>
      </c>
      <c r="L91" s="1" t="str">
        <f t="shared" si="13"/>
        <v>SG</v>
      </c>
      <c r="N91" s="1">
        <v>2276</v>
      </c>
      <c r="O91" s="1">
        <v>100</v>
      </c>
      <c r="P91" s="1" t="str">
        <f t="shared" si="8"/>
        <v>15+000</v>
      </c>
    </row>
    <row r="92" spans="1:16" x14ac:dyDescent="0.2">
      <c r="A92" t="s">
        <v>183</v>
      </c>
      <c r="B92" t="s">
        <v>184</v>
      </c>
      <c r="G92" s="1" t="str">
        <f t="shared" si="10"/>
        <v>104.5265</v>
      </c>
      <c r="H92" s="1" t="str">
        <f t="shared" si="11"/>
        <v xml:space="preserve"> 17.1833</v>
      </c>
      <c r="I92" s="1" t="str">
        <f t="shared" si="12"/>
        <v>RT88</v>
      </c>
      <c r="L92" s="1" t="str">
        <f t="shared" si="13"/>
        <v>SG</v>
      </c>
      <c r="N92" s="1">
        <v>2276</v>
      </c>
      <c r="O92" s="1">
        <v>100</v>
      </c>
      <c r="P92" s="1" t="str">
        <f t="shared" si="8"/>
        <v>15+200</v>
      </c>
    </row>
    <row r="93" spans="1:16" x14ac:dyDescent="0.2">
      <c r="A93" t="s">
        <v>185</v>
      </c>
      <c r="B93" t="s">
        <v>186</v>
      </c>
      <c r="G93" s="1" t="str">
        <f t="shared" si="10"/>
        <v>104.5266</v>
      </c>
      <c r="H93" s="1" t="str">
        <f t="shared" si="11"/>
        <v xml:space="preserve"> 17.1829</v>
      </c>
      <c r="I93" s="1" t="str">
        <f t="shared" si="12"/>
        <v>RT89</v>
      </c>
      <c r="L93" s="1" t="str">
        <f t="shared" si="13"/>
        <v>SG</v>
      </c>
      <c r="N93" s="1">
        <v>2276</v>
      </c>
      <c r="O93" s="1">
        <v>100</v>
      </c>
      <c r="P93" s="1" t="str">
        <f t="shared" si="8"/>
        <v>15+245</v>
      </c>
    </row>
    <row r="94" spans="1:16" x14ac:dyDescent="0.2">
      <c r="A94" t="s">
        <v>187</v>
      </c>
      <c r="B94" t="s">
        <v>188</v>
      </c>
      <c r="G94" s="1" t="str">
        <f t="shared" si="10"/>
        <v>104.5267</v>
      </c>
      <c r="H94" s="1" t="str">
        <f t="shared" si="11"/>
        <v xml:space="preserve"> 17.1825</v>
      </c>
      <c r="I94" s="1" t="str">
        <f t="shared" si="12"/>
        <v>RT90</v>
      </c>
      <c r="L94" s="1" t="str">
        <f t="shared" si="13"/>
        <v>SG</v>
      </c>
      <c r="N94" s="1">
        <v>2276</v>
      </c>
      <c r="O94" s="1">
        <v>100</v>
      </c>
      <c r="P94" s="1" t="str">
        <f t="shared" si="8"/>
        <v>15+290</v>
      </c>
    </row>
    <row r="95" spans="1:16" x14ac:dyDescent="0.2">
      <c r="A95" t="s">
        <v>189</v>
      </c>
      <c r="B95" t="s">
        <v>190</v>
      </c>
      <c r="G95" s="1" t="str">
        <f t="shared" si="10"/>
        <v>104.5269</v>
      </c>
      <c r="H95" s="1" t="str">
        <f t="shared" si="11"/>
        <v xml:space="preserve"> 17.1822</v>
      </c>
      <c r="I95" s="1" t="str">
        <f t="shared" si="12"/>
        <v>RT91</v>
      </c>
      <c r="L95" s="1" t="str">
        <f t="shared" si="13"/>
        <v>SG</v>
      </c>
      <c r="N95" s="1">
        <v>2276</v>
      </c>
      <c r="O95" s="1">
        <v>100</v>
      </c>
      <c r="P95" s="1" t="str">
        <f t="shared" si="8"/>
        <v>15+335</v>
      </c>
    </row>
    <row r="96" spans="1:16" x14ac:dyDescent="0.2">
      <c r="A96" t="s">
        <v>191</v>
      </c>
      <c r="B96" t="s">
        <v>192</v>
      </c>
      <c r="G96" s="1" t="str">
        <f t="shared" si="10"/>
        <v>104.5272</v>
      </c>
      <c r="H96" s="1" t="str">
        <f t="shared" si="11"/>
        <v xml:space="preserve"> 17.1819</v>
      </c>
      <c r="I96" s="1" t="str">
        <f t="shared" si="12"/>
        <v>RT92</v>
      </c>
      <c r="L96" s="1" t="str">
        <f t="shared" si="13"/>
        <v>SG</v>
      </c>
      <c r="N96" s="1">
        <v>2276</v>
      </c>
      <c r="O96" s="1">
        <v>100</v>
      </c>
      <c r="P96" s="1" t="str">
        <f t="shared" si="8"/>
        <v>15+380</v>
      </c>
    </row>
    <row r="97" spans="1:16" x14ac:dyDescent="0.2">
      <c r="A97" t="s">
        <v>193</v>
      </c>
      <c r="B97" t="s">
        <v>194</v>
      </c>
      <c r="G97" s="1" t="str">
        <f t="shared" si="10"/>
        <v>104.5271</v>
      </c>
      <c r="H97" s="1" t="str">
        <f t="shared" si="11"/>
        <v xml:space="preserve"> 17.1815</v>
      </c>
      <c r="I97" s="1" t="str">
        <f t="shared" si="12"/>
        <v>RT93</v>
      </c>
      <c r="L97" s="1" t="str">
        <f t="shared" si="13"/>
        <v>SG</v>
      </c>
      <c r="N97" s="1">
        <v>2276</v>
      </c>
      <c r="O97" s="1">
        <v>100</v>
      </c>
      <c r="P97" s="1" t="str">
        <f t="shared" si="8"/>
        <v>15+425</v>
      </c>
    </row>
    <row r="98" spans="1:16" x14ac:dyDescent="0.2">
      <c r="A98" t="s">
        <v>195</v>
      </c>
      <c r="B98" t="s">
        <v>196</v>
      </c>
      <c r="G98" s="1" t="str">
        <f t="shared" si="10"/>
        <v>104.5273</v>
      </c>
      <c r="H98" s="1" t="str">
        <f t="shared" si="11"/>
        <v xml:space="preserve"> 17.1809</v>
      </c>
      <c r="I98" s="1" t="str">
        <f t="shared" si="12"/>
        <v>RT94</v>
      </c>
      <c r="L98" s="1" t="str">
        <f t="shared" si="13"/>
        <v>SG</v>
      </c>
      <c r="N98" s="1">
        <v>2276</v>
      </c>
      <c r="O98" s="1">
        <v>100</v>
      </c>
      <c r="P98" s="1" t="str">
        <f t="shared" si="8"/>
        <v>15+470</v>
      </c>
    </row>
    <row r="99" spans="1:16" x14ac:dyDescent="0.2">
      <c r="A99" t="s">
        <v>197</v>
      </c>
      <c r="B99" t="s">
        <v>198</v>
      </c>
      <c r="G99" s="1" t="str">
        <f t="shared" si="10"/>
        <v>104.5274</v>
      </c>
      <c r="H99" s="1" t="str">
        <f t="shared" si="11"/>
        <v xml:space="preserve"> 17.1807</v>
      </c>
      <c r="I99" s="1" t="str">
        <f t="shared" si="12"/>
        <v>RT95</v>
      </c>
      <c r="L99" s="1" t="str">
        <f t="shared" si="13"/>
        <v>SG</v>
      </c>
      <c r="N99" s="1">
        <v>2276</v>
      </c>
      <c r="O99" s="1">
        <v>100</v>
      </c>
      <c r="P99" s="1" t="str">
        <f t="shared" si="8"/>
        <v>15+515</v>
      </c>
    </row>
    <row r="100" spans="1:16" x14ac:dyDescent="0.2">
      <c r="A100" t="s">
        <v>199</v>
      </c>
      <c r="B100" t="s">
        <v>200</v>
      </c>
      <c r="G100" s="1" t="str">
        <f t="shared" si="10"/>
        <v>104.5275</v>
      </c>
      <c r="H100" s="1" t="str">
        <f t="shared" si="11"/>
        <v xml:space="preserve"> 17.1805</v>
      </c>
      <c r="I100" s="1" t="str">
        <f t="shared" si="12"/>
        <v>RT96</v>
      </c>
      <c r="L100" s="1" t="str">
        <f t="shared" si="13"/>
        <v>SG</v>
      </c>
      <c r="N100" s="1">
        <v>2276</v>
      </c>
      <c r="O100" s="1">
        <v>100</v>
      </c>
      <c r="P100" s="1" t="str">
        <f t="shared" si="8"/>
        <v>15+555</v>
      </c>
    </row>
    <row r="101" spans="1:16" x14ac:dyDescent="0.2">
      <c r="A101" t="s">
        <v>201</v>
      </c>
      <c r="B101" t="s">
        <v>596</v>
      </c>
      <c r="G101" s="1" t="str">
        <f t="shared" si="10"/>
        <v>104.5276</v>
      </c>
      <c r="H101" s="1" t="str">
        <f>MID(A101,18,7)</f>
        <v>17.1801</v>
      </c>
      <c r="I101" s="1" t="str">
        <f t="shared" si="12"/>
        <v>RT97</v>
      </c>
      <c r="L101" s="1" t="str">
        <f t="shared" si="13"/>
        <v>SG</v>
      </c>
      <c r="N101" s="1">
        <v>2276</v>
      </c>
      <c r="O101" s="1">
        <v>100</v>
      </c>
      <c r="P101" s="1" t="str">
        <f t="shared" si="8"/>
        <v>15+600</v>
      </c>
    </row>
    <row r="102" spans="1:16" x14ac:dyDescent="0.2">
      <c r="A102" t="s">
        <v>202</v>
      </c>
      <c r="B102" t="s">
        <v>203</v>
      </c>
      <c r="G102" s="1" t="str">
        <f t="shared" si="10"/>
        <v>104.5277</v>
      </c>
      <c r="H102" s="1" t="str">
        <f t="shared" si="11"/>
        <v xml:space="preserve"> 17.1795</v>
      </c>
      <c r="I102" s="1" t="str">
        <f t="shared" si="12"/>
        <v>RT98</v>
      </c>
      <c r="L102" s="1" t="str">
        <f t="shared" si="13"/>
        <v>SG</v>
      </c>
      <c r="N102" s="1">
        <v>2276</v>
      </c>
      <c r="O102" s="1">
        <v>100</v>
      </c>
      <c r="P102" s="1" t="str">
        <f t="shared" si="8"/>
        <v>15+645</v>
      </c>
    </row>
    <row r="103" spans="1:16" x14ac:dyDescent="0.2">
      <c r="A103" t="s">
        <v>204</v>
      </c>
      <c r="B103" t="s">
        <v>205</v>
      </c>
      <c r="G103" s="1" t="str">
        <f t="shared" si="10"/>
        <v>104.5278</v>
      </c>
      <c r="H103" s="1" t="str">
        <f t="shared" si="11"/>
        <v xml:space="preserve"> 17.1792</v>
      </c>
      <c r="I103" s="1" t="str">
        <f t="shared" si="12"/>
        <v>RT99</v>
      </c>
      <c r="L103" s="1" t="str">
        <f t="shared" si="13"/>
        <v>SG</v>
      </c>
      <c r="N103" s="1">
        <v>2276</v>
      </c>
      <c r="O103" s="1">
        <v>100</v>
      </c>
      <c r="P103" s="1" t="str">
        <f t="shared" si="8"/>
        <v>15+690</v>
      </c>
    </row>
    <row r="104" spans="1:16" x14ac:dyDescent="0.2">
      <c r="A104" t="s">
        <v>206</v>
      </c>
      <c r="B104" t="s">
        <v>207</v>
      </c>
      <c r="G104" s="1" t="str">
        <f t="shared" si="10"/>
        <v>104.5279</v>
      </c>
      <c r="H104" s="1" t="str">
        <f t="shared" si="11"/>
        <v xml:space="preserve"> 17.1788</v>
      </c>
      <c r="I104" s="1" t="str">
        <f t="shared" ref="I104:I146" si="14">MID(B104,1,5)</f>
        <v>RT100</v>
      </c>
      <c r="L104" s="1" t="str">
        <f>MID(B104,7,2)</f>
        <v>SG</v>
      </c>
      <c r="N104" s="1">
        <v>2276</v>
      </c>
      <c r="O104" s="1">
        <v>100</v>
      </c>
      <c r="P104" s="1" t="str">
        <f>MID(B104,20,6)</f>
        <v>15+735</v>
      </c>
    </row>
    <row r="105" spans="1:16" x14ac:dyDescent="0.2">
      <c r="A105" t="s">
        <v>208</v>
      </c>
      <c r="B105" t="s">
        <v>209</v>
      </c>
      <c r="G105" s="1" t="str">
        <f t="shared" si="10"/>
        <v>104.5282</v>
      </c>
      <c r="H105" s="1" t="str">
        <f t="shared" si="11"/>
        <v xml:space="preserve"> 17.1784</v>
      </c>
      <c r="I105" s="1" t="str">
        <f t="shared" si="14"/>
        <v>RT101</v>
      </c>
      <c r="L105" s="1" t="str">
        <f t="shared" ref="L105:L146" si="15">MID(B105,7,2)</f>
        <v>SG</v>
      </c>
      <c r="N105" s="1">
        <v>2276</v>
      </c>
      <c r="O105" s="1">
        <v>100</v>
      </c>
      <c r="P105" s="1" t="str">
        <f t="shared" ref="P105:P146" si="16">MID(B105,20,6)</f>
        <v>15+780</v>
      </c>
    </row>
    <row r="106" spans="1:16" x14ac:dyDescent="0.2">
      <c r="A106" t="s">
        <v>210</v>
      </c>
      <c r="B106" t="s">
        <v>211</v>
      </c>
      <c r="G106" s="1" t="str">
        <f t="shared" si="10"/>
        <v>104.5283</v>
      </c>
      <c r="H106" s="1" t="str">
        <f t="shared" si="11"/>
        <v xml:space="preserve"> 17.1780</v>
      </c>
      <c r="I106" s="1" t="str">
        <f t="shared" si="14"/>
        <v>RT102</v>
      </c>
      <c r="L106" s="1" t="str">
        <f t="shared" si="15"/>
        <v>SG</v>
      </c>
      <c r="N106" s="1">
        <v>2276</v>
      </c>
      <c r="O106" s="1">
        <v>100</v>
      </c>
      <c r="P106" s="1" t="str">
        <f t="shared" si="16"/>
        <v>15+825</v>
      </c>
    </row>
    <row r="107" spans="1:16" x14ac:dyDescent="0.2">
      <c r="A107" t="s">
        <v>212</v>
      </c>
      <c r="B107" t="s">
        <v>213</v>
      </c>
      <c r="G107" s="1" t="str">
        <f t="shared" si="10"/>
        <v>104.6028</v>
      </c>
      <c r="H107" s="1" t="str">
        <f t="shared" si="11"/>
        <v xml:space="preserve"> 17.1087</v>
      </c>
      <c r="I107" s="1" t="str">
        <f t="shared" si="14"/>
        <v>RT103</v>
      </c>
      <c r="L107" s="1" t="str">
        <f t="shared" si="15"/>
        <v>SG</v>
      </c>
      <c r="N107" s="1">
        <v>2276</v>
      </c>
      <c r="O107" s="1">
        <v>100</v>
      </c>
      <c r="P107" s="1" t="str">
        <f t="shared" si="16"/>
        <v>27+382</v>
      </c>
    </row>
    <row r="108" spans="1:16" x14ac:dyDescent="0.2">
      <c r="A108" t="s">
        <v>214</v>
      </c>
      <c r="B108" t="s">
        <v>215</v>
      </c>
      <c r="G108" s="1" t="str">
        <f t="shared" si="10"/>
        <v>104.6031</v>
      </c>
      <c r="H108" s="1" t="str">
        <f t="shared" si="11"/>
        <v xml:space="preserve"> 17.1086</v>
      </c>
      <c r="I108" s="1" t="str">
        <f t="shared" si="14"/>
        <v>RT104</v>
      </c>
      <c r="L108" s="1" t="str">
        <f t="shared" si="15"/>
        <v>SG</v>
      </c>
      <c r="N108" s="1">
        <v>2276</v>
      </c>
      <c r="O108" s="1">
        <v>100</v>
      </c>
      <c r="P108" s="1" t="str">
        <f t="shared" si="16"/>
        <v>27+427</v>
      </c>
    </row>
    <row r="109" spans="1:16" x14ac:dyDescent="0.2">
      <c r="A109" t="s">
        <v>216</v>
      </c>
      <c r="B109" t="s">
        <v>217</v>
      </c>
      <c r="G109" s="1" t="str">
        <f t="shared" si="10"/>
        <v>104.6035</v>
      </c>
      <c r="H109" s="1" t="str">
        <f t="shared" si="11"/>
        <v xml:space="preserve"> 17.1085</v>
      </c>
      <c r="I109" s="1" t="str">
        <f t="shared" si="14"/>
        <v>RT105</v>
      </c>
      <c r="L109" s="1" t="str">
        <f t="shared" si="15"/>
        <v>SG</v>
      </c>
      <c r="N109" s="1">
        <v>2276</v>
      </c>
      <c r="O109" s="1">
        <v>100</v>
      </c>
      <c r="P109" s="1" t="str">
        <f t="shared" si="16"/>
        <v>27+472</v>
      </c>
    </row>
    <row r="110" spans="1:16" x14ac:dyDescent="0.2">
      <c r="A110" t="s">
        <v>218</v>
      </c>
      <c r="B110" t="s">
        <v>219</v>
      </c>
      <c r="G110" s="1" t="str">
        <f t="shared" si="10"/>
        <v>104.6039</v>
      </c>
      <c r="H110" s="1" t="str">
        <f t="shared" si="11"/>
        <v xml:space="preserve"> 17.1084</v>
      </c>
      <c r="I110" s="1" t="str">
        <f t="shared" si="14"/>
        <v>RT106</v>
      </c>
      <c r="L110" s="1" t="str">
        <f t="shared" si="15"/>
        <v>SG</v>
      </c>
      <c r="N110" s="1">
        <v>2276</v>
      </c>
      <c r="O110" s="1">
        <v>100</v>
      </c>
      <c r="P110" s="1" t="str">
        <f t="shared" si="16"/>
        <v>27+517</v>
      </c>
    </row>
    <row r="111" spans="1:16" x14ac:dyDescent="0.2">
      <c r="A111" t="s">
        <v>220</v>
      </c>
      <c r="B111" t="s">
        <v>221</v>
      </c>
      <c r="G111" s="1" t="str">
        <f t="shared" si="10"/>
        <v>104.6042</v>
      </c>
      <c r="H111" s="1" t="str">
        <f t="shared" si="11"/>
        <v xml:space="preserve"> 17.1084</v>
      </c>
      <c r="I111" s="1" t="str">
        <f t="shared" si="14"/>
        <v>RT107</v>
      </c>
      <c r="L111" s="1" t="str">
        <f t="shared" si="15"/>
        <v>SG</v>
      </c>
      <c r="N111" s="1">
        <v>2276</v>
      </c>
      <c r="O111" s="1">
        <v>100</v>
      </c>
      <c r="P111" s="1" t="str">
        <f t="shared" si="16"/>
        <v>27+562</v>
      </c>
    </row>
    <row r="112" spans="1:16" x14ac:dyDescent="0.2">
      <c r="A112" t="s">
        <v>222</v>
      </c>
      <c r="B112" t="s">
        <v>223</v>
      </c>
      <c r="G112" s="1" t="str">
        <f t="shared" si="10"/>
        <v>104.6045</v>
      </c>
      <c r="H112" s="1" t="str">
        <f t="shared" si="11"/>
        <v xml:space="preserve"> 17.1083</v>
      </c>
      <c r="I112" s="1" t="str">
        <f t="shared" si="14"/>
        <v>RT108</v>
      </c>
      <c r="L112" s="1" t="str">
        <f t="shared" si="15"/>
        <v>SG</v>
      </c>
      <c r="N112" s="1">
        <v>2276</v>
      </c>
      <c r="O112" s="1">
        <v>100</v>
      </c>
      <c r="P112" s="1" t="str">
        <f t="shared" si="16"/>
        <v>27+607</v>
      </c>
    </row>
    <row r="113" spans="1:16" x14ac:dyDescent="0.2">
      <c r="A113" t="s">
        <v>224</v>
      </c>
      <c r="B113" t="s">
        <v>225</v>
      </c>
      <c r="G113" s="1" t="str">
        <f t="shared" si="10"/>
        <v>104.6049</v>
      </c>
      <c r="H113" s="1" t="str">
        <f t="shared" si="11"/>
        <v xml:space="preserve"> 17.1082</v>
      </c>
      <c r="I113" s="1" t="str">
        <f t="shared" si="14"/>
        <v>RT109</v>
      </c>
      <c r="L113" s="1" t="str">
        <f t="shared" si="15"/>
        <v>SG</v>
      </c>
      <c r="N113" s="1">
        <v>2276</v>
      </c>
      <c r="O113" s="1">
        <v>100</v>
      </c>
      <c r="P113" s="1" t="str">
        <f t="shared" si="16"/>
        <v>27+652</v>
      </c>
    </row>
    <row r="114" spans="1:16" x14ac:dyDescent="0.2">
      <c r="A114" t="s">
        <v>226</v>
      </c>
      <c r="B114" t="s">
        <v>227</v>
      </c>
      <c r="G114" s="1" t="str">
        <f t="shared" si="10"/>
        <v>104.6053</v>
      </c>
      <c r="H114" s="1" t="str">
        <f>MID(A114,18,7)</f>
        <v>17.1082</v>
      </c>
      <c r="I114" s="1" t="str">
        <f t="shared" si="14"/>
        <v>RT110</v>
      </c>
      <c r="L114" s="1" t="str">
        <f t="shared" si="15"/>
        <v>SG</v>
      </c>
      <c r="N114" s="1">
        <v>2276</v>
      </c>
      <c r="O114" s="1">
        <v>100</v>
      </c>
      <c r="P114" s="1" t="str">
        <f t="shared" si="16"/>
        <v>27+697</v>
      </c>
    </row>
    <row r="115" spans="1:16" x14ac:dyDescent="0.2">
      <c r="A115" t="s">
        <v>228</v>
      </c>
      <c r="B115" t="s">
        <v>229</v>
      </c>
      <c r="G115" s="1" t="str">
        <f t="shared" si="10"/>
        <v>104.6082</v>
      </c>
      <c r="H115" s="1" t="str">
        <f t="shared" si="11"/>
        <v xml:space="preserve"> 17.1092</v>
      </c>
      <c r="I115" s="1" t="str">
        <f t="shared" si="14"/>
        <v>RT112</v>
      </c>
      <c r="L115" s="1" t="str">
        <f t="shared" si="15"/>
        <v>SG</v>
      </c>
      <c r="N115" s="1">
        <v>2276</v>
      </c>
      <c r="O115" s="1">
        <v>100</v>
      </c>
      <c r="P115" s="1" t="str">
        <f t="shared" si="16"/>
        <v>28+093</v>
      </c>
    </row>
    <row r="116" spans="1:16" x14ac:dyDescent="0.2">
      <c r="A116" t="s">
        <v>230</v>
      </c>
      <c r="B116" t="s">
        <v>231</v>
      </c>
      <c r="G116" s="1" t="str">
        <f t="shared" si="10"/>
        <v>104.6086</v>
      </c>
      <c r="H116" s="1" t="str">
        <f t="shared" si="11"/>
        <v xml:space="preserve"> 17.1090</v>
      </c>
      <c r="I116" s="1" t="str">
        <f t="shared" si="14"/>
        <v>RT113</v>
      </c>
      <c r="L116" s="1" t="str">
        <f t="shared" si="15"/>
        <v>SG</v>
      </c>
      <c r="N116" s="1">
        <v>2276</v>
      </c>
      <c r="O116" s="1">
        <v>100</v>
      </c>
      <c r="P116" s="1" t="str">
        <f t="shared" si="16"/>
        <v>28+138</v>
      </c>
    </row>
    <row r="117" spans="1:16" x14ac:dyDescent="0.2">
      <c r="A117" t="s">
        <v>232</v>
      </c>
      <c r="B117" t="s">
        <v>233</v>
      </c>
      <c r="G117" s="1" t="str">
        <f t="shared" si="10"/>
        <v>104.6090</v>
      </c>
      <c r="H117" s="1" t="str">
        <f t="shared" si="11"/>
        <v xml:space="preserve"> 17.1089</v>
      </c>
      <c r="I117" s="1" t="str">
        <f t="shared" si="14"/>
        <v>RT114</v>
      </c>
      <c r="L117" s="1" t="str">
        <f t="shared" si="15"/>
        <v>SG</v>
      </c>
      <c r="N117" s="1">
        <v>2276</v>
      </c>
      <c r="O117" s="1">
        <v>100</v>
      </c>
      <c r="P117" s="1" t="str">
        <f t="shared" si="16"/>
        <v>28+183</v>
      </c>
    </row>
    <row r="118" spans="1:16" x14ac:dyDescent="0.2">
      <c r="A118" t="s">
        <v>234</v>
      </c>
      <c r="B118" t="s">
        <v>235</v>
      </c>
      <c r="G118" s="1" t="str">
        <f t="shared" si="10"/>
        <v>104.6094</v>
      </c>
      <c r="H118" s="1" t="str">
        <f>MID(A118,18,7)</f>
        <v>17.1087</v>
      </c>
      <c r="I118" s="1" t="str">
        <f t="shared" si="14"/>
        <v>RT115</v>
      </c>
      <c r="L118" s="1" t="str">
        <f t="shared" si="15"/>
        <v>SG</v>
      </c>
      <c r="N118" s="1">
        <v>2276</v>
      </c>
      <c r="O118" s="1">
        <v>100</v>
      </c>
      <c r="P118" s="1" t="str">
        <f t="shared" si="16"/>
        <v>28+228</v>
      </c>
    </row>
    <row r="119" spans="1:16" x14ac:dyDescent="0.2">
      <c r="A119" t="s">
        <v>236</v>
      </c>
      <c r="B119" t="s">
        <v>237</v>
      </c>
      <c r="G119" s="1" t="str">
        <f t="shared" si="10"/>
        <v>104.6078</v>
      </c>
      <c r="H119" s="1" t="str">
        <f t="shared" si="11"/>
        <v xml:space="preserve"> 17.1095</v>
      </c>
      <c r="I119" s="1" t="str">
        <f t="shared" si="14"/>
        <v>RT111</v>
      </c>
      <c r="L119" s="1" t="str">
        <f t="shared" si="15"/>
        <v>SG</v>
      </c>
      <c r="N119" s="1">
        <v>2276</v>
      </c>
      <c r="O119" s="1">
        <v>100</v>
      </c>
      <c r="P119" s="1" t="str">
        <f t="shared" si="16"/>
        <v>28+048</v>
      </c>
    </row>
    <row r="120" spans="1:16" x14ac:dyDescent="0.2">
      <c r="A120" t="s">
        <v>238</v>
      </c>
      <c r="B120" t="s">
        <v>239</v>
      </c>
      <c r="G120" s="1" t="str">
        <f t="shared" si="10"/>
        <v>104.6217</v>
      </c>
      <c r="H120" s="1" t="str">
        <f t="shared" si="11"/>
        <v xml:space="preserve"> 17.1018</v>
      </c>
      <c r="I120" s="1" t="str">
        <f t="shared" si="14"/>
        <v>RT117</v>
      </c>
      <c r="L120" s="1" t="str">
        <f t="shared" si="15"/>
        <v>SG</v>
      </c>
      <c r="N120" s="1">
        <v>2276</v>
      </c>
      <c r="O120" s="1">
        <v>100</v>
      </c>
      <c r="P120" s="1" t="str">
        <f t="shared" si="16"/>
        <v>28+995</v>
      </c>
    </row>
    <row r="121" spans="1:16" x14ac:dyDescent="0.2">
      <c r="A121" t="s">
        <v>240</v>
      </c>
      <c r="B121" t="s">
        <v>241</v>
      </c>
      <c r="G121" s="1" t="str">
        <f t="shared" si="10"/>
        <v>104.6217</v>
      </c>
      <c r="H121" s="1" t="str">
        <f t="shared" si="11"/>
        <v xml:space="preserve"> 17.1015</v>
      </c>
      <c r="I121" s="1" t="str">
        <f t="shared" si="14"/>
        <v>RT118</v>
      </c>
      <c r="L121" s="1" t="str">
        <f t="shared" si="15"/>
        <v>SG</v>
      </c>
      <c r="N121" s="1">
        <v>2276</v>
      </c>
      <c r="O121" s="1">
        <v>100</v>
      </c>
      <c r="P121" s="1" t="str">
        <f t="shared" si="16"/>
        <v>30+030</v>
      </c>
    </row>
    <row r="122" spans="1:16" x14ac:dyDescent="0.2">
      <c r="A122" t="s">
        <v>242</v>
      </c>
      <c r="B122" t="s">
        <v>243</v>
      </c>
      <c r="G122" s="1" t="str">
        <f t="shared" si="10"/>
        <v>104.6218</v>
      </c>
      <c r="H122" s="1" t="str">
        <f t="shared" si="11"/>
        <v xml:space="preserve"> 17.1023</v>
      </c>
      <c r="I122" s="1" t="str">
        <f t="shared" si="14"/>
        <v>RT116</v>
      </c>
      <c r="L122" s="1" t="str">
        <f t="shared" si="15"/>
        <v>SG</v>
      </c>
      <c r="N122" s="1">
        <v>2276</v>
      </c>
      <c r="O122" s="1">
        <v>100</v>
      </c>
      <c r="P122" s="1" t="str">
        <f t="shared" si="16"/>
        <v>29+950</v>
      </c>
    </row>
    <row r="123" spans="1:16" x14ac:dyDescent="0.2">
      <c r="A123" t="s">
        <v>244</v>
      </c>
      <c r="B123" t="s">
        <v>245</v>
      </c>
      <c r="G123" s="1" t="str">
        <f t="shared" si="10"/>
        <v>104.6216</v>
      </c>
      <c r="H123" s="1" t="str">
        <f t="shared" si="11"/>
        <v xml:space="preserve"> 17.1010</v>
      </c>
      <c r="I123" s="1" t="str">
        <f t="shared" si="14"/>
        <v>RT119</v>
      </c>
      <c r="L123" s="1" t="str">
        <f t="shared" si="15"/>
        <v>SG</v>
      </c>
      <c r="N123" s="1">
        <v>2276</v>
      </c>
      <c r="O123" s="1">
        <v>100</v>
      </c>
      <c r="P123" s="1" t="str">
        <f t="shared" si="16"/>
        <v>30+075</v>
      </c>
    </row>
    <row r="124" spans="1:16" x14ac:dyDescent="0.2">
      <c r="A124" t="s">
        <v>246</v>
      </c>
      <c r="B124" t="s">
        <v>247</v>
      </c>
      <c r="G124" s="1" t="str">
        <f t="shared" si="10"/>
        <v>104.6216</v>
      </c>
      <c r="H124" s="1" t="str">
        <f t="shared" si="11"/>
        <v xml:space="preserve"> 17.1005</v>
      </c>
      <c r="I124" s="1" t="str">
        <f t="shared" si="14"/>
        <v>RT120</v>
      </c>
      <c r="L124" s="1" t="str">
        <f t="shared" si="15"/>
        <v>SG</v>
      </c>
      <c r="N124" s="1">
        <v>2276</v>
      </c>
      <c r="O124" s="1">
        <v>100</v>
      </c>
      <c r="P124" s="1" t="str">
        <f t="shared" si="16"/>
        <v>30+120</v>
      </c>
    </row>
    <row r="125" spans="1:16" x14ac:dyDescent="0.2">
      <c r="A125" t="s">
        <v>248</v>
      </c>
      <c r="B125" t="s">
        <v>598</v>
      </c>
      <c r="G125" s="1" t="str">
        <f t="shared" si="10"/>
        <v>104.6219</v>
      </c>
      <c r="H125" s="1" t="str">
        <f t="shared" si="11"/>
        <v xml:space="preserve"> 17.1003</v>
      </c>
      <c r="I125" s="1" t="str">
        <f t="shared" si="14"/>
        <v>RT121</v>
      </c>
      <c r="L125" s="1" t="str">
        <f t="shared" si="15"/>
        <v>SG</v>
      </c>
      <c r="N125" s="1">
        <v>2276</v>
      </c>
      <c r="O125" s="1">
        <v>100</v>
      </c>
      <c r="P125" s="1" t="str">
        <f t="shared" si="16"/>
        <v>30+165</v>
      </c>
    </row>
    <row r="126" spans="1:16" x14ac:dyDescent="0.2">
      <c r="A126" t="s">
        <v>249</v>
      </c>
      <c r="B126" t="s">
        <v>250</v>
      </c>
      <c r="G126" s="1" t="str">
        <f t="shared" si="10"/>
        <v>104.6223</v>
      </c>
      <c r="H126" s="1" t="str">
        <f t="shared" si="11"/>
        <v xml:space="preserve"> 17.1002</v>
      </c>
      <c r="I126" s="1" t="str">
        <f t="shared" si="14"/>
        <v>RT122</v>
      </c>
      <c r="L126" s="1" t="str">
        <f t="shared" si="15"/>
        <v>SG</v>
      </c>
      <c r="N126" s="1">
        <v>2276</v>
      </c>
      <c r="O126" s="1">
        <v>100</v>
      </c>
      <c r="P126" s="1" t="str">
        <f t="shared" si="16"/>
        <v>30+210</v>
      </c>
    </row>
    <row r="127" spans="1:16" x14ac:dyDescent="0.2">
      <c r="A127" t="s">
        <v>251</v>
      </c>
      <c r="B127" t="s">
        <v>252</v>
      </c>
      <c r="G127" s="1" t="str">
        <f t="shared" si="10"/>
        <v>104.6226</v>
      </c>
      <c r="H127" s="1" t="str">
        <f t="shared" si="11"/>
        <v xml:space="preserve"> 17.1001</v>
      </c>
      <c r="I127" s="1" t="str">
        <f t="shared" si="14"/>
        <v>RT123</v>
      </c>
      <c r="L127" s="1" t="str">
        <f t="shared" si="15"/>
        <v>SG</v>
      </c>
      <c r="N127" s="1">
        <v>2276</v>
      </c>
      <c r="O127" s="1">
        <v>100</v>
      </c>
      <c r="P127" s="1" t="str">
        <f t="shared" si="16"/>
        <v>30+255</v>
      </c>
    </row>
    <row r="128" spans="1:16" x14ac:dyDescent="0.2">
      <c r="A128" t="s">
        <v>253</v>
      </c>
      <c r="B128" t="s">
        <v>254</v>
      </c>
      <c r="G128" s="1" t="str">
        <f t="shared" si="10"/>
        <v>104.6741</v>
      </c>
      <c r="H128" s="1" t="str">
        <f t="shared" si="11"/>
        <v xml:space="preserve"> 17.0612</v>
      </c>
      <c r="I128" s="1" t="str">
        <f t="shared" si="14"/>
        <v>RT124</v>
      </c>
      <c r="L128" s="1" t="str">
        <f t="shared" si="15"/>
        <v>SG</v>
      </c>
      <c r="N128" s="1">
        <v>2276</v>
      </c>
      <c r="O128" s="1">
        <v>100</v>
      </c>
      <c r="P128" s="1" t="str">
        <f t="shared" si="16"/>
        <v>38+625</v>
      </c>
    </row>
    <row r="129" spans="1:16" x14ac:dyDescent="0.2">
      <c r="A129" t="s">
        <v>255</v>
      </c>
      <c r="B129" t="s">
        <v>256</v>
      </c>
      <c r="G129" s="1" t="str">
        <f t="shared" si="10"/>
        <v>104.6740</v>
      </c>
      <c r="H129" s="1" t="str">
        <f t="shared" si="11"/>
        <v xml:space="preserve"> 17.0609</v>
      </c>
      <c r="I129" s="1" t="str">
        <f t="shared" si="14"/>
        <v>RT125</v>
      </c>
      <c r="L129" s="1" t="str">
        <f t="shared" si="15"/>
        <v>SG</v>
      </c>
      <c r="N129" s="1">
        <v>2276</v>
      </c>
      <c r="O129" s="1">
        <v>100</v>
      </c>
      <c r="P129" s="1" t="str">
        <f t="shared" si="16"/>
        <v>38+670</v>
      </c>
    </row>
    <row r="130" spans="1:16" x14ac:dyDescent="0.2">
      <c r="A130" t="s">
        <v>257</v>
      </c>
      <c r="B130" t="s">
        <v>258</v>
      </c>
      <c r="G130" s="1" t="str">
        <f t="shared" si="10"/>
        <v>104.6739</v>
      </c>
      <c r="H130" s="1" t="str">
        <f>MID(A130,18,7)</f>
        <v>17.0605</v>
      </c>
      <c r="I130" s="1" t="str">
        <f t="shared" si="14"/>
        <v>RT126</v>
      </c>
      <c r="L130" s="1" t="str">
        <f t="shared" si="15"/>
        <v>SG</v>
      </c>
      <c r="N130" s="1">
        <v>2276</v>
      </c>
      <c r="O130" s="1">
        <v>100</v>
      </c>
      <c r="P130" s="1" t="str">
        <f t="shared" si="16"/>
        <v>38+715</v>
      </c>
    </row>
    <row r="131" spans="1:16" x14ac:dyDescent="0.2">
      <c r="A131" t="s">
        <v>259</v>
      </c>
      <c r="B131" t="s">
        <v>260</v>
      </c>
      <c r="G131" s="1" t="str">
        <f t="shared" ref="G131:G194" si="17">MID(A131,8,8)</f>
        <v>104.6738</v>
      </c>
      <c r="H131" s="1" t="str">
        <f t="shared" ref="H131:H193" si="18">MID(A131,18,8)</f>
        <v xml:space="preserve"> 17.0600</v>
      </c>
      <c r="I131" s="1" t="str">
        <f t="shared" si="14"/>
        <v>RT127</v>
      </c>
      <c r="L131" s="1" t="str">
        <f t="shared" si="15"/>
        <v>SG</v>
      </c>
      <c r="N131" s="1">
        <v>2276</v>
      </c>
      <c r="O131" s="1">
        <v>100</v>
      </c>
      <c r="P131" s="1" t="str">
        <f t="shared" si="16"/>
        <v>38+760</v>
      </c>
    </row>
    <row r="132" spans="1:16" x14ac:dyDescent="0.2">
      <c r="A132" t="s">
        <v>261</v>
      </c>
      <c r="B132" t="s">
        <v>262</v>
      </c>
      <c r="G132" s="1" t="str">
        <f t="shared" si="17"/>
        <v>104.6738</v>
      </c>
      <c r="H132" s="1" t="str">
        <f t="shared" si="18"/>
        <v xml:space="preserve"> 17.0596</v>
      </c>
      <c r="I132" s="1" t="str">
        <f t="shared" si="14"/>
        <v>RT128</v>
      </c>
      <c r="L132" s="1" t="str">
        <f t="shared" si="15"/>
        <v>SG</v>
      </c>
      <c r="N132" s="1">
        <v>2276</v>
      </c>
      <c r="O132" s="1">
        <v>100</v>
      </c>
      <c r="P132" s="1" t="str">
        <f t="shared" si="16"/>
        <v>38+805</v>
      </c>
    </row>
    <row r="133" spans="1:16" x14ac:dyDescent="0.2">
      <c r="A133" t="s">
        <v>263</v>
      </c>
      <c r="B133" t="s">
        <v>264</v>
      </c>
      <c r="G133" s="1" t="str">
        <f t="shared" si="17"/>
        <v>104.6738</v>
      </c>
      <c r="H133" s="1" t="str">
        <f t="shared" si="18"/>
        <v xml:space="preserve"> 17.0592</v>
      </c>
      <c r="I133" s="1" t="str">
        <f t="shared" si="14"/>
        <v>RT129</v>
      </c>
      <c r="L133" s="1" t="str">
        <f t="shared" si="15"/>
        <v>SG</v>
      </c>
      <c r="N133" s="1">
        <v>2276</v>
      </c>
      <c r="O133" s="1">
        <v>100</v>
      </c>
      <c r="P133" s="1" t="str">
        <f t="shared" si="16"/>
        <v>38+850</v>
      </c>
    </row>
    <row r="134" spans="1:16" x14ac:dyDescent="0.2">
      <c r="A134" t="s">
        <v>265</v>
      </c>
      <c r="B134" t="s">
        <v>266</v>
      </c>
      <c r="G134" s="1" t="str">
        <f t="shared" si="17"/>
        <v>104.6744</v>
      </c>
      <c r="H134" s="1" t="str">
        <f t="shared" si="18"/>
        <v xml:space="preserve"> 17.0557</v>
      </c>
      <c r="I134" s="1" t="str">
        <f t="shared" si="14"/>
        <v>RT130</v>
      </c>
      <c r="L134" s="1" t="str">
        <f t="shared" si="15"/>
        <v>SG</v>
      </c>
      <c r="N134" s="1">
        <v>2276</v>
      </c>
      <c r="O134" s="1">
        <v>100</v>
      </c>
      <c r="P134" s="1" t="str">
        <f t="shared" si="16"/>
        <v>39+180</v>
      </c>
    </row>
    <row r="135" spans="1:16" x14ac:dyDescent="0.2">
      <c r="A135" t="s">
        <v>267</v>
      </c>
      <c r="B135" t="s">
        <v>268</v>
      </c>
      <c r="G135" s="1" t="str">
        <f t="shared" si="17"/>
        <v>104.6745</v>
      </c>
      <c r="H135" s="1" t="str">
        <f t="shared" si="18"/>
        <v xml:space="preserve"> 17.0553</v>
      </c>
      <c r="I135" s="1" t="str">
        <f t="shared" si="14"/>
        <v>RT131</v>
      </c>
      <c r="L135" s="1" t="str">
        <f t="shared" si="15"/>
        <v>SG</v>
      </c>
      <c r="N135" s="1">
        <v>2276</v>
      </c>
      <c r="O135" s="1">
        <v>100</v>
      </c>
      <c r="P135" s="1" t="str">
        <f t="shared" si="16"/>
        <v>39+225</v>
      </c>
    </row>
    <row r="136" spans="1:16" x14ac:dyDescent="0.2">
      <c r="A136" t="s">
        <v>269</v>
      </c>
      <c r="B136" t="s">
        <v>270</v>
      </c>
      <c r="G136" s="1" t="str">
        <f t="shared" si="17"/>
        <v>104.6746</v>
      </c>
      <c r="H136" s="1" t="str">
        <f t="shared" si="18"/>
        <v xml:space="preserve"> 17.0549</v>
      </c>
      <c r="I136" s="1" t="str">
        <f t="shared" si="14"/>
        <v>RT132</v>
      </c>
      <c r="L136" s="1" t="str">
        <f t="shared" si="15"/>
        <v>SG</v>
      </c>
      <c r="N136" s="1">
        <v>2276</v>
      </c>
      <c r="O136" s="1">
        <v>100</v>
      </c>
      <c r="P136" s="1" t="str">
        <f t="shared" si="16"/>
        <v>39+270</v>
      </c>
    </row>
    <row r="137" spans="1:16" x14ac:dyDescent="0.2">
      <c r="A137" t="s">
        <v>271</v>
      </c>
      <c r="B137" t="s">
        <v>272</v>
      </c>
      <c r="G137" s="1" t="str">
        <f t="shared" si="17"/>
        <v>104.6747</v>
      </c>
      <c r="H137" s="1" t="str">
        <f t="shared" si="18"/>
        <v xml:space="preserve"> 17.0546</v>
      </c>
      <c r="I137" s="1" t="str">
        <f t="shared" si="14"/>
        <v>RT133</v>
      </c>
      <c r="L137" s="1" t="str">
        <f t="shared" si="15"/>
        <v>SG</v>
      </c>
      <c r="N137" s="1">
        <v>2276</v>
      </c>
      <c r="O137" s="1">
        <v>100</v>
      </c>
      <c r="P137" s="1" t="str">
        <f t="shared" si="16"/>
        <v>39+315</v>
      </c>
    </row>
    <row r="138" spans="1:16" x14ac:dyDescent="0.2">
      <c r="A138" t="s">
        <v>273</v>
      </c>
      <c r="B138" t="s">
        <v>274</v>
      </c>
      <c r="G138" s="1" t="str">
        <f t="shared" si="17"/>
        <v>104.6748</v>
      </c>
      <c r="H138" s="1" t="str">
        <f t="shared" si="18"/>
        <v xml:space="preserve"> 17.0542</v>
      </c>
      <c r="I138" s="1" t="str">
        <f t="shared" si="14"/>
        <v>RT134</v>
      </c>
      <c r="L138" s="1" t="str">
        <f t="shared" si="15"/>
        <v>SG</v>
      </c>
      <c r="N138" s="1">
        <v>2276</v>
      </c>
      <c r="O138" s="1">
        <v>100</v>
      </c>
      <c r="P138" s="1" t="str">
        <f t="shared" si="16"/>
        <v>39+360</v>
      </c>
    </row>
    <row r="139" spans="1:16" x14ac:dyDescent="0.2">
      <c r="A139" t="s">
        <v>275</v>
      </c>
      <c r="B139" t="s">
        <v>276</v>
      </c>
      <c r="G139" s="1" t="str">
        <f t="shared" si="17"/>
        <v>104.6749</v>
      </c>
      <c r="H139" s="1" t="str">
        <f t="shared" si="18"/>
        <v xml:space="preserve"> 17.0537</v>
      </c>
      <c r="I139" s="1" t="str">
        <f t="shared" si="14"/>
        <v>RT135</v>
      </c>
      <c r="L139" s="1" t="str">
        <f t="shared" si="15"/>
        <v>SG</v>
      </c>
      <c r="N139" s="1">
        <v>2276</v>
      </c>
      <c r="O139" s="1">
        <v>100</v>
      </c>
      <c r="P139" s="1" t="str">
        <f t="shared" si="16"/>
        <v>39+405</v>
      </c>
    </row>
    <row r="140" spans="1:16" x14ac:dyDescent="0.2">
      <c r="A140" t="s">
        <v>277</v>
      </c>
      <c r="B140" t="s">
        <v>278</v>
      </c>
      <c r="G140" s="1" t="str">
        <f t="shared" si="17"/>
        <v>104.6750</v>
      </c>
      <c r="H140" s="1" t="str">
        <f t="shared" si="18"/>
        <v xml:space="preserve"> 17.0532</v>
      </c>
      <c r="I140" s="1" t="str">
        <f t="shared" si="14"/>
        <v>RT136</v>
      </c>
      <c r="L140" s="1" t="str">
        <f t="shared" si="15"/>
        <v>SG</v>
      </c>
      <c r="N140" s="1">
        <v>2276</v>
      </c>
      <c r="O140" s="1">
        <v>100</v>
      </c>
      <c r="P140" s="1" t="str">
        <f t="shared" si="16"/>
        <v>39+450</v>
      </c>
    </row>
    <row r="141" spans="1:16" x14ac:dyDescent="0.2">
      <c r="A141" t="s">
        <v>279</v>
      </c>
      <c r="B141" t="s">
        <v>280</v>
      </c>
      <c r="G141" s="1" t="str">
        <f t="shared" si="17"/>
        <v>104.6750</v>
      </c>
      <c r="H141" s="1" t="str">
        <f t="shared" si="18"/>
        <v xml:space="preserve"> 17.0529</v>
      </c>
      <c r="I141" s="1" t="str">
        <f t="shared" si="14"/>
        <v>RT137</v>
      </c>
      <c r="L141" s="1" t="str">
        <f t="shared" si="15"/>
        <v>SG</v>
      </c>
      <c r="N141" s="1">
        <v>2276</v>
      </c>
      <c r="O141" s="1">
        <v>100</v>
      </c>
      <c r="P141" s="1" t="str">
        <f t="shared" si="16"/>
        <v>39+495</v>
      </c>
    </row>
    <row r="142" spans="1:16" x14ac:dyDescent="0.2">
      <c r="A142" t="s">
        <v>281</v>
      </c>
      <c r="B142" t="s">
        <v>282</v>
      </c>
      <c r="G142" s="1" t="str">
        <f t="shared" si="17"/>
        <v>104.6751</v>
      </c>
      <c r="H142" s="1" t="str">
        <f t="shared" si="18"/>
        <v xml:space="preserve"> 17.0525</v>
      </c>
      <c r="I142" s="1" t="str">
        <f t="shared" si="14"/>
        <v>RT138</v>
      </c>
      <c r="L142" s="1" t="str">
        <f t="shared" si="15"/>
        <v>SG</v>
      </c>
      <c r="N142" s="1">
        <v>2276</v>
      </c>
      <c r="O142" s="1">
        <v>100</v>
      </c>
      <c r="P142" s="1" t="str">
        <f t="shared" si="16"/>
        <v>39+540</v>
      </c>
    </row>
    <row r="143" spans="1:16" x14ac:dyDescent="0.2">
      <c r="A143" t="s">
        <v>283</v>
      </c>
      <c r="B143" t="s">
        <v>284</v>
      </c>
      <c r="G143" s="1" t="str">
        <f t="shared" si="17"/>
        <v>104.6752</v>
      </c>
      <c r="H143" s="1" t="str">
        <f t="shared" si="18"/>
        <v xml:space="preserve"> 17.0521</v>
      </c>
      <c r="I143" s="1" t="str">
        <f t="shared" si="14"/>
        <v>RT139</v>
      </c>
      <c r="L143" s="1" t="str">
        <f t="shared" si="15"/>
        <v>SG</v>
      </c>
      <c r="N143" s="1">
        <v>2276</v>
      </c>
      <c r="O143" s="1">
        <v>100</v>
      </c>
      <c r="P143" s="1" t="str">
        <f t="shared" si="16"/>
        <v>39+585</v>
      </c>
    </row>
    <row r="144" spans="1:16" x14ac:dyDescent="0.2">
      <c r="A144" t="s">
        <v>285</v>
      </c>
      <c r="B144" t="s">
        <v>286</v>
      </c>
      <c r="G144" s="1" t="str">
        <f t="shared" si="17"/>
        <v>104.6753</v>
      </c>
      <c r="H144" s="1" t="str">
        <f>MID(A144,18,7)</f>
        <v>17.0517</v>
      </c>
      <c r="I144" s="1" t="str">
        <f t="shared" si="14"/>
        <v>RT140</v>
      </c>
      <c r="L144" s="1" t="str">
        <f t="shared" si="15"/>
        <v>SG</v>
      </c>
      <c r="N144" s="1">
        <v>2276</v>
      </c>
      <c r="O144" s="1">
        <v>100</v>
      </c>
      <c r="P144" s="1" t="str">
        <f t="shared" si="16"/>
        <v>39+630</v>
      </c>
    </row>
    <row r="145" spans="1:16" x14ac:dyDescent="0.2">
      <c r="A145" t="s">
        <v>287</v>
      </c>
      <c r="B145" t="s">
        <v>288</v>
      </c>
      <c r="G145" s="1" t="str">
        <f t="shared" si="17"/>
        <v>104.6753</v>
      </c>
      <c r="H145" s="1" t="str">
        <f t="shared" si="18"/>
        <v xml:space="preserve"> 17.0515</v>
      </c>
      <c r="I145" s="1" t="str">
        <f t="shared" si="14"/>
        <v>RT141</v>
      </c>
      <c r="L145" s="1" t="str">
        <f t="shared" si="15"/>
        <v>SG</v>
      </c>
      <c r="N145" s="1">
        <v>2276</v>
      </c>
      <c r="O145" s="1">
        <v>100</v>
      </c>
      <c r="P145" s="1" t="str">
        <f t="shared" si="16"/>
        <v>39+675</v>
      </c>
    </row>
    <row r="146" spans="1:16" x14ac:dyDescent="0.2">
      <c r="A146" t="s">
        <v>289</v>
      </c>
      <c r="B146" t="s">
        <v>290</v>
      </c>
      <c r="G146" s="1" t="str">
        <f t="shared" si="17"/>
        <v>104.6755</v>
      </c>
      <c r="H146" s="1" t="str">
        <f t="shared" si="18"/>
        <v xml:space="preserve"> 17.0509</v>
      </c>
      <c r="I146" s="1" t="str">
        <f t="shared" si="14"/>
        <v>RT142</v>
      </c>
      <c r="L146" s="1" t="str">
        <f t="shared" si="15"/>
        <v>SG</v>
      </c>
      <c r="N146" s="1">
        <v>2276</v>
      </c>
      <c r="O146" s="1">
        <v>100</v>
      </c>
      <c r="P146" s="1" t="str">
        <f t="shared" si="16"/>
        <v>39+720</v>
      </c>
    </row>
    <row r="147" spans="1:16" x14ac:dyDescent="0.2">
      <c r="A147" t="s">
        <v>291</v>
      </c>
      <c r="B147" t="s">
        <v>292</v>
      </c>
      <c r="G147" s="1" t="str">
        <f t="shared" si="17"/>
        <v>104.5265</v>
      </c>
      <c r="H147" s="1" t="str">
        <f t="shared" si="18"/>
        <v xml:space="preserve"> 17.1989</v>
      </c>
      <c r="J147" s="1" t="str">
        <f t="shared" ref="J147:J154" si="19">MID(B147,1,3)</f>
        <v>LT2</v>
      </c>
      <c r="L147" s="1" t="str">
        <f t="shared" ref="L147:L154" si="20">MID(B147,5,2)</f>
        <v>SG</v>
      </c>
      <c r="N147" s="1">
        <v>2276</v>
      </c>
      <c r="O147" s="1">
        <v>100</v>
      </c>
      <c r="P147" s="1" t="str">
        <f t="shared" ref="P147:P153" si="21">MID(B147,18,6)</f>
        <v>13+590</v>
      </c>
    </row>
    <row r="148" spans="1:16" x14ac:dyDescent="0.2">
      <c r="A148" t="s">
        <v>293</v>
      </c>
      <c r="B148" t="s">
        <v>294</v>
      </c>
      <c r="G148" s="1" t="str">
        <f t="shared" si="17"/>
        <v>104.5264</v>
      </c>
      <c r="H148" s="1" t="str">
        <f t="shared" si="18"/>
        <v xml:space="preserve"> 17.1977</v>
      </c>
      <c r="J148" s="1" t="str">
        <f t="shared" si="19"/>
        <v>LT4</v>
      </c>
      <c r="L148" s="1" t="str">
        <f t="shared" si="20"/>
        <v>SG</v>
      </c>
      <c r="N148" s="1">
        <v>2276</v>
      </c>
      <c r="O148" s="1">
        <v>100</v>
      </c>
      <c r="P148" s="1" t="str">
        <f t="shared" si="21"/>
        <v>13+635</v>
      </c>
    </row>
    <row r="149" spans="1:16" x14ac:dyDescent="0.2">
      <c r="A149" t="s">
        <v>295</v>
      </c>
      <c r="B149" t="s">
        <v>296</v>
      </c>
      <c r="G149" s="1" t="str">
        <f t="shared" si="17"/>
        <v>104.5264</v>
      </c>
      <c r="H149" s="1" t="str">
        <f t="shared" si="18"/>
        <v xml:space="preserve"> 17.1971</v>
      </c>
      <c r="J149" s="1" t="str">
        <f t="shared" si="19"/>
        <v>LT5</v>
      </c>
      <c r="L149" s="1" t="str">
        <f t="shared" si="20"/>
        <v>SG</v>
      </c>
      <c r="N149" s="1">
        <v>2276</v>
      </c>
      <c r="O149" s="1">
        <v>100</v>
      </c>
      <c r="P149" s="1" t="str">
        <f t="shared" si="21"/>
        <v>13+680</v>
      </c>
    </row>
    <row r="150" spans="1:16" x14ac:dyDescent="0.2">
      <c r="A150" t="s">
        <v>297</v>
      </c>
      <c r="B150" t="s">
        <v>298</v>
      </c>
      <c r="G150" s="1" t="str">
        <f t="shared" si="17"/>
        <v>104.5263</v>
      </c>
      <c r="H150" s="1" t="str">
        <f t="shared" si="18"/>
        <v xml:space="preserve"> 17.1966</v>
      </c>
      <c r="J150" s="1" t="str">
        <f t="shared" si="19"/>
        <v>LT6</v>
      </c>
      <c r="L150" s="1" t="str">
        <f t="shared" si="20"/>
        <v>SG</v>
      </c>
      <c r="N150" s="1">
        <v>2276</v>
      </c>
      <c r="O150" s="1">
        <v>100</v>
      </c>
      <c r="P150" s="1" t="str">
        <f t="shared" si="21"/>
        <v>13+725</v>
      </c>
    </row>
    <row r="151" spans="1:16" x14ac:dyDescent="0.2">
      <c r="A151" t="s">
        <v>299</v>
      </c>
      <c r="B151" t="s">
        <v>300</v>
      </c>
      <c r="G151" s="1" t="str">
        <f t="shared" si="17"/>
        <v>104.5263</v>
      </c>
      <c r="H151" s="1" t="str">
        <f t="shared" si="18"/>
        <v xml:space="preserve"> 17.1961</v>
      </c>
      <c r="J151" s="1" t="str">
        <f t="shared" si="19"/>
        <v>LT7</v>
      </c>
      <c r="L151" s="1" t="str">
        <f t="shared" si="20"/>
        <v>SG</v>
      </c>
      <c r="N151" s="1">
        <v>2276</v>
      </c>
      <c r="O151" s="1">
        <v>100</v>
      </c>
      <c r="P151" s="1" t="str">
        <f t="shared" si="21"/>
        <v>13+770</v>
      </c>
    </row>
    <row r="152" spans="1:16" x14ac:dyDescent="0.2">
      <c r="A152" t="s">
        <v>301</v>
      </c>
      <c r="B152" t="s">
        <v>302</v>
      </c>
      <c r="G152" s="1" t="str">
        <f t="shared" si="17"/>
        <v>104.5263</v>
      </c>
      <c r="H152" s="1" t="str">
        <f t="shared" si="18"/>
        <v xml:space="preserve"> 17.1956</v>
      </c>
      <c r="J152" s="1" t="str">
        <f t="shared" si="19"/>
        <v>LT8</v>
      </c>
      <c r="L152" s="1" t="str">
        <f t="shared" si="20"/>
        <v>SG</v>
      </c>
      <c r="N152" s="1">
        <v>2276</v>
      </c>
      <c r="O152" s="1">
        <v>100</v>
      </c>
      <c r="P152" s="1" t="str">
        <f t="shared" si="21"/>
        <v>13+815</v>
      </c>
    </row>
    <row r="153" spans="1:16" x14ac:dyDescent="0.2">
      <c r="A153" t="s">
        <v>303</v>
      </c>
      <c r="B153" t="s">
        <v>304</v>
      </c>
      <c r="G153" s="1" t="str">
        <f t="shared" si="17"/>
        <v>104.5263</v>
      </c>
      <c r="H153" s="1" t="str">
        <f t="shared" si="18"/>
        <v xml:space="preserve"> 17.1950</v>
      </c>
      <c r="J153" s="1" t="str">
        <f t="shared" si="19"/>
        <v>LT8</v>
      </c>
      <c r="L153" s="1" t="str">
        <f t="shared" si="20"/>
        <v>SG</v>
      </c>
      <c r="N153" s="1">
        <v>2276</v>
      </c>
      <c r="O153" s="1">
        <v>100</v>
      </c>
      <c r="P153" s="1" t="str">
        <f t="shared" si="21"/>
        <v>13+860</v>
      </c>
    </row>
    <row r="154" spans="1:16" x14ac:dyDescent="0.2">
      <c r="A154" t="s">
        <v>305</v>
      </c>
      <c r="B154" t="s">
        <v>306</v>
      </c>
      <c r="G154" s="1" t="str">
        <f t="shared" si="17"/>
        <v>104.5263</v>
      </c>
      <c r="H154" s="1" t="str">
        <f t="shared" si="18"/>
        <v xml:space="preserve"> 17.1945</v>
      </c>
      <c r="J154" s="1" t="str">
        <f t="shared" si="19"/>
        <v>LT9</v>
      </c>
      <c r="L154" s="1" t="str">
        <f t="shared" si="20"/>
        <v>SG</v>
      </c>
      <c r="N154" s="1">
        <v>2276</v>
      </c>
      <c r="O154" s="1">
        <v>100</v>
      </c>
      <c r="P154" s="1" t="str">
        <f>MID(B154,18,6)</f>
        <v>13+905</v>
      </c>
    </row>
    <row r="155" spans="1:16" x14ac:dyDescent="0.2">
      <c r="A155" t="s">
        <v>307</v>
      </c>
      <c r="B155" t="s">
        <v>308</v>
      </c>
      <c r="G155" s="1" t="str">
        <f t="shared" si="17"/>
        <v>104.5263</v>
      </c>
      <c r="H155" s="1" t="str">
        <f t="shared" si="18"/>
        <v xml:space="preserve"> 17.1940</v>
      </c>
      <c r="J155" s="1" t="str">
        <f>MID(B155,1,4)</f>
        <v>LT10</v>
      </c>
      <c r="L155" s="1" t="str">
        <f>MID(B155,6,2)</f>
        <v>SG</v>
      </c>
      <c r="N155" s="1">
        <v>2276</v>
      </c>
      <c r="O155" s="1">
        <v>100</v>
      </c>
      <c r="P155" s="1" t="str">
        <f t="shared" ref="P155:P169" si="22">MID(B155,19,6)</f>
        <v>13+950</v>
      </c>
    </row>
    <row r="156" spans="1:16" x14ac:dyDescent="0.2">
      <c r="A156" t="s">
        <v>309</v>
      </c>
      <c r="B156" t="s">
        <v>310</v>
      </c>
      <c r="G156" s="1" t="str">
        <f t="shared" si="17"/>
        <v>104.5263</v>
      </c>
      <c r="H156" s="1" t="str">
        <f t="shared" si="18"/>
        <v xml:space="preserve"> 17.1935</v>
      </c>
      <c r="J156" s="1" t="str">
        <f t="shared" ref="J156:J219" si="23">MID(B156,1,4)</f>
        <v>LT11</v>
      </c>
      <c r="L156" s="1" t="str">
        <f t="shared" ref="L156:L219" si="24">MID(B156,6,2)</f>
        <v>SG</v>
      </c>
      <c r="N156" s="1">
        <v>2276</v>
      </c>
      <c r="O156" s="1">
        <v>100</v>
      </c>
      <c r="P156" s="1" t="str">
        <f t="shared" si="22"/>
        <v>13+995</v>
      </c>
    </row>
    <row r="157" spans="1:16" x14ac:dyDescent="0.2">
      <c r="A157" t="s">
        <v>311</v>
      </c>
      <c r="B157" t="s">
        <v>312</v>
      </c>
      <c r="G157" s="1" t="str">
        <f t="shared" si="17"/>
        <v>104.5263</v>
      </c>
      <c r="H157" s="1" t="str">
        <f t="shared" si="18"/>
        <v xml:space="preserve"> 17.1929</v>
      </c>
      <c r="J157" s="1" t="str">
        <f t="shared" si="23"/>
        <v>LT12</v>
      </c>
      <c r="L157" s="1" t="str">
        <f t="shared" si="24"/>
        <v>SG</v>
      </c>
      <c r="N157" s="1">
        <v>2276</v>
      </c>
      <c r="O157" s="1">
        <v>100</v>
      </c>
      <c r="P157" s="1" t="str">
        <f t="shared" si="22"/>
        <v>14+040</v>
      </c>
    </row>
    <row r="158" spans="1:16" x14ac:dyDescent="0.2">
      <c r="A158" t="s">
        <v>313</v>
      </c>
      <c r="B158" t="s">
        <v>314</v>
      </c>
      <c r="G158" s="1" t="str">
        <f t="shared" si="17"/>
        <v>104.5263</v>
      </c>
      <c r="H158" s="1" t="str">
        <f t="shared" si="18"/>
        <v xml:space="preserve"> 17.1924</v>
      </c>
      <c r="J158" s="1" t="str">
        <f t="shared" si="23"/>
        <v>LT13</v>
      </c>
      <c r="L158" s="1" t="str">
        <f t="shared" si="24"/>
        <v>SG</v>
      </c>
      <c r="N158" s="1">
        <v>2276</v>
      </c>
      <c r="O158" s="1">
        <v>100</v>
      </c>
      <c r="P158" s="1" t="str">
        <f t="shared" si="22"/>
        <v>14+085</v>
      </c>
    </row>
    <row r="159" spans="1:16" x14ac:dyDescent="0.2">
      <c r="A159" t="s">
        <v>315</v>
      </c>
      <c r="B159" t="s">
        <v>316</v>
      </c>
      <c r="G159" s="1" t="str">
        <f t="shared" si="17"/>
        <v>104.5263</v>
      </c>
      <c r="H159" s="1" t="str">
        <f>MID(A159,18,7)</f>
        <v>17.1919</v>
      </c>
      <c r="J159" s="1" t="str">
        <f t="shared" si="23"/>
        <v>LT14</v>
      </c>
      <c r="L159" s="1" t="str">
        <f t="shared" si="24"/>
        <v>SG</v>
      </c>
      <c r="N159" s="1">
        <v>2276</v>
      </c>
      <c r="O159" s="1">
        <v>100</v>
      </c>
      <c r="P159" s="1" t="str">
        <f t="shared" si="22"/>
        <v>14+130</v>
      </c>
    </row>
    <row r="160" spans="1:16" x14ac:dyDescent="0.2">
      <c r="A160" t="s">
        <v>317</v>
      </c>
      <c r="B160" t="s">
        <v>597</v>
      </c>
      <c r="G160" s="1" t="str">
        <f t="shared" si="17"/>
        <v>104.5263</v>
      </c>
      <c r="H160" s="1" t="str">
        <f t="shared" si="18"/>
        <v xml:space="preserve"> 17.1915</v>
      </c>
      <c r="J160" s="1" t="str">
        <f t="shared" si="23"/>
        <v>LT15</v>
      </c>
      <c r="L160" s="1" t="str">
        <f t="shared" si="24"/>
        <v>SG</v>
      </c>
      <c r="N160" s="1">
        <v>2276</v>
      </c>
      <c r="O160" s="1">
        <v>100</v>
      </c>
      <c r="P160" s="1" t="str">
        <f t="shared" si="22"/>
        <v>14+175</v>
      </c>
    </row>
    <row r="161" spans="1:16" x14ac:dyDescent="0.2">
      <c r="A161" t="s">
        <v>318</v>
      </c>
      <c r="B161" t="s">
        <v>319</v>
      </c>
      <c r="G161" s="1" t="str">
        <f t="shared" si="17"/>
        <v>104.5263</v>
      </c>
      <c r="H161" s="1" t="str">
        <f t="shared" si="18"/>
        <v xml:space="preserve"> 17.1911</v>
      </c>
      <c r="J161" s="1" t="str">
        <f t="shared" si="23"/>
        <v>LT16</v>
      </c>
      <c r="L161" s="1" t="str">
        <f t="shared" si="24"/>
        <v>SG</v>
      </c>
      <c r="N161" s="1">
        <v>2276</v>
      </c>
      <c r="O161" s="1">
        <v>100</v>
      </c>
      <c r="P161" s="1" t="str">
        <f t="shared" si="22"/>
        <v>14+220</v>
      </c>
    </row>
    <row r="162" spans="1:16" x14ac:dyDescent="0.2">
      <c r="A162" t="s">
        <v>320</v>
      </c>
      <c r="B162" t="s">
        <v>321</v>
      </c>
      <c r="G162" s="1" t="str">
        <f t="shared" si="17"/>
        <v>104.5263</v>
      </c>
      <c r="H162" s="1" t="str">
        <f t="shared" si="18"/>
        <v xml:space="preserve"> 17.1905</v>
      </c>
      <c r="J162" s="1" t="str">
        <f t="shared" si="23"/>
        <v>LT17</v>
      </c>
      <c r="L162" s="1" t="str">
        <f t="shared" si="24"/>
        <v>SG</v>
      </c>
      <c r="N162" s="1">
        <v>2276</v>
      </c>
      <c r="O162" s="1">
        <v>100</v>
      </c>
      <c r="P162" s="1" t="str">
        <f t="shared" si="22"/>
        <v>14+265</v>
      </c>
    </row>
    <row r="163" spans="1:16" x14ac:dyDescent="0.2">
      <c r="A163" t="s">
        <v>322</v>
      </c>
      <c r="B163" t="s">
        <v>323</v>
      </c>
      <c r="G163" s="1" t="str">
        <f t="shared" si="17"/>
        <v>104.5263</v>
      </c>
      <c r="H163" s="1" t="str">
        <f t="shared" si="18"/>
        <v xml:space="preserve"> 17.1901</v>
      </c>
      <c r="J163" s="1" t="str">
        <f t="shared" si="23"/>
        <v>LT18</v>
      </c>
      <c r="L163" s="1" t="str">
        <f t="shared" si="24"/>
        <v>SG</v>
      </c>
      <c r="N163" s="1">
        <v>2276</v>
      </c>
      <c r="O163" s="1">
        <v>100</v>
      </c>
      <c r="P163" s="1" t="str">
        <f t="shared" si="22"/>
        <v>14+310</v>
      </c>
    </row>
    <row r="164" spans="1:16" x14ac:dyDescent="0.2">
      <c r="A164" t="s">
        <v>324</v>
      </c>
      <c r="B164" t="s">
        <v>325</v>
      </c>
      <c r="G164" s="1" t="str">
        <f t="shared" si="17"/>
        <v>104.5262</v>
      </c>
      <c r="H164" s="1" t="str">
        <f t="shared" si="18"/>
        <v xml:space="preserve"> 17.1895</v>
      </c>
      <c r="J164" s="1" t="str">
        <f t="shared" si="23"/>
        <v>LT19</v>
      </c>
      <c r="L164" s="1" t="str">
        <f t="shared" si="24"/>
        <v>SG</v>
      </c>
      <c r="N164" s="1">
        <v>2276</v>
      </c>
      <c r="O164" s="1">
        <v>100</v>
      </c>
      <c r="P164" s="1" t="str">
        <f t="shared" si="22"/>
        <v>14+355</v>
      </c>
    </row>
    <row r="165" spans="1:16" x14ac:dyDescent="0.2">
      <c r="A165" t="s">
        <v>326</v>
      </c>
      <c r="B165" t="s">
        <v>327</v>
      </c>
      <c r="G165" s="1" t="str">
        <f t="shared" si="17"/>
        <v>104.5262</v>
      </c>
      <c r="H165" s="1" t="str">
        <f t="shared" si="18"/>
        <v xml:space="preserve"> 17.1891</v>
      </c>
      <c r="J165" s="1" t="str">
        <f t="shared" si="23"/>
        <v>LT20</v>
      </c>
      <c r="L165" s="1" t="str">
        <f t="shared" si="24"/>
        <v>SG</v>
      </c>
      <c r="N165" s="1">
        <v>2276</v>
      </c>
      <c r="O165" s="1">
        <v>100</v>
      </c>
      <c r="P165" s="1" t="str">
        <f t="shared" si="22"/>
        <v>14+400</v>
      </c>
    </row>
    <row r="166" spans="1:16" x14ac:dyDescent="0.2">
      <c r="A166" t="s">
        <v>328</v>
      </c>
      <c r="B166" t="s">
        <v>329</v>
      </c>
      <c r="G166" s="1" t="str">
        <f t="shared" si="17"/>
        <v>104.5262</v>
      </c>
      <c r="H166" s="1" t="str">
        <f t="shared" si="18"/>
        <v xml:space="preserve"> 17.1887</v>
      </c>
      <c r="J166" s="1" t="str">
        <f t="shared" si="23"/>
        <v>LT21</v>
      </c>
      <c r="L166" s="1" t="str">
        <f t="shared" si="24"/>
        <v>SG</v>
      </c>
      <c r="N166" s="1">
        <v>2276</v>
      </c>
      <c r="O166" s="1">
        <v>100</v>
      </c>
      <c r="P166" s="1" t="str">
        <f t="shared" si="22"/>
        <v>14+445</v>
      </c>
    </row>
    <row r="167" spans="1:16" x14ac:dyDescent="0.2">
      <c r="A167" t="s">
        <v>330</v>
      </c>
      <c r="B167" t="s">
        <v>331</v>
      </c>
      <c r="G167" s="1" t="str">
        <f t="shared" si="17"/>
        <v>104.5262</v>
      </c>
      <c r="H167" s="1" t="str">
        <f t="shared" si="18"/>
        <v xml:space="preserve"> 17.1881</v>
      </c>
      <c r="J167" s="1" t="str">
        <f t="shared" si="23"/>
        <v>LT22</v>
      </c>
      <c r="L167" s="1" t="str">
        <f t="shared" si="24"/>
        <v>SG</v>
      </c>
      <c r="N167" s="1">
        <v>2276</v>
      </c>
      <c r="O167" s="1">
        <v>100</v>
      </c>
      <c r="P167" s="1" t="str">
        <f t="shared" si="22"/>
        <v>14+490</v>
      </c>
    </row>
    <row r="168" spans="1:16" x14ac:dyDescent="0.2">
      <c r="A168" t="s">
        <v>332</v>
      </c>
      <c r="B168" t="s">
        <v>333</v>
      </c>
      <c r="G168" s="1" t="str">
        <f t="shared" si="17"/>
        <v>104.5262</v>
      </c>
      <c r="H168" s="1" t="str">
        <f t="shared" si="18"/>
        <v xml:space="preserve"> 17.1877</v>
      </c>
      <c r="J168" s="1" t="str">
        <f t="shared" si="23"/>
        <v>LT23</v>
      </c>
      <c r="L168" s="1" t="str">
        <f t="shared" si="24"/>
        <v>SG</v>
      </c>
      <c r="N168" s="1">
        <v>2276</v>
      </c>
      <c r="O168" s="1">
        <v>100</v>
      </c>
      <c r="P168" s="1" t="str">
        <f t="shared" si="22"/>
        <v>14+535</v>
      </c>
    </row>
    <row r="169" spans="1:16" x14ac:dyDescent="0.2">
      <c r="A169" t="s">
        <v>334</v>
      </c>
      <c r="B169" t="s">
        <v>335</v>
      </c>
      <c r="G169" s="1" t="str">
        <f t="shared" si="17"/>
        <v>104.5262</v>
      </c>
      <c r="H169" s="1" t="str">
        <f t="shared" si="18"/>
        <v xml:space="preserve"> 17.1872</v>
      </c>
      <c r="J169" s="1" t="str">
        <f t="shared" si="23"/>
        <v>LT24</v>
      </c>
      <c r="L169" s="1" t="str">
        <f t="shared" si="24"/>
        <v>SG</v>
      </c>
      <c r="N169" s="1">
        <v>2276</v>
      </c>
      <c r="O169" s="1">
        <v>100</v>
      </c>
      <c r="P169" s="1" t="str">
        <f t="shared" si="22"/>
        <v>14+580</v>
      </c>
    </row>
    <row r="170" spans="1:16" x14ac:dyDescent="0.2">
      <c r="A170" t="s">
        <v>336</v>
      </c>
      <c r="B170" t="s">
        <v>337</v>
      </c>
      <c r="G170" s="1" t="str">
        <f t="shared" si="17"/>
        <v>104.5262</v>
      </c>
      <c r="H170" s="1" t="str">
        <f t="shared" si="18"/>
        <v xml:space="preserve"> 17.1867</v>
      </c>
      <c r="J170" s="1" t="str">
        <f t="shared" si="23"/>
        <v>LT25</v>
      </c>
      <c r="L170" s="1" t="str">
        <f t="shared" si="24"/>
        <v>SG</v>
      </c>
      <c r="N170" s="1">
        <v>2276</v>
      </c>
      <c r="O170" s="1">
        <v>100</v>
      </c>
      <c r="P170" s="1" t="str">
        <f t="shared" ref="P170:P233" si="25">MID(B170,19,6)</f>
        <v>14+625</v>
      </c>
    </row>
    <row r="171" spans="1:16" x14ac:dyDescent="0.2">
      <c r="A171" t="s">
        <v>338</v>
      </c>
      <c r="B171" t="s">
        <v>339</v>
      </c>
      <c r="G171" s="1" t="str">
        <f t="shared" si="17"/>
        <v>104.5262</v>
      </c>
      <c r="H171" s="1" t="str">
        <f>MID(A171,18,7)</f>
        <v>17.1863</v>
      </c>
      <c r="J171" s="1" t="str">
        <f t="shared" si="23"/>
        <v>LT26</v>
      </c>
      <c r="L171" s="1" t="str">
        <f t="shared" si="24"/>
        <v>SG</v>
      </c>
      <c r="N171" s="1">
        <v>2276</v>
      </c>
      <c r="O171" s="1">
        <v>100</v>
      </c>
      <c r="P171" s="1" t="str">
        <f t="shared" si="25"/>
        <v>14+670</v>
      </c>
    </row>
    <row r="172" spans="1:16" x14ac:dyDescent="0.2">
      <c r="A172" t="s">
        <v>340</v>
      </c>
      <c r="B172" t="s">
        <v>341</v>
      </c>
      <c r="G172" s="1" t="str">
        <f t="shared" si="17"/>
        <v>104.5263</v>
      </c>
      <c r="H172" s="1" t="str">
        <f t="shared" si="18"/>
        <v xml:space="preserve"> 17.1858</v>
      </c>
      <c r="J172" s="1" t="str">
        <f t="shared" si="23"/>
        <v>LT27</v>
      </c>
      <c r="L172" s="1" t="str">
        <f t="shared" si="24"/>
        <v>SG</v>
      </c>
      <c r="N172" s="1">
        <v>2276</v>
      </c>
      <c r="O172" s="1">
        <v>100</v>
      </c>
      <c r="P172" s="1" t="str">
        <f t="shared" si="25"/>
        <v>14+715</v>
      </c>
    </row>
    <row r="173" spans="1:16" x14ac:dyDescent="0.2">
      <c r="A173" t="s">
        <v>342</v>
      </c>
      <c r="B173" t="s">
        <v>343</v>
      </c>
      <c r="G173" s="1" t="str">
        <f t="shared" si="17"/>
        <v>104.5263</v>
      </c>
      <c r="H173" s="1" t="str">
        <f t="shared" si="18"/>
        <v xml:space="preserve"> 17.1853</v>
      </c>
      <c r="J173" s="1" t="str">
        <f t="shared" si="23"/>
        <v>LT28</v>
      </c>
      <c r="L173" s="1" t="str">
        <f t="shared" si="24"/>
        <v>SG</v>
      </c>
      <c r="N173" s="1">
        <v>2276</v>
      </c>
      <c r="O173" s="1">
        <v>100</v>
      </c>
      <c r="P173" s="1" t="str">
        <f t="shared" si="25"/>
        <v>14+760</v>
      </c>
    </row>
    <row r="174" spans="1:16" x14ac:dyDescent="0.2">
      <c r="A174" t="s">
        <v>344</v>
      </c>
      <c r="B174" t="s">
        <v>345</v>
      </c>
      <c r="G174" s="1" t="str">
        <f t="shared" si="17"/>
        <v>104.5264</v>
      </c>
      <c r="H174" s="1" t="str">
        <f t="shared" si="18"/>
        <v xml:space="preserve"> 17.1849</v>
      </c>
      <c r="J174" s="1" t="str">
        <f t="shared" si="23"/>
        <v>LT29</v>
      </c>
      <c r="L174" s="1" t="str">
        <f t="shared" si="24"/>
        <v>SG</v>
      </c>
      <c r="N174" s="1">
        <v>2276</v>
      </c>
      <c r="O174" s="1">
        <v>100</v>
      </c>
      <c r="P174" s="1" t="str">
        <f t="shared" si="25"/>
        <v>14+805</v>
      </c>
    </row>
    <row r="175" spans="1:16" x14ac:dyDescent="0.2">
      <c r="A175" t="s">
        <v>346</v>
      </c>
      <c r="B175" t="s">
        <v>347</v>
      </c>
      <c r="G175" s="1" t="str">
        <f t="shared" si="17"/>
        <v>104.5265</v>
      </c>
      <c r="H175" s="1" t="str">
        <f t="shared" si="18"/>
        <v xml:space="preserve"> 17.1844</v>
      </c>
      <c r="J175" s="1" t="str">
        <f t="shared" si="23"/>
        <v>LT30</v>
      </c>
      <c r="L175" s="1" t="str">
        <f t="shared" si="24"/>
        <v>SG</v>
      </c>
      <c r="N175" s="1">
        <v>2276</v>
      </c>
      <c r="O175" s="1">
        <v>100</v>
      </c>
      <c r="P175" s="1" t="str">
        <f t="shared" si="25"/>
        <v>14+850</v>
      </c>
    </row>
    <row r="176" spans="1:16" x14ac:dyDescent="0.2">
      <c r="A176" t="s">
        <v>348</v>
      </c>
      <c r="B176" t="s">
        <v>349</v>
      </c>
      <c r="G176" s="1" t="str">
        <f t="shared" si="17"/>
        <v>104.5265</v>
      </c>
      <c r="H176" s="1" t="str">
        <f t="shared" si="18"/>
        <v xml:space="preserve"> 17.1839</v>
      </c>
      <c r="J176" s="1" t="str">
        <f t="shared" si="23"/>
        <v>LT31</v>
      </c>
      <c r="L176" s="1" t="str">
        <f t="shared" si="24"/>
        <v>SG</v>
      </c>
      <c r="N176" s="1">
        <v>2276</v>
      </c>
      <c r="O176" s="1">
        <v>100</v>
      </c>
      <c r="P176" s="1" t="str">
        <f t="shared" si="25"/>
        <v>14+895</v>
      </c>
    </row>
    <row r="177" spans="1:16" x14ac:dyDescent="0.2">
      <c r="A177" t="s">
        <v>350</v>
      </c>
      <c r="B177" t="s">
        <v>351</v>
      </c>
      <c r="G177" s="1" t="str">
        <f t="shared" si="17"/>
        <v>104.5266</v>
      </c>
      <c r="H177" s="1" t="str">
        <f t="shared" si="18"/>
        <v xml:space="preserve"> 17.1835</v>
      </c>
      <c r="J177" s="1" t="str">
        <f t="shared" si="23"/>
        <v>LT32</v>
      </c>
      <c r="L177" s="1" t="str">
        <f t="shared" si="24"/>
        <v>SG</v>
      </c>
      <c r="N177" s="1">
        <v>2276</v>
      </c>
      <c r="O177" s="1">
        <v>100</v>
      </c>
      <c r="P177" s="1" t="str">
        <f t="shared" si="25"/>
        <v>14+940</v>
      </c>
    </row>
    <row r="178" spans="1:16" x14ac:dyDescent="0.2">
      <c r="A178" t="s">
        <v>352</v>
      </c>
      <c r="B178" t="s">
        <v>353</v>
      </c>
      <c r="G178" s="1" t="str">
        <f t="shared" si="17"/>
        <v>104.5268</v>
      </c>
      <c r="H178" s="1" t="str">
        <f t="shared" si="18"/>
        <v xml:space="preserve"> 17.1831</v>
      </c>
      <c r="J178" s="1" t="str">
        <f t="shared" si="23"/>
        <v>LT33</v>
      </c>
      <c r="L178" s="1" t="str">
        <f t="shared" si="24"/>
        <v>SG</v>
      </c>
      <c r="N178" s="1">
        <v>2276</v>
      </c>
      <c r="O178" s="1">
        <v>100</v>
      </c>
      <c r="P178" s="1" t="str">
        <f t="shared" si="25"/>
        <v>14+985</v>
      </c>
    </row>
    <row r="179" spans="1:16" x14ac:dyDescent="0.2">
      <c r="A179" t="s">
        <v>354</v>
      </c>
      <c r="B179" t="s">
        <v>355</v>
      </c>
      <c r="G179" s="1" t="str">
        <f t="shared" si="17"/>
        <v>104.5269</v>
      </c>
      <c r="H179" s="1" t="str">
        <f t="shared" si="18"/>
        <v xml:space="preserve"> 17.1826</v>
      </c>
      <c r="J179" s="1" t="str">
        <f t="shared" si="23"/>
        <v>LT34</v>
      </c>
      <c r="L179" s="1" t="str">
        <f t="shared" si="24"/>
        <v>SG</v>
      </c>
      <c r="N179" s="1">
        <v>2276</v>
      </c>
      <c r="O179" s="1">
        <v>100</v>
      </c>
      <c r="P179" s="1" t="str">
        <f t="shared" si="25"/>
        <v>15+030</v>
      </c>
    </row>
    <row r="180" spans="1:16" x14ac:dyDescent="0.2">
      <c r="A180" t="s">
        <v>356</v>
      </c>
      <c r="B180" t="s">
        <v>357</v>
      </c>
      <c r="G180" s="1" t="str">
        <f t="shared" si="17"/>
        <v>104.5270</v>
      </c>
      <c r="H180" s="1" t="str">
        <f t="shared" si="18"/>
        <v xml:space="preserve"> 17.1823</v>
      </c>
      <c r="J180" s="1" t="str">
        <f t="shared" si="23"/>
        <v>LT35</v>
      </c>
      <c r="L180" s="1" t="str">
        <f t="shared" si="24"/>
        <v>SG</v>
      </c>
      <c r="N180" s="1">
        <v>2276</v>
      </c>
      <c r="O180" s="1">
        <v>100</v>
      </c>
      <c r="P180" s="1" t="str">
        <f t="shared" si="25"/>
        <v>15+075</v>
      </c>
    </row>
    <row r="181" spans="1:16" x14ac:dyDescent="0.2">
      <c r="A181" t="s">
        <v>358</v>
      </c>
      <c r="B181" t="s">
        <v>359</v>
      </c>
      <c r="G181" s="1" t="str">
        <f t="shared" si="17"/>
        <v>104.5270</v>
      </c>
      <c r="H181" s="1" t="str">
        <f t="shared" si="18"/>
        <v xml:space="preserve"> 17.1819</v>
      </c>
      <c r="J181" s="1" t="str">
        <f t="shared" si="23"/>
        <v>LT36</v>
      </c>
      <c r="L181" s="1" t="str">
        <f t="shared" si="24"/>
        <v>SG</v>
      </c>
      <c r="N181" s="1">
        <v>2276</v>
      </c>
      <c r="O181" s="1">
        <v>100</v>
      </c>
      <c r="P181" s="1" t="str">
        <f t="shared" si="25"/>
        <v>15+120</v>
      </c>
    </row>
    <row r="182" spans="1:16" x14ac:dyDescent="0.2">
      <c r="A182" t="s">
        <v>360</v>
      </c>
      <c r="B182" t="s">
        <v>361</v>
      </c>
      <c r="G182" s="1" t="str">
        <f t="shared" si="17"/>
        <v>104.5273</v>
      </c>
      <c r="H182" s="1" t="str">
        <f t="shared" si="18"/>
        <v xml:space="preserve"> 17.1815</v>
      </c>
      <c r="J182" s="1" t="str">
        <f t="shared" si="23"/>
        <v>LT37</v>
      </c>
      <c r="L182" s="1" t="str">
        <f t="shared" si="24"/>
        <v>SG</v>
      </c>
      <c r="N182" s="1">
        <v>2276</v>
      </c>
      <c r="O182" s="1">
        <v>100</v>
      </c>
      <c r="P182" s="1" t="str">
        <f t="shared" si="25"/>
        <v>15+165</v>
      </c>
    </row>
    <row r="183" spans="1:16" x14ac:dyDescent="0.2">
      <c r="A183" t="s">
        <v>362</v>
      </c>
      <c r="B183" t="s">
        <v>363</v>
      </c>
      <c r="G183" s="1" t="str">
        <f t="shared" si="17"/>
        <v>104.5274</v>
      </c>
      <c r="H183" s="1" t="str">
        <f t="shared" si="18"/>
        <v xml:space="preserve"> 17.1811</v>
      </c>
      <c r="J183" s="1" t="str">
        <f t="shared" si="23"/>
        <v>LT38</v>
      </c>
      <c r="L183" s="1" t="str">
        <f t="shared" si="24"/>
        <v>SG</v>
      </c>
      <c r="N183" s="1">
        <v>2276</v>
      </c>
      <c r="O183" s="1">
        <v>100</v>
      </c>
      <c r="P183" s="1" t="str">
        <f t="shared" si="25"/>
        <v>15+210</v>
      </c>
    </row>
    <row r="184" spans="1:16" x14ac:dyDescent="0.2">
      <c r="A184" t="s">
        <v>364</v>
      </c>
      <c r="B184" t="s">
        <v>365</v>
      </c>
      <c r="G184" s="1" t="str">
        <f t="shared" si="17"/>
        <v>104.5275</v>
      </c>
      <c r="H184" s="1" t="str">
        <f t="shared" si="18"/>
        <v xml:space="preserve"> 17.1808</v>
      </c>
      <c r="J184" s="1" t="str">
        <f t="shared" si="23"/>
        <v>LT39</v>
      </c>
      <c r="L184" s="1" t="str">
        <f t="shared" si="24"/>
        <v>SG</v>
      </c>
      <c r="N184" s="1">
        <v>2276</v>
      </c>
      <c r="O184" s="1">
        <v>100</v>
      </c>
      <c r="P184" s="1" t="str">
        <f t="shared" si="25"/>
        <v>15+255</v>
      </c>
    </row>
    <row r="185" spans="1:16" x14ac:dyDescent="0.2">
      <c r="A185" t="s">
        <v>366</v>
      </c>
      <c r="B185" t="s">
        <v>367</v>
      </c>
      <c r="G185" s="1" t="str">
        <f t="shared" si="17"/>
        <v>104.5276</v>
      </c>
      <c r="H185" s="1" t="str">
        <f t="shared" si="18"/>
        <v xml:space="preserve"> 17.1804</v>
      </c>
      <c r="J185" s="1" t="str">
        <f t="shared" si="23"/>
        <v>LT40</v>
      </c>
      <c r="L185" s="1" t="str">
        <f t="shared" si="24"/>
        <v>SG</v>
      </c>
      <c r="N185" s="1">
        <v>2276</v>
      </c>
      <c r="O185" s="1">
        <v>100</v>
      </c>
      <c r="P185" s="1" t="str">
        <f t="shared" si="25"/>
        <v>15+300</v>
      </c>
    </row>
    <row r="186" spans="1:16" x14ac:dyDescent="0.2">
      <c r="A186" t="s">
        <v>368</v>
      </c>
      <c r="B186" t="s">
        <v>369</v>
      </c>
      <c r="G186" s="1" t="str">
        <f t="shared" si="17"/>
        <v>104.5278</v>
      </c>
      <c r="H186" s="1" t="str">
        <f t="shared" si="18"/>
        <v xml:space="preserve"> 17.1800</v>
      </c>
      <c r="J186" s="1" t="str">
        <f t="shared" si="23"/>
        <v>LT41</v>
      </c>
      <c r="L186" s="1" t="str">
        <f t="shared" si="24"/>
        <v>SG</v>
      </c>
      <c r="N186" s="1">
        <v>2276</v>
      </c>
      <c r="O186" s="1">
        <v>100</v>
      </c>
      <c r="P186" s="1" t="str">
        <f t="shared" si="25"/>
        <v>15+345</v>
      </c>
    </row>
    <row r="187" spans="1:16" x14ac:dyDescent="0.2">
      <c r="A187" t="s">
        <v>370</v>
      </c>
      <c r="B187" t="s">
        <v>371</v>
      </c>
      <c r="G187" s="1" t="str">
        <f t="shared" si="17"/>
        <v>104.5279</v>
      </c>
      <c r="H187" s="1" t="str">
        <f t="shared" si="18"/>
        <v xml:space="preserve"> 17.1796</v>
      </c>
      <c r="J187" s="1" t="str">
        <f t="shared" si="23"/>
        <v>LT42</v>
      </c>
      <c r="L187" s="1" t="str">
        <f t="shared" si="24"/>
        <v>SG</v>
      </c>
      <c r="N187" s="1">
        <v>2276</v>
      </c>
      <c r="O187" s="1">
        <v>100</v>
      </c>
      <c r="P187" s="1" t="str">
        <f t="shared" si="25"/>
        <v>15+390</v>
      </c>
    </row>
    <row r="188" spans="1:16" x14ac:dyDescent="0.2">
      <c r="A188" t="s">
        <v>372</v>
      </c>
      <c r="B188" t="s">
        <v>373</v>
      </c>
      <c r="G188" s="1" t="str">
        <f t="shared" si="17"/>
        <v>104.5280</v>
      </c>
      <c r="H188" s="1" t="str">
        <f t="shared" si="18"/>
        <v xml:space="preserve"> 17.1793</v>
      </c>
      <c r="J188" s="1" t="str">
        <f t="shared" si="23"/>
        <v>LT43</v>
      </c>
      <c r="L188" s="1" t="str">
        <f t="shared" si="24"/>
        <v>SG</v>
      </c>
      <c r="N188" s="1">
        <v>2276</v>
      </c>
      <c r="O188" s="1">
        <v>100</v>
      </c>
      <c r="P188" s="1" t="str">
        <f t="shared" si="25"/>
        <v>15+435</v>
      </c>
    </row>
    <row r="189" spans="1:16" x14ac:dyDescent="0.2">
      <c r="A189" t="s">
        <v>374</v>
      </c>
      <c r="B189" t="s">
        <v>375</v>
      </c>
      <c r="G189" s="1" t="str">
        <f t="shared" si="17"/>
        <v>104.5281</v>
      </c>
      <c r="H189" s="1" t="str">
        <f t="shared" si="18"/>
        <v xml:space="preserve"> 17.1788</v>
      </c>
      <c r="J189" s="1" t="str">
        <f t="shared" si="23"/>
        <v>LT44</v>
      </c>
      <c r="L189" s="1" t="str">
        <f t="shared" si="24"/>
        <v>SG</v>
      </c>
      <c r="N189" s="1">
        <v>2276</v>
      </c>
      <c r="O189" s="1">
        <v>100</v>
      </c>
      <c r="P189" s="1" t="str">
        <f t="shared" si="25"/>
        <v>15+480</v>
      </c>
    </row>
    <row r="190" spans="1:16" x14ac:dyDescent="0.2">
      <c r="A190" t="s">
        <v>376</v>
      </c>
      <c r="B190" t="s">
        <v>377</v>
      </c>
      <c r="G190" s="1" t="str">
        <f t="shared" si="17"/>
        <v>104.5281</v>
      </c>
      <c r="H190" s="1" t="str">
        <f t="shared" si="18"/>
        <v xml:space="preserve"> 17.1784</v>
      </c>
      <c r="J190" s="1" t="str">
        <f t="shared" si="23"/>
        <v>LT45</v>
      </c>
      <c r="L190" s="1" t="str">
        <f t="shared" si="24"/>
        <v>SG</v>
      </c>
      <c r="N190" s="1">
        <v>2276</v>
      </c>
      <c r="O190" s="1">
        <v>100</v>
      </c>
      <c r="P190" s="1" t="str">
        <f t="shared" si="25"/>
        <v>15+525</v>
      </c>
    </row>
    <row r="191" spans="1:16" x14ac:dyDescent="0.2">
      <c r="A191" t="s">
        <v>378</v>
      </c>
      <c r="B191" t="s">
        <v>379</v>
      </c>
      <c r="G191" s="1" t="str">
        <f t="shared" si="17"/>
        <v>104.5285</v>
      </c>
      <c r="H191" s="1" t="str">
        <f t="shared" si="18"/>
        <v xml:space="preserve"> 17.1779</v>
      </c>
      <c r="J191" s="1" t="str">
        <f t="shared" si="23"/>
        <v>LT46</v>
      </c>
      <c r="L191" s="1" t="str">
        <f t="shared" si="24"/>
        <v>SG</v>
      </c>
      <c r="N191" s="1">
        <v>2276</v>
      </c>
      <c r="O191" s="1">
        <v>100</v>
      </c>
      <c r="P191" s="1" t="str">
        <f t="shared" si="25"/>
        <v>15+630</v>
      </c>
    </row>
    <row r="192" spans="1:16" x14ac:dyDescent="0.2">
      <c r="A192" t="s">
        <v>380</v>
      </c>
      <c r="B192" t="s">
        <v>381</v>
      </c>
      <c r="G192" s="1" t="str">
        <f t="shared" si="17"/>
        <v>104.5288</v>
      </c>
      <c r="H192" s="1" t="str">
        <f t="shared" si="18"/>
        <v xml:space="preserve"> 17.1776</v>
      </c>
      <c r="J192" s="1" t="str">
        <f t="shared" si="23"/>
        <v>LT47</v>
      </c>
      <c r="L192" s="1" t="str">
        <f t="shared" si="24"/>
        <v>SG</v>
      </c>
      <c r="N192" s="1">
        <v>2276</v>
      </c>
      <c r="O192" s="1">
        <v>100</v>
      </c>
      <c r="P192" s="1" t="str">
        <f t="shared" si="25"/>
        <v>15+675</v>
      </c>
    </row>
    <row r="193" spans="1:16" x14ac:dyDescent="0.2">
      <c r="A193" t="s">
        <v>382</v>
      </c>
      <c r="B193" t="s">
        <v>383</v>
      </c>
      <c r="G193" s="1" t="str">
        <f t="shared" si="17"/>
        <v>104.5307</v>
      </c>
      <c r="H193" s="1" t="str">
        <f t="shared" si="18"/>
        <v xml:space="preserve"> 17.1734</v>
      </c>
      <c r="J193" s="1" t="str">
        <f t="shared" si="23"/>
        <v>LT48</v>
      </c>
      <c r="L193" s="1" t="str">
        <f t="shared" si="24"/>
        <v>SG</v>
      </c>
      <c r="N193" s="1">
        <v>2276</v>
      </c>
      <c r="O193" s="1">
        <v>100</v>
      </c>
      <c r="P193" s="1" t="str">
        <f t="shared" si="25"/>
        <v>16+583</v>
      </c>
    </row>
    <row r="194" spans="1:16" x14ac:dyDescent="0.2">
      <c r="A194" t="s">
        <v>384</v>
      </c>
      <c r="B194" t="s">
        <v>385</v>
      </c>
      <c r="G194" s="1" t="str">
        <f t="shared" si="17"/>
        <v>104.5309</v>
      </c>
      <c r="H194" s="1" t="str">
        <f>MID(A194,18,7)</f>
        <v>17.1732</v>
      </c>
      <c r="J194" s="1" t="str">
        <f t="shared" si="23"/>
        <v>LT49</v>
      </c>
      <c r="L194" s="1" t="str">
        <f t="shared" si="24"/>
        <v>SG</v>
      </c>
      <c r="N194" s="1">
        <v>2276</v>
      </c>
      <c r="O194" s="1">
        <v>100</v>
      </c>
      <c r="P194" s="1" t="str">
        <f t="shared" si="25"/>
        <v>16+628</v>
      </c>
    </row>
    <row r="195" spans="1:16" x14ac:dyDescent="0.2">
      <c r="A195" t="s">
        <v>386</v>
      </c>
      <c r="B195" t="s">
        <v>387</v>
      </c>
      <c r="G195" s="1" t="str">
        <f t="shared" ref="G195:G258" si="26">MID(A195,8,8)</f>
        <v>104.5312</v>
      </c>
      <c r="H195" s="1" t="str">
        <f t="shared" ref="H195:H258" si="27">MID(A195,18,8)</f>
        <v xml:space="preserve"> 17.1731</v>
      </c>
      <c r="J195" s="1" t="str">
        <f t="shared" si="23"/>
        <v>LT50</v>
      </c>
      <c r="L195" s="1" t="str">
        <f t="shared" si="24"/>
        <v>SG</v>
      </c>
      <c r="N195" s="1">
        <v>2276</v>
      </c>
      <c r="O195" s="1">
        <v>100</v>
      </c>
      <c r="P195" s="1" t="str">
        <f t="shared" si="25"/>
        <v>16+673</v>
      </c>
    </row>
    <row r="196" spans="1:16" x14ac:dyDescent="0.2">
      <c r="A196" t="s">
        <v>388</v>
      </c>
      <c r="B196" t="s">
        <v>389</v>
      </c>
      <c r="G196" s="1" t="str">
        <f t="shared" si="26"/>
        <v>104.5315</v>
      </c>
      <c r="H196" s="1" t="str">
        <f t="shared" si="27"/>
        <v xml:space="preserve"> 17.1729</v>
      </c>
      <c r="J196" s="1" t="str">
        <f t="shared" si="23"/>
        <v>LT51</v>
      </c>
      <c r="L196" s="1" t="str">
        <f t="shared" si="24"/>
        <v>SG</v>
      </c>
      <c r="N196" s="1">
        <v>2276</v>
      </c>
      <c r="O196" s="1">
        <v>100</v>
      </c>
      <c r="P196" s="1" t="str">
        <f t="shared" si="25"/>
        <v>16+718</v>
      </c>
    </row>
    <row r="197" spans="1:16" x14ac:dyDescent="0.2">
      <c r="A197" t="s">
        <v>390</v>
      </c>
      <c r="B197" t="s">
        <v>391</v>
      </c>
      <c r="G197" s="1" t="str">
        <f t="shared" si="26"/>
        <v>104.5318</v>
      </c>
      <c r="H197" s="1" t="str">
        <f t="shared" si="27"/>
        <v xml:space="preserve"> 17.1727</v>
      </c>
      <c r="J197" s="1" t="str">
        <f t="shared" si="23"/>
        <v>LT52</v>
      </c>
      <c r="L197" s="1" t="str">
        <f t="shared" si="24"/>
        <v>SG</v>
      </c>
      <c r="N197" s="1">
        <v>2276</v>
      </c>
      <c r="O197" s="1">
        <v>100</v>
      </c>
      <c r="P197" s="1" t="str">
        <f t="shared" si="25"/>
        <v>16+763</v>
      </c>
    </row>
    <row r="198" spans="1:16" x14ac:dyDescent="0.2">
      <c r="A198" t="s">
        <v>392</v>
      </c>
      <c r="B198" t="s">
        <v>393</v>
      </c>
      <c r="G198" s="1" t="str">
        <f t="shared" si="26"/>
        <v>104.5320</v>
      </c>
      <c r="H198" s="1" t="str">
        <f t="shared" si="27"/>
        <v xml:space="preserve"> 17.1725</v>
      </c>
      <c r="J198" s="1" t="str">
        <f t="shared" si="23"/>
        <v>LT53</v>
      </c>
      <c r="L198" s="1" t="str">
        <f t="shared" si="24"/>
        <v>SG</v>
      </c>
      <c r="N198" s="1">
        <v>2276</v>
      </c>
      <c r="O198" s="1">
        <v>100</v>
      </c>
      <c r="P198" s="1" t="str">
        <f t="shared" si="25"/>
        <v>16+808</v>
      </c>
    </row>
    <row r="199" spans="1:16" x14ac:dyDescent="0.2">
      <c r="A199" t="s">
        <v>394</v>
      </c>
      <c r="B199" t="s">
        <v>395</v>
      </c>
      <c r="G199" s="1" t="str">
        <f t="shared" si="26"/>
        <v>104.5323</v>
      </c>
      <c r="H199" s="1" t="str">
        <f t="shared" si="27"/>
        <v xml:space="preserve"> 17.1723</v>
      </c>
      <c r="J199" s="1" t="str">
        <f t="shared" si="23"/>
        <v>LT54</v>
      </c>
      <c r="L199" s="1" t="str">
        <f t="shared" si="24"/>
        <v>SG</v>
      </c>
      <c r="N199" s="1">
        <v>2276</v>
      </c>
      <c r="O199" s="1">
        <v>100</v>
      </c>
      <c r="P199" s="1" t="str">
        <f t="shared" si="25"/>
        <v>16+853</v>
      </c>
    </row>
    <row r="200" spans="1:16" x14ac:dyDescent="0.2">
      <c r="A200" t="s">
        <v>396</v>
      </c>
      <c r="B200" t="s">
        <v>397</v>
      </c>
      <c r="G200" s="1" t="str">
        <f t="shared" si="26"/>
        <v>104.5327</v>
      </c>
      <c r="H200" s="1" t="str">
        <f t="shared" si="27"/>
        <v xml:space="preserve"> 17.1719</v>
      </c>
      <c r="J200" s="1" t="str">
        <f t="shared" si="23"/>
        <v>LT55</v>
      </c>
      <c r="L200" s="1" t="str">
        <f t="shared" si="24"/>
        <v>SG</v>
      </c>
      <c r="N200" s="1">
        <v>2276</v>
      </c>
      <c r="O200" s="1">
        <v>100</v>
      </c>
      <c r="P200" s="1" t="str">
        <f t="shared" si="25"/>
        <v>16+898</v>
      </c>
    </row>
    <row r="201" spans="1:16" x14ac:dyDescent="0.2">
      <c r="A201" t="s">
        <v>398</v>
      </c>
      <c r="B201" t="s">
        <v>399</v>
      </c>
      <c r="G201" s="1" t="str">
        <f t="shared" si="26"/>
        <v>104.5325</v>
      </c>
      <c r="H201" s="1" t="str">
        <f t="shared" si="27"/>
        <v xml:space="preserve"> 17.1721</v>
      </c>
      <c r="J201" s="1" t="str">
        <f t="shared" si="23"/>
        <v>LT56</v>
      </c>
      <c r="L201" s="1" t="str">
        <f t="shared" si="24"/>
        <v>SG</v>
      </c>
      <c r="N201" s="1">
        <v>2276</v>
      </c>
      <c r="O201" s="1">
        <v>100</v>
      </c>
      <c r="P201" s="1" t="str">
        <f t="shared" si="25"/>
        <v>16+943</v>
      </c>
    </row>
    <row r="202" spans="1:16" x14ac:dyDescent="0.2">
      <c r="A202" t="s">
        <v>400</v>
      </c>
      <c r="B202" t="s">
        <v>401</v>
      </c>
      <c r="G202" s="1" t="str">
        <f t="shared" si="26"/>
        <v>104.5331</v>
      </c>
      <c r="H202" s="1" t="str">
        <f t="shared" si="27"/>
        <v xml:space="preserve"> 17.1716</v>
      </c>
      <c r="J202" s="1" t="str">
        <f t="shared" si="23"/>
        <v>LT57</v>
      </c>
      <c r="L202" s="1" t="str">
        <f t="shared" si="24"/>
        <v>SG</v>
      </c>
      <c r="N202" s="1">
        <v>2276</v>
      </c>
      <c r="O202" s="1">
        <v>100</v>
      </c>
      <c r="P202" s="1" t="str">
        <f t="shared" si="25"/>
        <v>16+988</v>
      </c>
    </row>
    <row r="203" spans="1:16" x14ac:dyDescent="0.2">
      <c r="A203" t="s">
        <v>402</v>
      </c>
      <c r="B203" t="s">
        <v>403</v>
      </c>
      <c r="G203" s="1" t="str">
        <f t="shared" si="26"/>
        <v>104.5333</v>
      </c>
      <c r="H203" s="1" t="str">
        <f t="shared" si="27"/>
        <v xml:space="preserve">17.1715 </v>
      </c>
      <c r="J203" s="1" t="str">
        <f t="shared" si="23"/>
        <v>LT58</v>
      </c>
      <c r="L203" s="1" t="str">
        <f t="shared" si="24"/>
        <v>SG</v>
      </c>
      <c r="N203" s="1">
        <v>2276</v>
      </c>
      <c r="O203" s="1">
        <v>100</v>
      </c>
      <c r="P203" s="1" t="str">
        <f t="shared" si="25"/>
        <v>17+035</v>
      </c>
    </row>
    <row r="204" spans="1:16" x14ac:dyDescent="0.2">
      <c r="A204" t="s">
        <v>404</v>
      </c>
      <c r="B204" t="s">
        <v>405</v>
      </c>
      <c r="G204" s="1" t="str">
        <f t="shared" si="26"/>
        <v>104.5336</v>
      </c>
      <c r="H204" s="1" t="str">
        <f t="shared" si="27"/>
        <v xml:space="preserve"> 17.1713</v>
      </c>
      <c r="J204" s="1" t="str">
        <f t="shared" si="23"/>
        <v>LT59</v>
      </c>
      <c r="L204" s="1" t="str">
        <f t="shared" si="24"/>
        <v>SG</v>
      </c>
      <c r="N204" s="1">
        <v>2276</v>
      </c>
      <c r="O204" s="1">
        <v>100</v>
      </c>
      <c r="P204" s="1" t="str">
        <f t="shared" si="25"/>
        <v>17+080</v>
      </c>
    </row>
    <row r="205" spans="1:16" x14ac:dyDescent="0.2">
      <c r="A205" t="s">
        <v>406</v>
      </c>
      <c r="B205" t="s">
        <v>407</v>
      </c>
      <c r="G205" s="1" t="str">
        <f t="shared" si="26"/>
        <v>104.5338</v>
      </c>
      <c r="H205" s="1" t="str">
        <f t="shared" si="27"/>
        <v xml:space="preserve"> 17.1711</v>
      </c>
      <c r="J205" s="1" t="str">
        <f t="shared" si="23"/>
        <v>LT60</v>
      </c>
      <c r="L205" s="1" t="str">
        <f t="shared" si="24"/>
        <v>SG</v>
      </c>
      <c r="N205" s="1">
        <v>2276</v>
      </c>
      <c r="O205" s="1">
        <v>100</v>
      </c>
      <c r="P205" s="1" t="str">
        <f t="shared" si="25"/>
        <v>17+125</v>
      </c>
    </row>
    <row r="206" spans="1:16" x14ac:dyDescent="0.2">
      <c r="A206" t="s">
        <v>408</v>
      </c>
      <c r="B206" t="s">
        <v>409</v>
      </c>
      <c r="G206" s="1" t="str">
        <f t="shared" si="26"/>
        <v>104.5341</v>
      </c>
      <c r="H206" s="1" t="str">
        <f t="shared" si="27"/>
        <v xml:space="preserve"> 17.1709</v>
      </c>
      <c r="J206" s="1" t="str">
        <f t="shared" si="23"/>
        <v>LT61</v>
      </c>
      <c r="L206" s="1" t="str">
        <f t="shared" si="24"/>
        <v>SG</v>
      </c>
      <c r="N206" s="1">
        <v>2276</v>
      </c>
      <c r="O206" s="1">
        <v>100</v>
      </c>
      <c r="P206" s="1" t="str">
        <f t="shared" si="25"/>
        <v>17+170</v>
      </c>
    </row>
    <row r="207" spans="1:16" x14ac:dyDescent="0.2">
      <c r="A207" t="s">
        <v>410</v>
      </c>
      <c r="B207" t="s">
        <v>411</v>
      </c>
      <c r="G207" s="1" t="str">
        <f t="shared" si="26"/>
        <v>104.5406</v>
      </c>
      <c r="H207" s="1" t="str">
        <f t="shared" si="27"/>
        <v xml:space="preserve"> 17.1659</v>
      </c>
      <c r="J207" s="1" t="str">
        <f t="shared" si="23"/>
        <v>LT62</v>
      </c>
      <c r="L207" s="1" t="str">
        <f t="shared" si="24"/>
        <v>SG</v>
      </c>
      <c r="N207" s="1">
        <v>2276</v>
      </c>
      <c r="O207" s="1">
        <v>100</v>
      </c>
      <c r="P207" s="1" t="str">
        <f t="shared" si="25"/>
        <v>17+907</v>
      </c>
    </row>
    <row r="208" spans="1:16" x14ac:dyDescent="0.2">
      <c r="A208" t="s">
        <v>412</v>
      </c>
      <c r="B208" t="s">
        <v>413</v>
      </c>
      <c r="G208" s="1" t="str">
        <f t="shared" si="26"/>
        <v>104.5409</v>
      </c>
      <c r="H208" s="1" t="str">
        <f t="shared" si="27"/>
        <v xml:space="preserve"> 17.1657</v>
      </c>
      <c r="J208" s="1" t="str">
        <f t="shared" si="23"/>
        <v>LT63</v>
      </c>
      <c r="L208" s="1" t="str">
        <f t="shared" si="24"/>
        <v>SG</v>
      </c>
      <c r="N208" s="1">
        <v>2276</v>
      </c>
      <c r="O208" s="1">
        <v>100</v>
      </c>
      <c r="P208" s="1" t="str">
        <f t="shared" si="25"/>
        <v>17+952</v>
      </c>
    </row>
    <row r="209" spans="1:16" x14ac:dyDescent="0.2">
      <c r="A209" t="s">
        <v>414</v>
      </c>
      <c r="B209" t="s">
        <v>415</v>
      </c>
      <c r="G209" s="1" t="str">
        <f t="shared" si="26"/>
        <v>104.5413</v>
      </c>
      <c r="H209" s="1" t="str">
        <f t="shared" si="27"/>
        <v xml:space="preserve"> 17.1654</v>
      </c>
      <c r="J209" s="1" t="str">
        <f t="shared" si="23"/>
        <v>LT64</v>
      </c>
      <c r="L209" s="1" t="str">
        <f t="shared" si="24"/>
        <v>SG</v>
      </c>
      <c r="N209" s="1">
        <v>2276</v>
      </c>
      <c r="O209" s="1">
        <v>100</v>
      </c>
      <c r="P209" s="1" t="str">
        <f t="shared" si="25"/>
        <v>17+997</v>
      </c>
    </row>
    <row r="210" spans="1:16" x14ac:dyDescent="0.2">
      <c r="A210" t="s">
        <v>416</v>
      </c>
      <c r="B210" t="s">
        <v>417</v>
      </c>
      <c r="G210" s="1" t="str">
        <f t="shared" si="26"/>
        <v>104.5416</v>
      </c>
      <c r="H210" s="1" t="str">
        <f t="shared" si="27"/>
        <v xml:space="preserve"> 17.1652</v>
      </c>
      <c r="J210" s="1" t="str">
        <f t="shared" si="23"/>
        <v>LT65</v>
      </c>
      <c r="L210" s="1" t="str">
        <f t="shared" si="24"/>
        <v>SG</v>
      </c>
      <c r="N210" s="1">
        <v>2276</v>
      </c>
      <c r="O210" s="1">
        <v>100</v>
      </c>
      <c r="P210" s="1" t="str">
        <f t="shared" si="25"/>
        <v>18+042</v>
      </c>
    </row>
    <row r="211" spans="1:16" x14ac:dyDescent="0.2">
      <c r="A211" t="s">
        <v>418</v>
      </c>
      <c r="B211" t="s">
        <v>419</v>
      </c>
      <c r="G211" s="1" t="str">
        <f t="shared" si="26"/>
        <v>104.5419</v>
      </c>
      <c r="H211" s="1" t="str">
        <f t="shared" si="27"/>
        <v xml:space="preserve"> 17.1650</v>
      </c>
      <c r="J211" s="1" t="str">
        <f t="shared" si="23"/>
        <v>LT66</v>
      </c>
      <c r="L211" s="1" t="str">
        <f t="shared" si="24"/>
        <v>SG</v>
      </c>
      <c r="N211" s="1">
        <v>2276</v>
      </c>
      <c r="O211" s="1">
        <v>100</v>
      </c>
      <c r="P211" s="1" t="str">
        <f t="shared" si="25"/>
        <v>18+087</v>
      </c>
    </row>
    <row r="212" spans="1:16" x14ac:dyDescent="0.2">
      <c r="A212" t="s">
        <v>420</v>
      </c>
      <c r="B212" t="s">
        <v>421</v>
      </c>
      <c r="G212" s="1" t="str">
        <f t="shared" si="26"/>
        <v>104.5422</v>
      </c>
      <c r="H212" s="1" t="str">
        <f t="shared" si="27"/>
        <v xml:space="preserve"> 17.1647</v>
      </c>
      <c r="J212" s="1" t="str">
        <f t="shared" si="23"/>
        <v>LT67</v>
      </c>
      <c r="L212" s="1" t="str">
        <f t="shared" si="24"/>
        <v>SG</v>
      </c>
      <c r="N212" s="1">
        <v>2276</v>
      </c>
      <c r="O212" s="1">
        <v>100</v>
      </c>
      <c r="P212" s="1" t="str">
        <f t="shared" si="25"/>
        <v>18+132</v>
      </c>
    </row>
    <row r="213" spans="1:16" x14ac:dyDescent="0.2">
      <c r="A213" t="s">
        <v>422</v>
      </c>
      <c r="B213" t="s">
        <v>423</v>
      </c>
      <c r="G213" s="1" t="str">
        <f t="shared" si="26"/>
        <v>104.5425</v>
      </c>
      <c r="H213" s="1" t="str">
        <f t="shared" si="27"/>
        <v xml:space="preserve"> 17.1644</v>
      </c>
      <c r="J213" s="1" t="str">
        <f t="shared" si="23"/>
        <v>LT68</v>
      </c>
      <c r="L213" s="1" t="str">
        <f t="shared" si="24"/>
        <v>SG</v>
      </c>
      <c r="N213" s="1">
        <v>2276</v>
      </c>
      <c r="O213" s="1">
        <v>100</v>
      </c>
      <c r="P213" s="1" t="str">
        <f t="shared" si="25"/>
        <v>18+177</v>
      </c>
    </row>
    <row r="214" spans="1:16" x14ac:dyDescent="0.2">
      <c r="A214" t="s">
        <v>424</v>
      </c>
      <c r="B214" t="s">
        <v>425</v>
      </c>
      <c r="G214" s="1" t="str">
        <f t="shared" si="26"/>
        <v>104.5429</v>
      </c>
      <c r="H214" s="1" t="str">
        <f t="shared" si="27"/>
        <v xml:space="preserve"> 17.1641</v>
      </c>
      <c r="J214" s="1" t="str">
        <f t="shared" si="23"/>
        <v>LT69</v>
      </c>
      <c r="L214" s="1" t="str">
        <f t="shared" si="24"/>
        <v>SG</v>
      </c>
      <c r="N214" s="1">
        <v>2276</v>
      </c>
      <c r="O214" s="1">
        <v>100</v>
      </c>
      <c r="P214" s="1" t="str">
        <f t="shared" si="25"/>
        <v>18+222</v>
      </c>
    </row>
    <row r="215" spans="1:16" x14ac:dyDescent="0.2">
      <c r="A215" t="s">
        <v>426</v>
      </c>
      <c r="B215" t="s">
        <v>427</v>
      </c>
      <c r="G215" s="1" t="str">
        <f t="shared" si="26"/>
        <v>104.5432</v>
      </c>
      <c r="H215" s="1" t="str">
        <f t="shared" si="27"/>
        <v xml:space="preserve"> 17.1639</v>
      </c>
      <c r="J215" s="1" t="str">
        <f t="shared" si="23"/>
        <v>LT70</v>
      </c>
      <c r="L215" s="1" t="str">
        <f t="shared" si="24"/>
        <v>SG</v>
      </c>
      <c r="N215" s="1">
        <v>2276</v>
      </c>
      <c r="O215" s="1">
        <v>100</v>
      </c>
      <c r="P215" s="1" t="str">
        <f t="shared" si="25"/>
        <v>18+267</v>
      </c>
    </row>
    <row r="216" spans="1:16" x14ac:dyDescent="0.2">
      <c r="A216" t="s">
        <v>428</v>
      </c>
      <c r="B216" t="s">
        <v>429</v>
      </c>
      <c r="G216" s="1" t="str">
        <f t="shared" si="26"/>
        <v>104.5435</v>
      </c>
      <c r="H216" s="1" t="str">
        <f t="shared" si="27"/>
        <v xml:space="preserve"> 17.1635</v>
      </c>
      <c r="J216" s="1" t="str">
        <f t="shared" si="23"/>
        <v>LT71</v>
      </c>
      <c r="L216" s="1" t="str">
        <f t="shared" si="24"/>
        <v>SG</v>
      </c>
      <c r="N216" s="1">
        <v>2276</v>
      </c>
      <c r="O216" s="1">
        <v>100</v>
      </c>
      <c r="P216" s="1" t="str">
        <f t="shared" si="25"/>
        <v>18+312</v>
      </c>
    </row>
    <row r="217" spans="1:16" x14ac:dyDescent="0.2">
      <c r="A217" t="s">
        <v>430</v>
      </c>
      <c r="B217" t="s">
        <v>431</v>
      </c>
      <c r="G217" s="1" t="str">
        <f t="shared" si="26"/>
        <v>104.5438</v>
      </c>
      <c r="H217" s="1" t="str">
        <f t="shared" si="27"/>
        <v xml:space="preserve"> 17.1633</v>
      </c>
      <c r="J217" s="1" t="str">
        <f t="shared" si="23"/>
        <v>LT72</v>
      </c>
      <c r="L217" s="1" t="str">
        <f t="shared" si="24"/>
        <v>SG</v>
      </c>
      <c r="N217" s="1">
        <v>2276</v>
      </c>
      <c r="O217" s="1">
        <v>100</v>
      </c>
      <c r="P217" s="1" t="str">
        <f t="shared" si="25"/>
        <v>18+357</v>
      </c>
    </row>
    <row r="218" spans="1:16" x14ac:dyDescent="0.2">
      <c r="A218" t="s">
        <v>432</v>
      </c>
      <c r="B218" t="s">
        <v>433</v>
      </c>
      <c r="G218" s="1" t="str">
        <f t="shared" si="26"/>
        <v>104.5441</v>
      </c>
      <c r="H218" s="1" t="str">
        <f t="shared" si="27"/>
        <v xml:space="preserve"> 17.1630</v>
      </c>
      <c r="J218" s="1" t="str">
        <f t="shared" si="23"/>
        <v>LT73</v>
      </c>
      <c r="L218" s="1" t="str">
        <f t="shared" si="24"/>
        <v>SG</v>
      </c>
      <c r="N218" s="1">
        <v>2276</v>
      </c>
      <c r="O218" s="1">
        <v>100</v>
      </c>
      <c r="P218" s="1" t="str">
        <f t="shared" si="25"/>
        <v>18+402</v>
      </c>
    </row>
    <row r="219" spans="1:16" x14ac:dyDescent="0.2">
      <c r="A219" t="s">
        <v>434</v>
      </c>
      <c r="B219" t="s">
        <v>435</v>
      </c>
      <c r="G219" s="1" t="str">
        <f t="shared" si="26"/>
        <v>104.5443</v>
      </c>
      <c r="H219" s="1" t="str">
        <f t="shared" si="27"/>
        <v xml:space="preserve"> 17.1626</v>
      </c>
      <c r="J219" s="1" t="str">
        <f t="shared" si="23"/>
        <v>LT74</v>
      </c>
      <c r="L219" s="1" t="str">
        <f t="shared" si="24"/>
        <v>SG</v>
      </c>
      <c r="N219" s="1">
        <v>2276</v>
      </c>
      <c r="O219" s="1">
        <v>100</v>
      </c>
      <c r="P219" s="1" t="str">
        <f t="shared" si="25"/>
        <v>18+447</v>
      </c>
    </row>
    <row r="220" spans="1:16" x14ac:dyDescent="0.2">
      <c r="A220" t="s">
        <v>436</v>
      </c>
      <c r="B220" t="s">
        <v>437</v>
      </c>
      <c r="G220" s="1" t="str">
        <f t="shared" si="26"/>
        <v>104.5444</v>
      </c>
      <c r="H220" s="1" t="str">
        <f t="shared" si="27"/>
        <v xml:space="preserve"> 17.1622</v>
      </c>
      <c r="J220" s="1" t="str">
        <f t="shared" ref="J220:J244" si="28">MID(B220,1,4)</f>
        <v>LT75</v>
      </c>
      <c r="L220" s="1" t="str">
        <f t="shared" ref="L220:L244" si="29">MID(B220,6,2)</f>
        <v>SG</v>
      </c>
      <c r="N220" s="1">
        <v>2276</v>
      </c>
      <c r="O220" s="1">
        <v>100</v>
      </c>
      <c r="P220" s="1" t="str">
        <f t="shared" si="25"/>
        <v>18+492</v>
      </c>
    </row>
    <row r="221" spans="1:16" x14ac:dyDescent="0.2">
      <c r="A221" t="s">
        <v>438</v>
      </c>
      <c r="B221" t="s">
        <v>439</v>
      </c>
      <c r="G221" s="1" t="str">
        <f t="shared" si="26"/>
        <v>104.5500</v>
      </c>
      <c r="H221" s="1" t="str">
        <f t="shared" si="27"/>
        <v xml:space="preserve"> 17.1501</v>
      </c>
      <c r="J221" s="1" t="str">
        <f t="shared" si="28"/>
        <v>LT76</v>
      </c>
      <c r="L221" s="1" t="str">
        <f t="shared" si="29"/>
        <v>SG</v>
      </c>
      <c r="N221" s="1">
        <v>2276</v>
      </c>
      <c r="O221" s="1">
        <v>100</v>
      </c>
      <c r="P221" s="1" t="str">
        <f t="shared" si="25"/>
        <v>20+007</v>
      </c>
    </row>
    <row r="222" spans="1:16" x14ac:dyDescent="0.2">
      <c r="A222" t="s">
        <v>440</v>
      </c>
      <c r="B222" t="s">
        <v>441</v>
      </c>
      <c r="G222" s="1" t="str">
        <f t="shared" si="26"/>
        <v>104.5503</v>
      </c>
      <c r="H222" s="1" t="str">
        <f t="shared" si="27"/>
        <v xml:space="preserve"> 17.1497</v>
      </c>
      <c r="J222" s="1" t="str">
        <f t="shared" si="28"/>
        <v>LT77</v>
      </c>
      <c r="L222" s="1" t="str">
        <f t="shared" si="29"/>
        <v>SG</v>
      </c>
      <c r="N222" s="1">
        <v>2276</v>
      </c>
      <c r="O222" s="1">
        <v>100</v>
      </c>
      <c r="P222" s="1" t="str">
        <f t="shared" si="25"/>
        <v>20+052</v>
      </c>
    </row>
    <row r="223" spans="1:16" x14ac:dyDescent="0.2">
      <c r="A223" t="s">
        <v>442</v>
      </c>
      <c r="B223" t="s">
        <v>443</v>
      </c>
      <c r="G223" s="1" t="str">
        <f t="shared" si="26"/>
        <v>104.5506</v>
      </c>
      <c r="H223" s="1" t="str">
        <f t="shared" si="27"/>
        <v xml:space="preserve"> 17.1494</v>
      </c>
      <c r="J223" s="1" t="str">
        <f t="shared" si="28"/>
        <v>LT78</v>
      </c>
      <c r="L223" s="1" t="str">
        <f t="shared" si="29"/>
        <v>SG</v>
      </c>
      <c r="N223" s="1">
        <v>2276</v>
      </c>
      <c r="O223" s="1">
        <v>100</v>
      </c>
      <c r="P223" s="1" t="str">
        <f t="shared" si="25"/>
        <v>20+097</v>
      </c>
    </row>
    <row r="224" spans="1:16" x14ac:dyDescent="0.2">
      <c r="A224" t="s">
        <v>444</v>
      </c>
      <c r="B224" t="s">
        <v>445</v>
      </c>
      <c r="G224" s="1" t="str">
        <f t="shared" si="26"/>
        <v>104.5509</v>
      </c>
      <c r="H224" s="1" t="str">
        <f>MID(A224,18,7)</f>
        <v>17.1491</v>
      </c>
      <c r="J224" s="1" t="str">
        <f t="shared" si="28"/>
        <v>LT79</v>
      </c>
      <c r="L224" s="1" t="str">
        <f t="shared" si="29"/>
        <v>SG</v>
      </c>
      <c r="N224" s="1">
        <v>2276</v>
      </c>
      <c r="O224" s="1">
        <v>100</v>
      </c>
      <c r="P224" s="1" t="str">
        <f t="shared" si="25"/>
        <v>20+142</v>
      </c>
    </row>
    <row r="225" spans="1:16" x14ac:dyDescent="0.2">
      <c r="A225" t="s">
        <v>446</v>
      </c>
      <c r="B225" t="s">
        <v>447</v>
      </c>
      <c r="G225" s="1" t="str">
        <f t="shared" si="26"/>
        <v>104.5512</v>
      </c>
      <c r="H225" s="1" t="str">
        <f t="shared" si="27"/>
        <v xml:space="preserve"> 17.1488</v>
      </c>
      <c r="J225" s="1" t="str">
        <f t="shared" si="28"/>
        <v>LT80</v>
      </c>
      <c r="L225" s="1" t="str">
        <f t="shared" si="29"/>
        <v>SG</v>
      </c>
      <c r="N225" s="1">
        <v>2276</v>
      </c>
      <c r="O225" s="1">
        <v>100</v>
      </c>
      <c r="P225" s="1" t="str">
        <f t="shared" si="25"/>
        <v>20+187</v>
      </c>
    </row>
    <row r="226" spans="1:16" x14ac:dyDescent="0.2">
      <c r="A226" t="s">
        <v>448</v>
      </c>
      <c r="B226" t="s">
        <v>449</v>
      </c>
      <c r="G226" s="1" t="str">
        <f t="shared" si="26"/>
        <v>104.5515</v>
      </c>
      <c r="H226" s="1" t="str">
        <f t="shared" si="27"/>
        <v xml:space="preserve"> 17.1485</v>
      </c>
      <c r="J226" s="1" t="str">
        <f t="shared" si="28"/>
        <v>LT81</v>
      </c>
      <c r="L226" s="1" t="str">
        <f t="shared" si="29"/>
        <v>SG</v>
      </c>
      <c r="N226" s="1">
        <v>2276</v>
      </c>
      <c r="O226" s="1">
        <v>100</v>
      </c>
      <c r="P226" s="1" t="str">
        <f t="shared" si="25"/>
        <v>20+232</v>
      </c>
    </row>
    <row r="227" spans="1:16" x14ac:dyDescent="0.2">
      <c r="A227" t="s">
        <v>450</v>
      </c>
      <c r="B227" t="s">
        <v>451</v>
      </c>
      <c r="G227" s="1" t="str">
        <f t="shared" si="26"/>
        <v>104.5517</v>
      </c>
      <c r="H227" s="1" t="str">
        <f t="shared" si="27"/>
        <v xml:space="preserve"> 17.1482</v>
      </c>
      <c r="J227" s="1" t="str">
        <f t="shared" si="28"/>
        <v>LT82</v>
      </c>
      <c r="L227" s="1" t="str">
        <f t="shared" si="29"/>
        <v>SG</v>
      </c>
      <c r="N227" s="1">
        <v>2276</v>
      </c>
      <c r="O227" s="1">
        <v>100</v>
      </c>
      <c r="P227" s="1" t="str">
        <f t="shared" si="25"/>
        <v>20+277</v>
      </c>
    </row>
    <row r="228" spans="1:16" x14ac:dyDescent="0.2">
      <c r="A228" t="s">
        <v>452</v>
      </c>
      <c r="B228" t="s">
        <v>453</v>
      </c>
      <c r="G228" s="1" t="str">
        <f t="shared" si="26"/>
        <v>104.5520</v>
      </c>
      <c r="H228" s="1" t="str">
        <f t="shared" si="27"/>
        <v xml:space="preserve"> 17.1480</v>
      </c>
      <c r="J228" s="1" t="str">
        <f t="shared" si="28"/>
        <v>LT83</v>
      </c>
      <c r="L228" s="1" t="str">
        <f t="shared" si="29"/>
        <v>SG</v>
      </c>
      <c r="N228" s="1">
        <v>2276</v>
      </c>
      <c r="O228" s="1">
        <v>100</v>
      </c>
      <c r="P228" s="1" t="str">
        <f t="shared" si="25"/>
        <v>20+322</v>
      </c>
    </row>
    <row r="229" spans="1:16" x14ac:dyDescent="0.2">
      <c r="A229" t="s">
        <v>454</v>
      </c>
      <c r="B229" t="s">
        <v>455</v>
      </c>
      <c r="G229" s="1" t="str">
        <f t="shared" si="26"/>
        <v>104.5524</v>
      </c>
      <c r="H229" s="1" t="str">
        <f t="shared" si="27"/>
        <v xml:space="preserve"> 17.1476</v>
      </c>
      <c r="J229" s="1" t="str">
        <f t="shared" si="28"/>
        <v>LT84</v>
      </c>
      <c r="L229" s="1" t="str">
        <f t="shared" si="29"/>
        <v>SG</v>
      </c>
      <c r="N229" s="1">
        <v>2276</v>
      </c>
      <c r="O229" s="1">
        <v>100</v>
      </c>
      <c r="P229" s="1" t="str">
        <f t="shared" si="25"/>
        <v>20+367</v>
      </c>
    </row>
    <row r="230" spans="1:16" x14ac:dyDescent="0.2">
      <c r="A230" t="s">
        <v>456</v>
      </c>
      <c r="B230" t="s">
        <v>457</v>
      </c>
      <c r="G230" s="1" t="str">
        <f t="shared" si="26"/>
        <v>104.5526</v>
      </c>
      <c r="H230" s="1" t="str">
        <f t="shared" si="27"/>
        <v xml:space="preserve"> 17.1472</v>
      </c>
      <c r="J230" s="1" t="str">
        <f t="shared" si="28"/>
        <v>LT85</v>
      </c>
      <c r="L230" s="1" t="str">
        <f t="shared" si="29"/>
        <v>SG</v>
      </c>
      <c r="N230" s="1">
        <v>2276</v>
      </c>
      <c r="O230" s="1">
        <v>100</v>
      </c>
      <c r="P230" s="1" t="str">
        <f t="shared" si="25"/>
        <v>20+412</v>
      </c>
    </row>
    <row r="231" spans="1:16" x14ac:dyDescent="0.2">
      <c r="A231" t="s">
        <v>458</v>
      </c>
      <c r="B231" t="s">
        <v>459</v>
      </c>
      <c r="G231" s="1" t="str">
        <f t="shared" si="26"/>
        <v>104.5527</v>
      </c>
      <c r="H231" s="1" t="str">
        <f t="shared" si="27"/>
        <v xml:space="preserve"> 17.1469</v>
      </c>
      <c r="J231" s="1" t="str">
        <f t="shared" si="28"/>
        <v>LT86</v>
      </c>
      <c r="L231" s="1" t="str">
        <f t="shared" si="29"/>
        <v>SG</v>
      </c>
      <c r="N231" s="1">
        <v>2276</v>
      </c>
      <c r="O231" s="1">
        <v>100</v>
      </c>
      <c r="P231" s="1" t="str">
        <f t="shared" si="25"/>
        <v>20+457</v>
      </c>
    </row>
    <row r="232" spans="1:16" x14ac:dyDescent="0.2">
      <c r="A232" t="s">
        <v>460</v>
      </c>
      <c r="B232" t="s">
        <v>461</v>
      </c>
      <c r="G232" s="1" t="str">
        <f t="shared" si="26"/>
        <v>104.5529</v>
      </c>
      <c r="H232" s="1" t="str">
        <f t="shared" si="27"/>
        <v xml:space="preserve"> 17.1467</v>
      </c>
      <c r="J232" s="1" t="str">
        <f t="shared" si="28"/>
        <v>LT87</v>
      </c>
      <c r="L232" s="1" t="str">
        <f t="shared" si="29"/>
        <v>SG</v>
      </c>
      <c r="N232" s="1">
        <v>2276</v>
      </c>
      <c r="O232" s="1">
        <v>100</v>
      </c>
      <c r="P232" s="1" t="str">
        <f t="shared" si="25"/>
        <v>20+502</v>
      </c>
    </row>
    <row r="233" spans="1:16" x14ac:dyDescent="0.2">
      <c r="A233" t="s">
        <v>462</v>
      </c>
      <c r="B233" t="s">
        <v>463</v>
      </c>
      <c r="G233" s="1" t="str">
        <f t="shared" si="26"/>
        <v>104.5533</v>
      </c>
      <c r="H233" s="1" t="str">
        <f t="shared" si="27"/>
        <v xml:space="preserve"> 17.1466</v>
      </c>
      <c r="J233" s="1" t="str">
        <f t="shared" si="28"/>
        <v>LT88</v>
      </c>
      <c r="L233" s="1" t="str">
        <f t="shared" si="29"/>
        <v>SG</v>
      </c>
      <c r="N233" s="1">
        <v>2276</v>
      </c>
      <c r="O233" s="1">
        <v>100</v>
      </c>
      <c r="P233" s="1" t="str">
        <f t="shared" si="25"/>
        <v>20+547</v>
      </c>
    </row>
    <row r="234" spans="1:16" x14ac:dyDescent="0.2">
      <c r="A234" t="s">
        <v>464</v>
      </c>
      <c r="B234" t="s">
        <v>465</v>
      </c>
      <c r="G234" s="1" t="str">
        <f t="shared" si="26"/>
        <v>104.5538</v>
      </c>
      <c r="H234" s="1" t="str">
        <f>MID(A234,18,7)</f>
        <v>17.1464</v>
      </c>
      <c r="J234" s="1" t="str">
        <f t="shared" si="28"/>
        <v>LT89</v>
      </c>
      <c r="L234" s="1" t="str">
        <f t="shared" si="29"/>
        <v>SG</v>
      </c>
      <c r="N234" s="1">
        <v>2276</v>
      </c>
      <c r="O234" s="1">
        <v>100</v>
      </c>
      <c r="P234" s="1" t="str">
        <f t="shared" ref="P234:P244" si="30">MID(B234,19,6)</f>
        <v>20+592</v>
      </c>
    </row>
    <row r="235" spans="1:16" x14ac:dyDescent="0.2">
      <c r="A235" t="s">
        <v>466</v>
      </c>
      <c r="B235" t="s">
        <v>467</v>
      </c>
      <c r="G235" s="1" t="str">
        <f t="shared" si="26"/>
        <v>104.5541</v>
      </c>
      <c r="H235" s="1" t="str">
        <f t="shared" si="27"/>
        <v xml:space="preserve"> 17.1462</v>
      </c>
      <c r="J235" s="1" t="str">
        <f t="shared" si="28"/>
        <v>LT90</v>
      </c>
      <c r="L235" s="1" t="str">
        <f t="shared" si="29"/>
        <v>SG</v>
      </c>
      <c r="N235" s="1">
        <v>2276</v>
      </c>
      <c r="O235" s="1">
        <v>100</v>
      </c>
      <c r="P235" s="1" t="str">
        <f t="shared" si="30"/>
        <v>20+637</v>
      </c>
    </row>
    <row r="236" spans="1:16" x14ac:dyDescent="0.2">
      <c r="A236" t="s">
        <v>468</v>
      </c>
      <c r="B236" t="s">
        <v>469</v>
      </c>
      <c r="G236" s="1" t="str">
        <f t="shared" si="26"/>
        <v>104.5545</v>
      </c>
      <c r="H236" s="1" t="str">
        <f t="shared" si="27"/>
        <v xml:space="preserve"> 17.1459</v>
      </c>
      <c r="J236" s="1" t="str">
        <f t="shared" si="28"/>
        <v>LT91</v>
      </c>
      <c r="L236" s="1" t="str">
        <f t="shared" si="29"/>
        <v>SG</v>
      </c>
      <c r="N236" s="1">
        <v>2276</v>
      </c>
      <c r="O236" s="1">
        <v>100</v>
      </c>
      <c r="P236" s="1" t="str">
        <f t="shared" si="30"/>
        <v>20+682</v>
      </c>
    </row>
    <row r="237" spans="1:16" x14ac:dyDescent="0.2">
      <c r="A237" t="s">
        <v>470</v>
      </c>
      <c r="B237" t="s">
        <v>471</v>
      </c>
      <c r="G237" s="1" t="str">
        <f t="shared" si="26"/>
        <v>104.5548</v>
      </c>
      <c r="H237" s="1" t="str">
        <f t="shared" si="27"/>
        <v xml:space="preserve"> 17.1458</v>
      </c>
      <c r="J237" s="1" t="str">
        <f t="shared" si="28"/>
        <v>LT92</v>
      </c>
      <c r="L237" s="1" t="str">
        <f t="shared" si="29"/>
        <v>SG</v>
      </c>
      <c r="N237" s="1">
        <v>2276</v>
      </c>
      <c r="O237" s="1">
        <v>100</v>
      </c>
      <c r="P237" s="1" t="str">
        <f t="shared" si="30"/>
        <v>20+727</v>
      </c>
    </row>
    <row r="238" spans="1:16" x14ac:dyDescent="0.2">
      <c r="A238" t="s">
        <v>472</v>
      </c>
      <c r="B238" t="s">
        <v>473</v>
      </c>
      <c r="G238" s="1" t="str">
        <f t="shared" si="26"/>
        <v>104.5551</v>
      </c>
      <c r="H238" s="1" t="str">
        <f>MID(A238,18,7)</f>
        <v>17.1455</v>
      </c>
      <c r="J238" s="1" t="str">
        <f t="shared" si="28"/>
        <v>LT93</v>
      </c>
      <c r="L238" s="1" t="str">
        <f t="shared" si="29"/>
        <v>SG</v>
      </c>
      <c r="N238" s="1">
        <v>2276</v>
      </c>
      <c r="O238" s="1">
        <v>100</v>
      </c>
      <c r="P238" s="1" t="str">
        <f t="shared" si="30"/>
        <v>20+772</v>
      </c>
    </row>
    <row r="239" spans="1:16" x14ac:dyDescent="0.2">
      <c r="A239" t="s">
        <v>474</v>
      </c>
      <c r="B239" t="s">
        <v>475</v>
      </c>
      <c r="G239" s="1" t="str">
        <f t="shared" si="26"/>
        <v>104.5555</v>
      </c>
      <c r="H239" s="1" t="str">
        <f t="shared" si="27"/>
        <v xml:space="preserve"> 17.1452</v>
      </c>
      <c r="J239" s="1" t="str">
        <f t="shared" si="28"/>
        <v>LT94</v>
      </c>
      <c r="L239" s="1" t="str">
        <f t="shared" si="29"/>
        <v>SG</v>
      </c>
      <c r="N239" s="1">
        <v>2276</v>
      </c>
      <c r="O239" s="1">
        <v>100</v>
      </c>
      <c r="P239" s="1" t="str">
        <f t="shared" si="30"/>
        <v>20+817</v>
      </c>
    </row>
    <row r="240" spans="1:16" x14ac:dyDescent="0.2">
      <c r="A240" t="s">
        <v>476</v>
      </c>
      <c r="B240" t="s">
        <v>477</v>
      </c>
      <c r="G240" s="1" t="str">
        <f t="shared" si="26"/>
        <v>104.5558</v>
      </c>
      <c r="H240" s="1" t="str">
        <f t="shared" si="27"/>
        <v xml:space="preserve"> 17.1450</v>
      </c>
      <c r="J240" s="1" t="str">
        <f t="shared" si="28"/>
        <v>LT95</v>
      </c>
      <c r="L240" s="1" t="str">
        <f t="shared" si="29"/>
        <v>SG</v>
      </c>
      <c r="N240" s="1">
        <v>2276</v>
      </c>
      <c r="O240" s="1">
        <v>100</v>
      </c>
      <c r="P240" s="1" t="str">
        <f t="shared" si="30"/>
        <v>20+862</v>
      </c>
    </row>
    <row r="241" spans="1:16" x14ac:dyDescent="0.2">
      <c r="A241" t="s">
        <v>478</v>
      </c>
      <c r="B241" t="s">
        <v>479</v>
      </c>
      <c r="G241" s="1" t="str">
        <f t="shared" si="26"/>
        <v>104.5562</v>
      </c>
      <c r="H241" s="1" t="str">
        <f t="shared" si="27"/>
        <v xml:space="preserve"> 17.1448</v>
      </c>
      <c r="J241" s="1" t="str">
        <f t="shared" si="28"/>
        <v>LT96</v>
      </c>
      <c r="L241" s="1" t="str">
        <f t="shared" si="29"/>
        <v>SG</v>
      </c>
      <c r="N241" s="1">
        <v>2276</v>
      </c>
      <c r="O241" s="1">
        <v>100</v>
      </c>
      <c r="P241" s="1" t="str">
        <f t="shared" si="30"/>
        <v>20+907</v>
      </c>
    </row>
    <row r="242" spans="1:16" x14ac:dyDescent="0.2">
      <c r="A242" t="s">
        <v>480</v>
      </c>
      <c r="B242" t="s">
        <v>481</v>
      </c>
      <c r="G242" s="1" t="str">
        <f t="shared" si="26"/>
        <v>104.5565</v>
      </c>
      <c r="H242" s="1" t="str">
        <f t="shared" si="27"/>
        <v xml:space="preserve"> 17.1446</v>
      </c>
      <c r="J242" s="1" t="str">
        <f t="shared" si="28"/>
        <v>LT97</v>
      </c>
      <c r="L242" s="1" t="str">
        <f t="shared" si="29"/>
        <v>SG</v>
      </c>
      <c r="N242" s="1">
        <v>2276</v>
      </c>
      <c r="O242" s="1">
        <v>100</v>
      </c>
      <c r="P242" s="1" t="str">
        <f t="shared" si="30"/>
        <v>20+952</v>
      </c>
    </row>
    <row r="243" spans="1:16" x14ac:dyDescent="0.2">
      <c r="A243" t="s">
        <v>482</v>
      </c>
      <c r="B243" t="s">
        <v>483</v>
      </c>
      <c r="G243" s="1" t="str">
        <f t="shared" si="26"/>
        <v>104.5569</v>
      </c>
      <c r="H243" s="1" t="str">
        <f t="shared" si="27"/>
        <v xml:space="preserve"> 17.1443</v>
      </c>
      <c r="J243" s="1" t="str">
        <f t="shared" si="28"/>
        <v>LT98</v>
      </c>
      <c r="L243" s="1" t="str">
        <f t="shared" si="29"/>
        <v>SG</v>
      </c>
      <c r="N243" s="1">
        <v>2276</v>
      </c>
      <c r="O243" s="1">
        <v>100</v>
      </c>
      <c r="P243" s="1" t="str">
        <f t="shared" si="30"/>
        <v>20+997</v>
      </c>
    </row>
    <row r="244" spans="1:16" x14ac:dyDescent="0.2">
      <c r="A244" t="s">
        <v>484</v>
      </c>
      <c r="B244" t="s">
        <v>485</v>
      </c>
      <c r="G244" s="1" t="str">
        <f t="shared" si="26"/>
        <v>104.5572</v>
      </c>
      <c r="H244" s="1" t="str">
        <f t="shared" si="27"/>
        <v xml:space="preserve"> 17.1441</v>
      </c>
      <c r="J244" s="1" t="str">
        <f t="shared" si="28"/>
        <v>LT99</v>
      </c>
      <c r="L244" s="1" t="str">
        <f t="shared" si="29"/>
        <v>SG</v>
      </c>
      <c r="N244" s="1">
        <v>2276</v>
      </c>
      <c r="O244" s="1">
        <v>100</v>
      </c>
      <c r="P244" s="1" t="str">
        <f t="shared" si="30"/>
        <v>21+042</v>
      </c>
    </row>
    <row r="245" spans="1:16" x14ac:dyDescent="0.2">
      <c r="A245" t="s">
        <v>486</v>
      </c>
      <c r="B245" t="s">
        <v>487</v>
      </c>
      <c r="G245" s="1" t="str">
        <f t="shared" si="26"/>
        <v>104.5576</v>
      </c>
      <c r="H245" s="1" t="str">
        <f t="shared" si="27"/>
        <v xml:space="preserve"> 17.1438</v>
      </c>
      <c r="J245" s="1" t="str">
        <f>MID(B245,1,5)</f>
        <v>LT100</v>
      </c>
      <c r="L245" s="1" t="str">
        <f>MID(B245,7,2)</f>
        <v>SG</v>
      </c>
      <c r="N245" s="1">
        <v>2276</v>
      </c>
      <c r="O245" s="1">
        <v>100</v>
      </c>
      <c r="P245" s="1" t="str">
        <f>MID(B245,20,6)</f>
        <v>21+087</v>
      </c>
    </row>
    <row r="246" spans="1:16" x14ac:dyDescent="0.2">
      <c r="A246" t="s">
        <v>488</v>
      </c>
      <c r="B246" t="s">
        <v>489</v>
      </c>
      <c r="G246" s="1" t="str">
        <f t="shared" si="26"/>
        <v>104.5579</v>
      </c>
      <c r="H246" s="1" t="str">
        <f t="shared" si="27"/>
        <v xml:space="preserve"> 17.1436</v>
      </c>
      <c r="J246" s="1" t="str">
        <f t="shared" ref="J246:J299" si="31">MID(B246,1,5)</f>
        <v>LT101</v>
      </c>
      <c r="L246" s="1" t="str">
        <f t="shared" ref="L246:L299" si="32">MID(B246,7,2)</f>
        <v>SG</v>
      </c>
      <c r="N246" s="1">
        <v>2276</v>
      </c>
      <c r="O246" s="1">
        <v>100</v>
      </c>
      <c r="P246" s="1" t="str">
        <f t="shared" ref="P246:P299" si="33">MID(B246,20,6)</f>
        <v>21+132</v>
      </c>
    </row>
    <row r="247" spans="1:16" x14ac:dyDescent="0.2">
      <c r="A247" t="s">
        <v>490</v>
      </c>
      <c r="B247" t="s">
        <v>491</v>
      </c>
      <c r="G247" s="1" t="str">
        <f t="shared" si="26"/>
        <v>104.5583</v>
      </c>
      <c r="H247" s="1" t="str">
        <f t="shared" si="27"/>
        <v xml:space="preserve"> 17.1434</v>
      </c>
      <c r="J247" s="1" t="str">
        <f t="shared" si="31"/>
        <v>LT102</v>
      </c>
      <c r="L247" s="1" t="str">
        <f t="shared" si="32"/>
        <v>SG</v>
      </c>
      <c r="N247" s="1">
        <v>2276</v>
      </c>
      <c r="O247" s="1">
        <v>100</v>
      </c>
      <c r="P247" s="1" t="str">
        <f t="shared" si="33"/>
        <v>21+177</v>
      </c>
    </row>
    <row r="248" spans="1:16" x14ac:dyDescent="0.2">
      <c r="A248" t="s">
        <v>492</v>
      </c>
      <c r="B248" t="s">
        <v>493</v>
      </c>
      <c r="G248" s="1" t="str">
        <f t="shared" si="26"/>
        <v>104.5586</v>
      </c>
      <c r="H248" s="1" t="str">
        <f t="shared" si="27"/>
        <v xml:space="preserve"> 17.1432</v>
      </c>
      <c r="J248" s="1" t="str">
        <f t="shared" si="31"/>
        <v>LT103</v>
      </c>
      <c r="L248" s="1" t="str">
        <f t="shared" si="32"/>
        <v>SG</v>
      </c>
      <c r="N248" s="1">
        <v>2276</v>
      </c>
      <c r="O248" s="1">
        <v>100</v>
      </c>
      <c r="P248" s="1" t="str">
        <f t="shared" si="33"/>
        <v>21+222</v>
      </c>
    </row>
    <row r="249" spans="1:16" x14ac:dyDescent="0.2">
      <c r="A249" t="s">
        <v>494</v>
      </c>
      <c r="B249" t="s">
        <v>495</v>
      </c>
      <c r="G249" s="1" t="str">
        <f t="shared" si="26"/>
        <v>104.5590</v>
      </c>
      <c r="H249" s="1" t="str">
        <f t="shared" si="27"/>
        <v xml:space="preserve"> 17.1431</v>
      </c>
      <c r="J249" s="1" t="str">
        <f t="shared" si="31"/>
        <v>LT104</v>
      </c>
      <c r="L249" s="1" t="str">
        <f t="shared" si="32"/>
        <v>SG</v>
      </c>
      <c r="N249" s="1">
        <v>2276</v>
      </c>
      <c r="O249" s="1">
        <v>100</v>
      </c>
      <c r="P249" s="1" t="str">
        <f t="shared" si="33"/>
        <v>21+267</v>
      </c>
    </row>
    <row r="250" spans="1:16" x14ac:dyDescent="0.2">
      <c r="A250" t="s">
        <v>496</v>
      </c>
      <c r="B250" t="s">
        <v>497</v>
      </c>
      <c r="G250" s="1" t="str">
        <f t="shared" si="26"/>
        <v>104.5594</v>
      </c>
      <c r="H250" s="1" t="str">
        <f t="shared" si="27"/>
        <v xml:space="preserve"> 17.1428</v>
      </c>
      <c r="J250" s="1" t="str">
        <f t="shared" si="31"/>
        <v>LT105</v>
      </c>
      <c r="L250" s="1" t="str">
        <f t="shared" si="32"/>
        <v>SG</v>
      </c>
      <c r="N250" s="1">
        <v>2276</v>
      </c>
      <c r="O250" s="1">
        <v>100</v>
      </c>
      <c r="P250" s="1" t="str">
        <f t="shared" si="33"/>
        <v>21+312</v>
      </c>
    </row>
    <row r="251" spans="1:16" x14ac:dyDescent="0.2">
      <c r="A251" t="s">
        <v>498</v>
      </c>
      <c r="B251" t="s">
        <v>499</v>
      </c>
      <c r="G251" s="1" t="str">
        <f t="shared" si="26"/>
        <v>104.5638</v>
      </c>
      <c r="H251" s="1" t="str">
        <f t="shared" si="27"/>
        <v xml:space="preserve"> 17.1382</v>
      </c>
      <c r="J251" s="1" t="str">
        <f t="shared" si="31"/>
        <v>LT106</v>
      </c>
      <c r="L251" s="1" t="str">
        <f t="shared" si="32"/>
        <v>SG</v>
      </c>
      <c r="N251" s="1">
        <v>2276</v>
      </c>
      <c r="O251" s="1">
        <v>100</v>
      </c>
      <c r="P251" s="1" t="str">
        <f t="shared" si="33"/>
        <v>22+007</v>
      </c>
    </row>
    <row r="252" spans="1:16" x14ac:dyDescent="0.2">
      <c r="A252" t="s">
        <v>500</v>
      </c>
      <c r="B252" t="s">
        <v>501</v>
      </c>
      <c r="G252" s="1" t="str">
        <f t="shared" si="26"/>
        <v>104.5641</v>
      </c>
      <c r="H252" s="1" t="str">
        <f t="shared" si="27"/>
        <v xml:space="preserve"> 17.1380</v>
      </c>
      <c r="J252" s="1" t="str">
        <f t="shared" si="31"/>
        <v>LT107</v>
      </c>
      <c r="L252" s="1" t="str">
        <f t="shared" si="32"/>
        <v>SG</v>
      </c>
      <c r="N252" s="1">
        <v>2276</v>
      </c>
      <c r="O252" s="1">
        <v>100</v>
      </c>
      <c r="P252" s="1" t="str">
        <f t="shared" si="33"/>
        <v>22+052</v>
      </c>
    </row>
    <row r="253" spans="1:16" x14ac:dyDescent="0.2">
      <c r="A253" t="s">
        <v>502</v>
      </c>
      <c r="B253" t="s">
        <v>503</v>
      </c>
      <c r="G253" s="1" t="str">
        <f t="shared" si="26"/>
        <v>104.5645</v>
      </c>
      <c r="H253" s="1" t="str">
        <f t="shared" si="27"/>
        <v xml:space="preserve"> 17.1378</v>
      </c>
      <c r="J253" s="1" t="str">
        <f t="shared" si="31"/>
        <v>LT108</v>
      </c>
      <c r="L253" s="1" t="str">
        <f t="shared" si="32"/>
        <v>SG</v>
      </c>
      <c r="N253" s="1">
        <v>2276</v>
      </c>
      <c r="O253" s="1">
        <v>100</v>
      </c>
      <c r="P253" s="1" t="str">
        <f t="shared" si="33"/>
        <v>22+097</v>
      </c>
    </row>
    <row r="254" spans="1:16" x14ac:dyDescent="0.2">
      <c r="A254" t="s">
        <v>504</v>
      </c>
      <c r="B254" t="s">
        <v>505</v>
      </c>
      <c r="G254" s="1" t="str">
        <f t="shared" si="26"/>
        <v>104.5649</v>
      </c>
      <c r="H254" s="1" t="str">
        <f t="shared" si="27"/>
        <v xml:space="preserve"> 17.1376</v>
      </c>
      <c r="J254" s="1" t="str">
        <f t="shared" si="31"/>
        <v>LT109</v>
      </c>
      <c r="L254" s="1" t="str">
        <f t="shared" si="32"/>
        <v>SG</v>
      </c>
      <c r="N254" s="1">
        <v>2276</v>
      </c>
      <c r="O254" s="1">
        <v>100</v>
      </c>
      <c r="P254" s="1" t="str">
        <f t="shared" si="33"/>
        <v>22+142</v>
      </c>
    </row>
    <row r="255" spans="1:16" x14ac:dyDescent="0.2">
      <c r="A255" t="s">
        <v>506</v>
      </c>
      <c r="B255" t="s">
        <v>507</v>
      </c>
      <c r="G255" s="1" t="str">
        <f t="shared" si="26"/>
        <v>104.5653</v>
      </c>
      <c r="H255" s="1" t="str">
        <f t="shared" si="27"/>
        <v xml:space="preserve"> 17.1374</v>
      </c>
      <c r="J255" s="1" t="str">
        <f t="shared" si="31"/>
        <v>LT110</v>
      </c>
      <c r="L255" s="1" t="str">
        <f t="shared" si="32"/>
        <v>SG</v>
      </c>
      <c r="N255" s="1">
        <v>2276</v>
      </c>
      <c r="O255" s="1">
        <v>100</v>
      </c>
      <c r="P255" s="1" t="str">
        <f t="shared" si="33"/>
        <v>22+187</v>
      </c>
    </row>
    <row r="256" spans="1:16" x14ac:dyDescent="0.2">
      <c r="A256" t="s">
        <v>508</v>
      </c>
      <c r="B256" t="s">
        <v>509</v>
      </c>
      <c r="G256" s="1" t="str">
        <f t="shared" si="26"/>
        <v>104.5656</v>
      </c>
      <c r="H256" s="1" t="str">
        <f t="shared" si="27"/>
        <v xml:space="preserve"> 17.1372</v>
      </c>
      <c r="J256" s="1" t="str">
        <f t="shared" si="31"/>
        <v>LT111</v>
      </c>
      <c r="L256" s="1" t="str">
        <f t="shared" si="32"/>
        <v>SG</v>
      </c>
      <c r="N256" s="1">
        <v>2276</v>
      </c>
      <c r="O256" s="1">
        <v>100</v>
      </c>
      <c r="P256" s="1" t="str">
        <f t="shared" si="33"/>
        <v>22+232</v>
      </c>
    </row>
    <row r="257" spans="1:16" x14ac:dyDescent="0.2">
      <c r="A257" t="s">
        <v>510</v>
      </c>
      <c r="B257" t="s">
        <v>511</v>
      </c>
      <c r="G257" s="1" t="str">
        <f t="shared" si="26"/>
        <v>104.5661</v>
      </c>
      <c r="H257" s="1" t="str">
        <f t="shared" si="27"/>
        <v xml:space="preserve"> 17.1370</v>
      </c>
      <c r="J257" s="1" t="str">
        <f t="shared" si="31"/>
        <v>LT112</v>
      </c>
      <c r="L257" s="1" t="str">
        <f t="shared" si="32"/>
        <v>SG</v>
      </c>
      <c r="N257" s="1">
        <v>2276</v>
      </c>
      <c r="O257" s="1">
        <v>100</v>
      </c>
      <c r="P257" s="1" t="str">
        <f t="shared" si="33"/>
        <v>22+277</v>
      </c>
    </row>
    <row r="258" spans="1:16" x14ac:dyDescent="0.2">
      <c r="A258" t="s">
        <v>512</v>
      </c>
      <c r="B258" t="s">
        <v>513</v>
      </c>
      <c r="G258" s="1" t="str">
        <f t="shared" si="26"/>
        <v>104.5664</v>
      </c>
      <c r="H258" s="1" t="str">
        <f t="shared" si="27"/>
        <v xml:space="preserve"> 17.1369</v>
      </c>
      <c r="J258" s="1" t="str">
        <f t="shared" si="31"/>
        <v>LT113</v>
      </c>
      <c r="L258" s="1" t="str">
        <f t="shared" si="32"/>
        <v>SG</v>
      </c>
      <c r="N258" s="1">
        <v>2276</v>
      </c>
      <c r="O258" s="1">
        <v>100</v>
      </c>
      <c r="P258" s="1" t="str">
        <f t="shared" si="33"/>
        <v>22+322</v>
      </c>
    </row>
    <row r="259" spans="1:16" x14ac:dyDescent="0.2">
      <c r="A259" t="s">
        <v>514</v>
      </c>
      <c r="B259" t="s">
        <v>515</v>
      </c>
      <c r="G259" s="1" t="str">
        <f t="shared" ref="G259:G299" si="34">MID(A259,8,8)</f>
        <v>104.5668</v>
      </c>
      <c r="H259" s="1" t="str">
        <f t="shared" ref="H259:H298" si="35">MID(A259,18,8)</f>
        <v xml:space="preserve"> 17.1367</v>
      </c>
      <c r="J259" s="1" t="str">
        <f t="shared" si="31"/>
        <v>LT114</v>
      </c>
      <c r="L259" s="1" t="str">
        <f t="shared" si="32"/>
        <v>SG</v>
      </c>
      <c r="N259" s="1">
        <v>2276</v>
      </c>
      <c r="O259" s="1">
        <v>100</v>
      </c>
      <c r="P259" s="1" t="str">
        <f t="shared" si="33"/>
        <v>22+367</v>
      </c>
    </row>
    <row r="260" spans="1:16" x14ac:dyDescent="0.2">
      <c r="A260" t="s">
        <v>516</v>
      </c>
      <c r="B260" t="s">
        <v>517</v>
      </c>
      <c r="G260" s="1" t="str">
        <f t="shared" si="34"/>
        <v>104.5672</v>
      </c>
      <c r="H260" s="1" t="str">
        <f t="shared" si="35"/>
        <v xml:space="preserve"> 17.1365</v>
      </c>
      <c r="J260" s="1" t="str">
        <f t="shared" si="31"/>
        <v>LT115</v>
      </c>
      <c r="L260" s="1" t="str">
        <f t="shared" si="32"/>
        <v>SG</v>
      </c>
      <c r="N260" s="1">
        <v>2276</v>
      </c>
      <c r="O260" s="1">
        <v>100</v>
      </c>
      <c r="P260" s="1" t="str">
        <f t="shared" si="33"/>
        <v>22+412</v>
      </c>
    </row>
    <row r="261" spans="1:16" x14ac:dyDescent="0.2">
      <c r="A261" t="s">
        <v>518</v>
      </c>
      <c r="B261" t="s">
        <v>519</v>
      </c>
      <c r="G261" s="1" t="str">
        <f t="shared" si="34"/>
        <v>104.6019</v>
      </c>
      <c r="H261" s="1" t="str">
        <f t="shared" si="35"/>
        <v xml:space="preserve"> 17.1088</v>
      </c>
      <c r="J261" s="1" t="str">
        <f t="shared" si="31"/>
        <v>LT116</v>
      </c>
      <c r="L261" s="1" t="str">
        <f t="shared" si="32"/>
        <v>SG</v>
      </c>
      <c r="N261" s="1">
        <v>2276</v>
      </c>
      <c r="O261" s="1">
        <v>100</v>
      </c>
      <c r="P261" s="1" t="str">
        <f t="shared" si="33"/>
        <v>27+317</v>
      </c>
    </row>
    <row r="262" spans="1:16" x14ac:dyDescent="0.2">
      <c r="A262" t="s">
        <v>520</v>
      </c>
      <c r="B262" t="s">
        <v>521</v>
      </c>
      <c r="G262" s="1" t="str">
        <f t="shared" si="34"/>
        <v>104.6026</v>
      </c>
      <c r="H262" s="1" t="str">
        <f t="shared" si="35"/>
        <v xml:space="preserve"> 17.1087</v>
      </c>
      <c r="J262" s="1" t="str">
        <f t="shared" si="31"/>
        <v>LT117</v>
      </c>
      <c r="L262" s="1" t="str">
        <f t="shared" si="32"/>
        <v>SG</v>
      </c>
      <c r="N262" s="1">
        <v>2276</v>
      </c>
      <c r="O262" s="1">
        <v>100</v>
      </c>
      <c r="P262" s="1" t="str">
        <f t="shared" si="33"/>
        <v>27+362</v>
      </c>
    </row>
    <row r="263" spans="1:16" x14ac:dyDescent="0.2">
      <c r="A263" t="s">
        <v>522</v>
      </c>
      <c r="B263" t="s">
        <v>523</v>
      </c>
      <c r="G263" s="1" t="str">
        <f t="shared" si="34"/>
        <v>104.6029</v>
      </c>
      <c r="H263" s="1" t="str">
        <f>MID(A263,18,7)</f>
        <v>17.1086</v>
      </c>
      <c r="J263" s="1" t="str">
        <f t="shared" si="31"/>
        <v>LT118</v>
      </c>
      <c r="L263" s="1" t="str">
        <f t="shared" si="32"/>
        <v>SG</v>
      </c>
      <c r="N263" s="1">
        <v>2276</v>
      </c>
      <c r="O263" s="1">
        <v>100</v>
      </c>
      <c r="P263" s="1" t="str">
        <f t="shared" si="33"/>
        <v>27+407</v>
      </c>
    </row>
    <row r="264" spans="1:16" x14ac:dyDescent="0.2">
      <c r="A264" t="s">
        <v>524</v>
      </c>
      <c r="B264" t="s">
        <v>525</v>
      </c>
      <c r="G264" s="1" t="str">
        <f t="shared" si="34"/>
        <v>104.6032</v>
      </c>
      <c r="H264" s="1" t="str">
        <f t="shared" si="35"/>
        <v xml:space="preserve"> 17.1086</v>
      </c>
      <c r="J264" s="1" t="str">
        <f t="shared" si="31"/>
        <v>LT119</v>
      </c>
      <c r="L264" s="1" t="str">
        <f t="shared" si="32"/>
        <v>SG</v>
      </c>
      <c r="N264" s="1">
        <v>2276</v>
      </c>
      <c r="O264" s="1">
        <v>100</v>
      </c>
      <c r="P264" s="1" t="str">
        <f t="shared" si="33"/>
        <v>27+452</v>
      </c>
    </row>
    <row r="265" spans="1:16" x14ac:dyDescent="0.2">
      <c r="A265" t="s">
        <v>526</v>
      </c>
      <c r="B265" t="s">
        <v>527</v>
      </c>
      <c r="G265" s="1" t="str">
        <f t="shared" si="34"/>
        <v>104.6037</v>
      </c>
      <c r="H265" s="1" t="str">
        <f t="shared" si="35"/>
        <v xml:space="preserve"> 17.1085</v>
      </c>
      <c r="J265" s="1" t="str">
        <f t="shared" si="31"/>
        <v>LT120</v>
      </c>
      <c r="L265" s="1" t="str">
        <f t="shared" si="32"/>
        <v>SG</v>
      </c>
      <c r="N265" s="1">
        <v>2276</v>
      </c>
      <c r="O265" s="1">
        <v>100</v>
      </c>
      <c r="P265" s="1" t="str">
        <f t="shared" si="33"/>
        <v>27+497</v>
      </c>
    </row>
    <row r="266" spans="1:16" x14ac:dyDescent="0.2">
      <c r="A266" t="s">
        <v>528</v>
      </c>
      <c r="B266" t="s">
        <v>529</v>
      </c>
      <c r="G266" s="1" t="str">
        <f t="shared" si="34"/>
        <v>104.6040</v>
      </c>
      <c r="H266" s="1" t="str">
        <f t="shared" si="35"/>
        <v xml:space="preserve"> 17.1084</v>
      </c>
      <c r="J266" s="1" t="str">
        <f t="shared" si="31"/>
        <v>LT121</v>
      </c>
      <c r="L266" s="1" t="str">
        <f t="shared" si="32"/>
        <v>SG</v>
      </c>
      <c r="N266" s="1">
        <v>2276</v>
      </c>
      <c r="O266" s="1">
        <v>100</v>
      </c>
      <c r="P266" s="1" t="str">
        <f t="shared" si="33"/>
        <v>27+542</v>
      </c>
    </row>
    <row r="267" spans="1:16" x14ac:dyDescent="0.2">
      <c r="A267" t="s">
        <v>530</v>
      </c>
      <c r="B267" t="s">
        <v>531</v>
      </c>
      <c r="G267" s="1" t="str">
        <f t="shared" si="34"/>
        <v>104.6044</v>
      </c>
      <c r="H267" s="1" t="str">
        <f t="shared" si="35"/>
        <v xml:space="preserve"> 17.1083</v>
      </c>
      <c r="J267" s="1" t="str">
        <f t="shared" si="31"/>
        <v>LT122</v>
      </c>
      <c r="L267" s="1" t="str">
        <f t="shared" si="32"/>
        <v>SG</v>
      </c>
      <c r="N267" s="1">
        <v>2276</v>
      </c>
      <c r="O267" s="1">
        <v>100</v>
      </c>
      <c r="P267" s="1" t="str">
        <f t="shared" si="33"/>
        <v>27+578</v>
      </c>
    </row>
    <row r="268" spans="1:16" x14ac:dyDescent="0.2">
      <c r="A268" t="s">
        <v>532</v>
      </c>
      <c r="B268" t="s">
        <v>533</v>
      </c>
      <c r="G268" s="1" t="str">
        <f t="shared" si="34"/>
        <v>104.6047</v>
      </c>
      <c r="H268" s="1" t="str">
        <f t="shared" si="35"/>
        <v xml:space="preserve"> 17.1083</v>
      </c>
      <c r="J268" s="1" t="str">
        <f t="shared" si="31"/>
        <v>LT123</v>
      </c>
      <c r="L268" s="1" t="str">
        <f t="shared" si="32"/>
        <v>SG</v>
      </c>
      <c r="N268" s="1">
        <v>2276</v>
      </c>
      <c r="O268" s="1">
        <v>100</v>
      </c>
      <c r="P268" s="1" t="str">
        <f t="shared" si="33"/>
        <v>27+632</v>
      </c>
    </row>
    <row r="269" spans="1:16" x14ac:dyDescent="0.2">
      <c r="A269" t="s">
        <v>534</v>
      </c>
      <c r="B269" t="s">
        <v>535</v>
      </c>
      <c r="G269" s="1" t="str">
        <f t="shared" si="34"/>
        <v>104.6050</v>
      </c>
      <c r="H269" s="1" t="str">
        <f>MID(A269,18,7)</f>
        <v>17.1082</v>
      </c>
      <c r="J269" s="1" t="str">
        <f t="shared" si="31"/>
        <v>LT124</v>
      </c>
      <c r="L269" s="1" t="str">
        <f t="shared" si="32"/>
        <v>SG</v>
      </c>
      <c r="N269" s="1">
        <v>2276</v>
      </c>
      <c r="O269" s="1">
        <v>100</v>
      </c>
      <c r="P269" s="1" t="str">
        <f t="shared" si="33"/>
        <v>27+677</v>
      </c>
    </row>
    <row r="270" spans="1:16" x14ac:dyDescent="0.2">
      <c r="A270" t="s">
        <v>536</v>
      </c>
      <c r="B270" t="s">
        <v>537</v>
      </c>
      <c r="G270" s="1" t="str">
        <f t="shared" si="34"/>
        <v>104.6054</v>
      </c>
      <c r="H270" s="1" t="str">
        <f t="shared" si="35"/>
        <v xml:space="preserve"> 17.1081</v>
      </c>
      <c r="J270" s="1" t="str">
        <f t="shared" si="31"/>
        <v>LT125</v>
      </c>
      <c r="L270" s="1" t="str">
        <f t="shared" si="32"/>
        <v>SG</v>
      </c>
      <c r="N270" s="1">
        <v>2276</v>
      </c>
      <c r="O270" s="1">
        <v>100</v>
      </c>
      <c r="P270" s="1" t="str">
        <f t="shared" si="33"/>
        <v>27+722</v>
      </c>
    </row>
    <row r="271" spans="1:16" x14ac:dyDescent="0.2">
      <c r="A271" t="s">
        <v>538</v>
      </c>
      <c r="B271" t="s">
        <v>539</v>
      </c>
      <c r="G271" s="1" t="str">
        <f t="shared" si="34"/>
        <v>104.6076</v>
      </c>
      <c r="H271" s="1" t="str">
        <f t="shared" si="35"/>
        <v xml:space="preserve"> 17.1097</v>
      </c>
      <c r="J271" s="1" t="str">
        <f t="shared" si="31"/>
        <v>LT126</v>
      </c>
      <c r="L271" s="1" t="str">
        <f t="shared" si="32"/>
        <v>SG</v>
      </c>
      <c r="N271" s="1">
        <v>2276</v>
      </c>
      <c r="O271" s="1">
        <v>100</v>
      </c>
      <c r="P271" s="1" t="str">
        <f t="shared" si="33"/>
        <v>28+013</v>
      </c>
    </row>
    <row r="272" spans="1:16" x14ac:dyDescent="0.2">
      <c r="A272" t="s">
        <v>540</v>
      </c>
      <c r="B272" t="s">
        <v>541</v>
      </c>
      <c r="G272" s="1" t="str">
        <f t="shared" si="34"/>
        <v>104.6209</v>
      </c>
      <c r="H272" s="1" t="str">
        <f>MID(A272,18,7)</f>
        <v>17.1051</v>
      </c>
      <c r="J272" s="1" t="str">
        <f t="shared" si="31"/>
        <v>LT127</v>
      </c>
      <c r="L272" s="1" t="str">
        <f t="shared" si="32"/>
        <v>SG</v>
      </c>
      <c r="N272" s="1">
        <v>2276</v>
      </c>
      <c r="O272" s="1">
        <v>100</v>
      </c>
      <c r="P272" s="1" t="str">
        <f t="shared" si="33"/>
        <v>29+527</v>
      </c>
    </row>
    <row r="273" spans="1:16" x14ac:dyDescent="0.2">
      <c r="A273" t="s">
        <v>542</v>
      </c>
      <c r="B273" t="s">
        <v>543</v>
      </c>
      <c r="G273" s="1" t="str">
        <f t="shared" si="34"/>
        <v>104.6212</v>
      </c>
      <c r="H273" s="1" t="str">
        <f t="shared" si="35"/>
        <v xml:space="preserve"> 17.1050</v>
      </c>
      <c r="J273" s="1" t="str">
        <f t="shared" si="31"/>
        <v>LT128</v>
      </c>
      <c r="L273" s="1" t="str">
        <f t="shared" si="32"/>
        <v>SG</v>
      </c>
      <c r="N273" s="1">
        <v>2276</v>
      </c>
      <c r="O273" s="1">
        <v>100</v>
      </c>
      <c r="P273" s="1" t="str">
        <f t="shared" si="33"/>
        <v>29+572</v>
      </c>
    </row>
    <row r="274" spans="1:16" x14ac:dyDescent="0.2">
      <c r="A274" t="s">
        <v>544</v>
      </c>
      <c r="B274" t="s">
        <v>545</v>
      </c>
      <c r="G274" s="1" t="str">
        <f t="shared" si="34"/>
        <v>104.6217</v>
      </c>
      <c r="H274" s="1" t="str">
        <f t="shared" si="35"/>
        <v xml:space="preserve"> 17.1048</v>
      </c>
      <c r="J274" s="1" t="str">
        <f t="shared" si="31"/>
        <v>LT129</v>
      </c>
      <c r="L274" s="1" t="str">
        <f t="shared" si="32"/>
        <v>SG</v>
      </c>
      <c r="N274" s="1">
        <v>2276</v>
      </c>
      <c r="O274" s="1">
        <v>100</v>
      </c>
      <c r="P274" s="1" t="str">
        <f t="shared" si="33"/>
        <v>29+617</v>
      </c>
    </row>
    <row r="275" spans="1:16" x14ac:dyDescent="0.2">
      <c r="A275" t="s">
        <v>546</v>
      </c>
      <c r="B275" t="s">
        <v>547</v>
      </c>
      <c r="G275" s="1" t="str">
        <f t="shared" si="34"/>
        <v>104.6221</v>
      </c>
      <c r="H275" s="1" t="str">
        <f t="shared" si="35"/>
        <v xml:space="preserve"> 17.1046</v>
      </c>
      <c r="J275" s="1" t="str">
        <f t="shared" si="31"/>
        <v>LT130</v>
      </c>
      <c r="L275" s="1" t="str">
        <f t="shared" si="32"/>
        <v>SG</v>
      </c>
      <c r="N275" s="1">
        <v>2276</v>
      </c>
      <c r="O275" s="1">
        <v>100</v>
      </c>
      <c r="P275" s="1" t="str">
        <f t="shared" si="33"/>
        <v>29+662</v>
      </c>
    </row>
    <row r="276" spans="1:16" x14ac:dyDescent="0.2">
      <c r="A276" t="s">
        <v>548</v>
      </c>
      <c r="B276" t="s">
        <v>549</v>
      </c>
      <c r="G276" s="1" t="str">
        <f t="shared" si="34"/>
        <v>104.6222</v>
      </c>
      <c r="H276" s="1" t="str">
        <f t="shared" si="35"/>
        <v xml:space="preserve"> 17.1042</v>
      </c>
      <c r="J276" s="1" t="str">
        <f t="shared" si="31"/>
        <v>LT131</v>
      </c>
      <c r="L276" s="1" t="str">
        <f t="shared" si="32"/>
        <v>SG</v>
      </c>
      <c r="N276" s="1">
        <v>2276</v>
      </c>
      <c r="O276" s="1">
        <v>100</v>
      </c>
      <c r="P276" s="1" t="str">
        <f t="shared" si="33"/>
        <v>29+707</v>
      </c>
    </row>
    <row r="277" spans="1:16" x14ac:dyDescent="0.2">
      <c r="A277" t="s">
        <v>550</v>
      </c>
      <c r="B277" t="s">
        <v>551</v>
      </c>
      <c r="G277" s="1" t="str">
        <f t="shared" si="34"/>
        <v>104.6221</v>
      </c>
      <c r="H277" s="1" t="str">
        <f t="shared" si="35"/>
        <v xml:space="preserve"> 17.1039</v>
      </c>
      <c r="J277" s="1" t="str">
        <f t="shared" si="31"/>
        <v>LT132</v>
      </c>
      <c r="L277" s="1" t="str">
        <f t="shared" si="32"/>
        <v>SG</v>
      </c>
      <c r="N277" s="1">
        <v>2276</v>
      </c>
      <c r="O277" s="1">
        <v>100</v>
      </c>
      <c r="P277" s="1" t="str">
        <f t="shared" si="33"/>
        <v>29+752</v>
      </c>
    </row>
    <row r="278" spans="1:16" x14ac:dyDescent="0.2">
      <c r="A278" t="s">
        <v>552</v>
      </c>
      <c r="B278" t="s">
        <v>553</v>
      </c>
      <c r="G278" s="1" t="str">
        <f t="shared" si="34"/>
        <v>104.6221</v>
      </c>
      <c r="H278" s="1" t="str">
        <f>MID(A278,17,7)</f>
        <v>17.1035</v>
      </c>
      <c r="J278" s="1" t="str">
        <f t="shared" si="31"/>
        <v>LT133</v>
      </c>
      <c r="L278" s="1" t="str">
        <f t="shared" si="32"/>
        <v>SG</v>
      </c>
      <c r="N278" s="1">
        <v>2276</v>
      </c>
      <c r="O278" s="1">
        <v>100</v>
      </c>
      <c r="P278" s="1" t="str">
        <f t="shared" si="33"/>
        <v>29+797</v>
      </c>
    </row>
    <row r="279" spans="1:16" x14ac:dyDescent="0.2">
      <c r="A279" t="s">
        <v>554</v>
      </c>
      <c r="B279" t="s">
        <v>555</v>
      </c>
      <c r="G279" s="1" t="str">
        <f t="shared" si="34"/>
        <v>104.6220</v>
      </c>
      <c r="H279" s="1" t="str">
        <f>MID(A279,18,7)</f>
        <v>17.1031</v>
      </c>
      <c r="J279" s="1" t="str">
        <f t="shared" si="31"/>
        <v>LT134</v>
      </c>
      <c r="L279" s="1" t="str">
        <f t="shared" si="32"/>
        <v>SG</v>
      </c>
      <c r="N279" s="1">
        <v>2276</v>
      </c>
      <c r="O279" s="1">
        <v>100</v>
      </c>
      <c r="P279" s="1" t="str">
        <f t="shared" si="33"/>
        <v>29+842</v>
      </c>
    </row>
    <row r="280" spans="1:16" x14ac:dyDescent="0.2">
      <c r="A280" t="s">
        <v>556</v>
      </c>
      <c r="B280" t="s">
        <v>557</v>
      </c>
      <c r="G280" s="1" t="str">
        <f t="shared" si="34"/>
        <v>104.6219</v>
      </c>
      <c r="H280" s="1" t="str">
        <f t="shared" si="35"/>
        <v xml:space="preserve"> 17.1026</v>
      </c>
      <c r="J280" s="1" t="str">
        <f t="shared" si="31"/>
        <v>LT135</v>
      </c>
      <c r="L280" s="1" t="str">
        <f t="shared" si="32"/>
        <v>SG</v>
      </c>
      <c r="N280" s="1">
        <v>2276</v>
      </c>
      <c r="O280" s="1">
        <v>100</v>
      </c>
      <c r="P280" s="1" t="str">
        <f t="shared" si="33"/>
        <v>29+887</v>
      </c>
    </row>
    <row r="281" spans="1:16" x14ac:dyDescent="0.2">
      <c r="A281" t="s">
        <v>558</v>
      </c>
      <c r="B281" t="s">
        <v>559</v>
      </c>
      <c r="G281" s="1" t="str">
        <f t="shared" si="34"/>
        <v>104.6643</v>
      </c>
      <c r="H281" s="1" t="str">
        <f t="shared" si="35"/>
        <v xml:space="preserve"> 17.0900</v>
      </c>
      <c r="J281" s="1" t="str">
        <f t="shared" si="31"/>
        <v>LT136</v>
      </c>
      <c r="L281" s="1" t="str">
        <f t="shared" si="32"/>
        <v>SG</v>
      </c>
      <c r="N281" s="1">
        <v>2276</v>
      </c>
      <c r="O281" s="1">
        <v>100</v>
      </c>
      <c r="P281" s="1" t="str">
        <f t="shared" si="33"/>
        <v>34+835</v>
      </c>
    </row>
    <row r="282" spans="1:16" x14ac:dyDescent="0.2">
      <c r="A282" t="s">
        <v>560</v>
      </c>
      <c r="B282" t="s">
        <v>561</v>
      </c>
      <c r="G282" s="1" t="str">
        <f t="shared" si="34"/>
        <v>104.6648</v>
      </c>
      <c r="H282" s="1" t="str">
        <f t="shared" si="35"/>
        <v xml:space="preserve"> 17.0899</v>
      </c>
      <c r="J282" s="1" t="str">
        <f t="shared" si="31"/>
        <v>LT137</v>
      </c>
      <c r="L282" s="1" t="str">
        <f t="shared" si="32"/>
        <v>SG</v>
      </c>
      <c r="N282" s="1">
        <v>2276</v>
      </c>
      <c r="O282" s="1">
        <v>100</v>
      </c>
      <c r="P282" s="1" t="str">
        <f t="shared" si="33"/>
        <v>34+880</v>
      </c>
    </row>
    <row r="283" spans="1:16" x14ac:dyDescent="0.2">
      <c r="A283" t="s">
        <v>562</v>
      </c>
      <c r="B283" t="s">
        <v>563</v>
      </c>
      <c r="G283" s="1" t="str">
        <f t="shared" si="34"/>
        <v>104.6652</v>
      </c>
      <c r="H283" s="1" t="str">
        <f t="shared" si="35"/>
        <v xml:space="preserve"> 17.0898</v>
      </c>
      <c r="J283" s="1" t="str">
        <f t="shared" si="31"/>
        <v>LT138</v>
      </c>
      <c r="L283" s="1" t="str">
        <f t="shared" si="32"/>
        <v>SG</v>
      </c>
      <c r="N283" s="1">
        <v>2276</v>
      </c>
      <c r="O283" s="1">
        <v>100</v>
      </c>
      <c r="P283" s="1" t="str">
        <f t="shared" si="33"/>
        <v>34+925</v>
      </c>
    </row>
    <row r="284" spans="1:16" x14ac:dyDescent="0.2">
      <c r="A284" t="s">
        <v>564</v>
      </c>
      <c r="B284" t="s">
        <v>565</v>
      </c>
      <c r="G284" s="1" t="str">
        <f t="shared" si="34"/>
        <v>104.6656</v>
      </c>
      <c r="H284" s="1" t="str">
        <f t="shared" si="35"/>
        <v xml:space="preserve"> 17.0896</v>
      </c>
      <c r="J284" s="1" t="str">
        <f t="shared" si="31"/>
        <v>LT139</v>
      </c>
      <c r="L284" s="1" t="str">
        <f t="shared" si="32"/>
        <v>SG</v>
      </c>
      <c r="N284" s="1">
        <v>2276</v>
      </c>
      <c r="O284" s="1">
        <v>100</v>
      </c>
      <c r="P284" s="1" t="str">
        <f t="shared" si="33"/>
        <v>34+970</v>
      </c>
    </row>
    <row r="285" spans="1:16" x14ac:dyDescent="0.2">
      <c r="A285" t="s">
        <v>566</v>
      </c>
      <c r="B285" t="s">
        <v>567</v>
      </c>
      <c r="G285" s="1" t="str">
        <f t="shared" si="34"/>
        <v>104.6659</v>
      </c>
      <c r="H285" s="1" t="str">
        <f t="shared" si="35"/>
        <v xml:space="preserve"> 17.0893</v>
      </c>
      <c r="J285" s="1" t="str">
        <f t="shared" si="31"/>
        <v>LT140</v>
      </c>
      <c r="L285" s="1" t="str">
        <f t="shared" si="32"/>
        <v>SG</v>
      </c>
      <c r="N285" s="1">
        <v>2276</v>
      </c>
      <c r="O285" s="1">
        <v>100</v>
      </c>
      <c r="P285" s="1" t="str">
        <f t="shared" si="33"/>
        <v>35+015</v>
      </c>
    </row>
    <row r="286" spans="1:16" x14ac:dyDescent="0.2">
      <c r="A286" t="s">
        <v>568</v>
      </c>
      <c r="B286" t="s">
        <v>569</v>
      </c>
      <c r="G286" s="1" t="str">
        <f t="shared" si="34"/>
        <v>104.6662</v>
      </c>
      <c r="H286" s="1" t="str">
        <f t="shared" si="35"/>
        <v xml:space="preserve"> 17.0890</v>
      </c>
      <c r="J286" s="1" t="str">
        <f t="shared" si="31"/>
        <v>LT141</v>
      </c>
      <c r="L286" s="1" t="str">
        <f t="shared" si="32"/>
        <v>SG</v>
      </c>
      <c r="N286" s="1">
        <v>2276</v>
      </c>
      <c r="O286" s="1">
        <v>100</v>
      </c>
      <c r="P286" s="1" t="str">
        <f t="shared" si="33"/>
        <v>35+060</v>
      </c>
    </row>
    <row r="287" spans="1:16" x14ac:dyDescent="0.2">
      <c r="A287" t="s">
        <v>570</v>
      </c>
      <c r="B287" t="s">
        <v>571</v>
      </c>
      <c r="G287" s="1" t="str">
        <f t="shared" si="34"/>
        <v>104.6664</v>
      </c>
      <c r="H287" s="1" t="str">
        <f t="shared" si="35"/>
        <v xml:space="preserve"> 17.0888</v>
      </c>
      <c r="J287" s="1" t="str">
        <f t="shared" si="31"/>
        <v>LT142</v>
      </c>
      <c r="L287" s="1" t="str">
        <f t="shared" si="32"/>
        <v>SG</v>
      </c>
      <c r="N287" s="1">
        <v>2276</v>
      </c>
      <c r="O287" s="1">
        <v>100</v>
      </c>
      <c r="P287" s="1" t="str">
        <f t="shared" si="33"/>
        <v>35+105</v>
      </c>
    </row>
    <row r="288" spans="1:16" x14ac:dyDescent="0.2">
      <c r="A288" t="s">
        <v>572</v>
      </c>
      <c r="B288" t="s">
        <v>573</v>
      </c>
      <c r="G288" s="1" t="str">
        <f t="shared" si="34"/>
        <v>104.6668</v>
      </c>
      <c r="H288" s="1" t="str">
        <f t="shared" si="35"/>
        <v xml:space="preserve"> 17.0885</v>
      </c>
      <c r="J288" s="1" t="str">
        <f t="shared" si="31"/>
        <v>LT143</v>
      </c>
      <c r="L288" s="1" t="str">
        <f t="shared" si="32"/>
        <v>SG</v>
      </c>
      <c r="N288" s="1">
        <v>2276</v>
      </c>
      <c r="O288" s="1">
        <v>100</v>
      </c>
      <c r="P288" s="1" t="str">
        <f t="shared" si="33"/>
        <v>35+150</v>
      </c>
    </row>
    <row r="289" spans="1:16" x14ac:dyDescent="0.2">
      <c r="A289" t="s">
        <v>574</v>
      </c>
      <c r="B289" t="s">
        <v>575</v>
      </c>
      <c r="G289" s="1" t="str">
        <f t="shared" si="34"/>
        <v>104.6670</v>
      </c>
      <c r="H289" s="1" t="str">
        <f t="shared" si="35"/>
        <v xml:space="preserve"> 17.0882</v>
      </c>
      <c r="J289" s="1" t="str">
        <f t="shared" si="31"/>
        <v>LT144</v>
      </c>
      <c r="L289" s="1" t="str">
        <f t="shared" si="32"/>
        <v>SG</v>
      </c>
      <c r="N289" s="1">
        <v>2276</v>
      </c>
      <c r="O289" s="1">
        <v>100</v>
      </c>
      <c r="P289" s="1" t="str">
        <f t="shared" si="33"/>
        <v>35+195</v>
      </c>
    </row>
    <row r="290" spans="1:16" x14ac:dyDescent="0.2">
      <c r="A290" t="s">
        <v>576</v>
      </c>
      <c r="B290" t="s">
        <v>577</v>
      </c>
      <c r="G290" s="1" t="str">
        <f t="shared" si="34"/>
        <v>104.6677</v>
      </c>
      <c r="H290" s="1" t="str">
        <f t="shared" si="35"/>
        <v xml:space="preserve"> 17.0876</v>
      </c>
      <c r="J290" s="1" t="str">
        <f t="shared" si="31"/>
        <v>LT145</v>
      </c>
      <c r="L290" s="1" t="str">
        <f t="shared" si="32"/>
        <v>SG</v>
      </c>
      <c r="N290" s="1">
        <v>2276</v>
      </c>
      <c r="O290" s="1">
        <v>100</v>
      </c>
      <c r="P290" s="1" t="str">
        <f t="shared" si="33"/>
        <v>35+285</v>
      </c>
    </row>
    <row r="291" spans="1:16" x14ac:dyDescent="0.2">
      <c r="A291" t="s">
        <v>578</v>
      </c>
      <c r="B291" t="s">
        <v>579</v>
      </c>
      <c r="G291" s="1" t="str">
        <f t="shared" si="34"/>
        <v>104.6680</v>
      </c>
      <c r="H291" s="1" t="str">
        <f t="shared" si="35"/>
        <v xml:space="preserve"> 17.0873</v>
      </c>
      <c r="J291" s="1" t="str">
        <f t="shared" si="31"/>
        <v>LT146</v>
      </c>
      <c r="L291" s="1" t="str">
        <f t="shared" si="32"/>
        <v>SG</v>
      </c>
      <c r="N291" s="1">
        <v>2276</v>
      </c>
      <c r="O291" s="1">
        <v>100</v>
      </c>
      <c r="P291" s="1" t="str">
        <f t="shared" si="33"/>
        <v>35+330</v>
      </c>
    </row>
    <row r="292" spans="1:16" x14ac:dyDescent="0.2">
      <c r="A292" t="s">
        <v>580</v>
      </c>
      <c r="B292" t="s">
        <v>581</v>
      </c>
      <c r="G292" s="1" t="str">
        <f t="shared" si="34"/>
        <v>104.6682</v>
      </c>
      <c r="H292" s="1" t="str">
        <f t="shared" si="35"/>
        <v xml:space="preserve"> 17.0870</v>
      </c>
      <c r="J292" s="1" t="str">
        <f t="shared" si="31"/>
        <v>LT147</v>
      </c>
      <c r="L292" s="1" t="str">
        <f t="shared" si="32"/>
        <v>SG</v>
      </c>
      <c r="N292" s="1">
        <v>2276</v>
      </c>
      <c r="O292" s="1">
        <v>100</v>
      </c>
      <c r="P292" s="1" t="str">
        <f t="shared" si="33"/>
        <v>35+375</v>
      </c>
    </row>
    <row r="293" spans="1:16" x14ac:dyDescent="0.2">
      <c r="A293" t="s">
        <v>582</v>
      </c>
      <c r="B293" t="s">
        <v>583</v>
      </c>
      <c r="G293" s="1" t="str">
        <f t="shared" si="34"/>
        <v>104.6685</v>
      </c>
      <c r="H293" s="1" t="str">
        <f t="shared" si="35"/>
        <v xml:space="preserve"> 17.0867</v>
      </c>
      <c r="J293" s="1" t="str">
        <f t="shared" si="31"/>
        <v>LT148</v>
      </c>
      <c r="L293" s="1" t="str">
        <f t="shared" si="32"/>
        <v>SG</v>
      </c>
      <c r="N293" s="1">
        <v>2276</v>
      </c>
      <c r="O293" s="1">
        <v>100</v>
      </c>
      <c r="P293" s="1" t="str">
        <f t="shared" si="33"/>
        <v>35+420</v>
      </c>
    </row>
    <row r="294" spans="1:16" x14ac:dyDescent="0.2">
      <c r="A294" t="s">
        <v>584</v>
      </c>
      <c r="B294" t="s">
        <v>585</v>
      </c>
      <c r="G294" s="1" t="str">
        <f t="shared" si="34"/>
        <v>104.6687</v>
      </c>
      <c r="H294" s="1" t="str">
        <f t="shared" si="35"/>
        <v xml:space="preserve"> 17.0863</v>
      </c>
      <c r="J294" s="1" t="str">
        <f t="shared" si="31"/>
        <v>LT149</v>
      </c>
      <c r="L294" s="1" t="str">
        <f t="shared" si="32"/>
        <v>SG</v>
      </c>
      <c r="N294" s="1">
        <v>2276</v>
      </c>
      <c r="O294" s="1">
        <v>100</v>
      </c>
      <c r="P294" s="1" t="str">
        <f t="shared" si="33"/>
        <v>35+465</v>
      </c>
    </row>
    <row r="295" spans="1:16" x14ac:dyDescent="0.2">
      <c r="A295" t="s">
        <v>586</v>
      </c>
      <c r="B295" t="s">
        <v>587</v>
      </c>
      <c r="G295" s="1" t="str">
        <f t="shared" si="34"/>
        <v>104.6689</v>
      </c>
      <c r="H295" s="1" t="str">
        <f t="shared" si="35"/>
        <v xml:space="preserve"> 17.0860</v>
      </c>
      <c r="J295" s="1" t="str">
        <f t="shared" si="31"/>
        <v>LT150</v>
      </c>
      <c r="L295" s="1" t="str">
        <f t="shared" si="32"/>
        <v>SG</v>
      </c>
      <c r="N295" s="1">
        <v>2276</v>
      </c>
      <c r="O295" s="1">
        <v>100</v>
      </c>
      <c r="P295" s="1" t="str">
        <f t="shared" si="33"/>
        <v>35+510</v>
      </c>
    </row>
    <row r="296" spans="1:16" x14ac:dyDescent="0.2">
      <c r="A296" t="s">
        <v>588</v>
      </c>
      <c r="B296" t="s">
        <v>589</v>
      </c>
      <c r="G296" s="1" t="str">
        <f t="shared" si="34"/>
        <v>104.6692</v>
      </c>
      <c r="H296" s="1" t="str">
        <f t="shared" si="35"/>
        <v xml:space="preserve"> 17.0857</v>
      </c>
      <c r="J296" s="1" t="str">
        <f t="shared" si="31"/>
        <v>LT151</v>
      </c>
      <c r="L296" s="1" t="str">
        <f t="shared" si="32"/>
        <v>SG</v>
      </c>
      <c r="N296" s="1">
        <v>2276</v>
      </c>
      <c r="O296" s="1">
        <v>100</v>
      </c>
      <c r="P296" s="1" t="str">
        <f t="shared" si="33"/>
        <v>35+555</v>
      </c>
    </row>
    <row r="297" spans="1:16" x14ac:dyDescent="0.2">
      <c r="A297" t="s">
        <v>590</v>
      </c>
      <c r="B297" t="s">
        <v>591</v>
      </c>
      <c r="G297" s="1" t="str">
        <f t="shared" si="34"/>
        <v>104.6694</v>
      </c>
      <c r="H297" s="1" t="str">
        <f>MID(A297,18,7)</f>
        <v>17.0854</v>
      </c>
      <c r="J297" s="1" t="str">
        <f t="shared" si="31"/>
        <v>LT152</v>
      </c>
      <c r="L297" s="1" t="str">
        <f t="shared" si="32"/>
        <v>SG</v>
      </c>
      <c r="N297" s="1">
        <v>2276</v>
      </c>
      <c r="O297" s="1">
        <v>100</v>
      </c>
      <c r="P297" s="1" t="str">
        <f t="shared" si="33"/>
        <v>35+600</v>
      </c>
    </row>
    <row r="298" spans="1:16" x14ac:dyDescent="0.2">
      <c r="A298" t="s">
        <v>592</v>
      </c>
      <c r="B298" t="s">
        <v>593</v>
      </c>
      <c r="G298" s="1" t="str">
        <f t="shared" si="34"/>
        <v>104.6697</v>
      </c>
      <c r="H298" s="1" t="str">
        <f t="shared" si="35"/>
        <v xml:space="preserve"> 17.0851</v>
      </c>
      <c r="J298" s="1" t="str">
        <f t="shared" si="31"/>
        <v>LT153</v>
      </c>
      <c r="L298" s="1" t="str">
        <f t="shared" si="32"/>
        <v>SG</v>
      </c>
      <c r="N298" s="1">
        <v>2276</v>
      </c>
      <c r="O298" s="1">
        <v>100</v>
      </c>
      <c r="P298" s="1" t="str">
        <f t="shared" si="33"/>
        <v>35+645</v>
      </c>
    </row>
    <row r="299" spans="1:16" x14ac:dyDescent="0.2">
      <c r="A299" t="s">
        <v>594</v>
      </c>
      <c r="B299" t="s">
        <v>595</v>
      </c>
      <c r="G299" s="1" t="str">
        <f t="shared" si="34"/>
        <v>104.6699</v>
      </c>
      <c r="H299" s="1" t="str">
        <f>MID(A299,18,7)</f>
        <v>17.0847</v>
      </c>
      <c r="J299" s="1" t="str">
        <f t="shared" si="31"/>
        <v>LT154</v>
      </c>
      <c r="L299" s="1" t="str">
        <f t="shared" si="32"/>
        <v>SG</v>
      </c>
      <c r="N299" s="1">
        <v>2276</v>
      </c>
      <c r="O299" s="1">
        <v>100</v>
      </c>
      <c r="P299" s="1" t="str">
        <f t="shared" si="33"/>
        <v>35+690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 CSV หมวดปลาปาก 2276</vt:lpstr>
      <vt:lpstr>แผนที่ที่ไม่มีชื่อ- 2276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NongAum</dc:creator>
  <cp:lastModifiedBy>AUM_HumNoi</cp:lastModifiedBy>
  <dcterms:created xsi:type="dcterms:W3CDTF">2023-06-26T06:42:18Z</dcterms:created>
  <dcterms:modified xsi:type="dcterms:W3CDTF">2023-06-28T04:06:15Z</dcterms:modified>
</cp:coreProperties>
</file>